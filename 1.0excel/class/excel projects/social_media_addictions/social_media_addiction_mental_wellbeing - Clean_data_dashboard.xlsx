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C:\Users\hp\Documents\ds_materials\1.0excel\class\excel projects\social_media_addictions\"/>
    </mc:Choice>
  </mc:AlternateContent>
  <xr:revisionPtr revIDLastSave="0" documentId="13_ncr:1_{F6E2C8D9-A64B-470A-B060-7231D44CDF16}" xr6:coauthVersionLast="47" xr6:coauthVersionMax="47" xr10:uidLastSave="{00000000-0000-0000-0000-000000000000}"/>
  <bookViews>
    <workbookView xWindow="-120" yWindow="-120" windowWidth="20730" windowHeight="11160" tabRatio="853" xr2:uid="{04460912-E4D7-4215-B890-28A4C24F4327}"/>
  </bookViews>
  <sheets>
    <sheet name="pivots" sheetId="3" r:id="rId1"/>
    <sheet name="KPIS" sheetId="4" r:id="rId2"/>
    <sheet name="dashboard2" sheetId="5" r:id="rId3"/>
    <sheet name="social_media_addiction_mental_w" sheetId="1" r:id="rId4"/>
    <sheet name="dashboard" sheetId="2" r:id="rId5"/>
  </sheets>
  <definedNames>
    <definedName name="Slicer_age_group">#N/A</definedName>
    <definedName name="Slicer_Gender">#N/A</definedName>
    <definedName name="Slicer_Occupation">#N/A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4" l="1"/>
  <c r="C16" i="4"/>
  <c r="C13" i="4"/>
  <c r="C10" i="4"/>
  <c r="C7" i="4"/>
  <c r="C4" i="4"/>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H3" i="1"/>
  <c r="AH2" i="1"/>
  <c r="AH4" i="1"/>
  <c r="AH5" i="1"/>
  <c r="AH6" i="1"/>
  <c r="AH7" i="1"/>
  <c r="AH8" i="1"/>
  <c r="AH9" i="1"/>
  <c r="AH10" i="1"/>
  <c r="AH11" i="1"/>
  <c r="AH12" i="1"/>
  <c r="AH13" i="1"/>
  <c r="AH14" i="1"/>
  <c r="AH15" i="1"/>
  <c r="AH16" i="1"/>
  <c r="AH17" i="1"/>
  <c r="H4" i="2"/>
</calcChain>
</file>

<file path=xl/sharedStrings.xml><?xml version="1.0" encoding="utf-8"?>
<sst xmlns="http://schemas.openxmlformats.org/spreadsheetml/2006/main" count="14862" uniqueCount="1578">
  <si>
    <t>User_ID</t>
  </si>
  <si>
    <t>Age</t>
  </si>
  <si>
    <t>Gender</t>
  </si>
  <si>
    <t>Occupation</t>
  </si>
  <si>
    <t>Relationship_Status</t>
  </si>
  <si>
    <t>Primary_Platform</t>
  </si>
  <si>
    <t>Daily_Usage_Hours</t>
  </si>
  <si>
    <t>Platforms_Used_Count</t>
  </si>
  <si>
    <t>Posts_Per_Week</t>
  </si>
  <si>
    <t>Late_Night_Usage</t>
  </si>
  <si>
    <t>First_Check_Morning</t>
  </si>
  <si>
    <t>Notifications_Per_Day</t>
  </si>
  <si>
    <t>FOMO_Score</t>
  </si>
  <si>
    <t>Social_Comparison_Score</t>
  </si>
  <si>
    <t>Validation_Seeking_Score</t>
  </si>
  <si>
    <t>Scroll_Without_Purpose</t>
  </si>
  <si>
    <t>Tried_To_Cut_Back</t>
  </si>
  <si>
    <t>Failed_To_Cut_Back</t>
  </si>
  <si>
    <t>Anxiety_Score</t>
  </si>
  <si>
    <t>Depression_Score</t>
  </si>
  <si>
    <t>Loneliness_Score</t>
  </si>
  <si>
    <t>Self_Esteem_Score</t>
  </si>
  <si>
    <t>Sleep_Quality_Score</t>
  </si>
  <si>
    <t>Sleep_Hours</t>
  </si>
  <si>
    <t>Productivity_Loss_Score</t>
  </si>
  <si>
    <t>Offline_Relationship_Quality</t>
  </si>
  <si>
    <t>Physical_Activity_Hrs_Week</t>
  </si>
  <si>
    <t>Screen_Free_Time_Hrs</t>
  </si>
  <si>
    <t>Mental_Wellbeing_Score</t>
  </si>
  <si>
    <t>Addiction_Level</t>
  </si>
  <si>
    <t>USR00001</t>
  </si>
  <si>
    <t>Male</t>
  </si>
  <si>
    <t>Working Professional</t>
  </si>
  <si>
    <t>In a Relationship</t>
  </si>
  <si>
    <t>YouTube</t>
  </si>
  <si>
    <t>No</t>
  </si>
  <si>
    <t>Within 5 min</t>
  </si>
  <si>
    <t>Low</t>
  </si>
  <si>
    <t>USR00002</t>
  </si>
  <si>
    <t>Student</t>
  </si>
  <si>
    <t>Married</t>
  </si>
  <si>
    <t>Instagram</t>
  </si>
  <si>
    <t>Yes</t>
  </si>
  <si>
    <t>Severe</t>
  </si>
  <si>
    <t>USR00003</t>
  </si>
  <si>
    <t>High</t>
  </si>
  <si>
    <t>USR00004</t>
  </si>
  <si>
    <t>Female</t>
  </si>
  <si>
    <t>Facebook</t>
  </si>
  <si>
    <t>USR00005</t>
  </si>
  <si>
    <t>Non-binary</t>
  </si>
  <si>
    <t>TikTok</t>
  </si>
  <si>
    <t>5-30 min</t>
  </si>
  <si>
    <t>Moderate</t>
  </si>
  <si>
    <t>USR00006</t>
  </si>
  <si>
    <t>USR00007</t>
  </si>
  <si>
    <t>USR00008</t>
  </si>
  <si>
    <t>Unemployed</t>
  </si>
  <si>
    <t>Single</t>
  </si>
  <si>
    <t>Twitter/X</t>
  </si>
  <si>
    <t>USR00009</t>
  </si>
  <si>
    <t>USR00010</t>
  </si>
  <si>
    <t>After 30 min</t>
  </si>
  <si>
    <t>USR00011</t>
  </si>
  <si>
    <t>Freelancer</t>
  </si>
  <si>
    <t>USR00012</t>
  </si>
  <si>
    <t>USR00013</t>
  </si>
  <si>
    <t>USR00014</t>
  </si>
  <si>
    <t>USR00015</t>
  </si>
  <si>
    <t>USR00016</t>
  </si>
  <si>
    <t>Snapchat</t>
  </si>
  <si>
    <t>USR00017</t>
  </si>
  <si>
    <t>USR00018</t>
  </si>
  <si>
    <t>USR00019</t>
  </si>
  <si>
    <t>USR00020</t>
  </si>
  <si>
    <t>USR00021</t>
  </si>
  <si>
    <t>USR00022</t>
  </si>
  <si>
    <t>USR00023</t>
  </si>
  <si>
    <t>USR00024</t>
  </si>
  <si>
    <t>USR00025</t>
  </si>
  <si>
    <t>USR00026</t>
  </si>
  <si>
    <t>USR00027</t>
  </si>
  <si>
    <t>USR00028</t>
  </si>
  <si>
    <t>USR00029</t>
  </si>
  <si>
    <t>USR00030</t>
  </si>
  <si>
    <t>USR00031</t>
  </si>
  <si>
    <t>USR00032</t>
  </si>
  <si>
    <t>USR00033</t>
  </si>
  <si>
    <t>USR00034</t>
  </si>
  <si>
    <t>USR00035</t>
  </si>
  <si>
    <t>USR00036</t>
  </si>
  <si>
    <t>USR00037</t>
  </si>
  <si>
    <t>USR00038</t>
  </si>
  <si>
    <t>USR00039</t>
  </si>
  <si>
    <t>USR00040</t>
  </si>
  <si>
    <t>USR00041</t>
  </si>
  <si>
    <t>USR00042</t>
  </si>
  <si>
    <t>USR00043</t>
  </si>
  <si>
    <t>USR00044</t>
  </si>
  <si>
    <t>USR00045</t>
  </si>
  <si>
    <t>USR00046</t>
  </si>
  <si>
    <t>USR00047</t>
  </si>
  <si>
    <t>USR00048</t>
  </si>
  <si>
    <t>USR00049</t>
  </si>
  <si>
    <t>USR00050</t>
  </si>
  <si>
    <t>USR00051</t>
  </si>
  <si>
    <t>USR00052</t>
  </si>
  <si>
    <t>USR00053</t>
  </si>
  <si>
    <t>USR00054</t>
  </si>
  <si>
    <t>USR00055</t>
  </si>
  <si>
    <t>USR00056</t>
  </si>
  <si>
    <t>USR00057</t>
  </si>
  <si>
    <t>USR00058</t>
  </si>
  <si>
    <t>USR00059</t>
  </si>
  <si>
    <t>USR00060</t>
  </si>
  <si>
    <t>USR00061</t>
  </si>
  <si>
    <t>USR00062</t>
  </si>
  <si>
    <t>USR00063</t>
  </si>
  <si>
    <t>USR00064</t>
  </si>
  <si>
    <t>USR00065</t>
  </si>
  <si>
    <t>USR00066</t>
  </si>
  <si>
    <t>USR00067</t>
  </si>
  <si>
    <t>USR00068</t>
  </si>
  <si>
    <t>USR00069</t>
  </si>
  <si>
    <t>USR00070</t>
  </si>
  <si>
    <t>USR00071</t>
  </si>
  <si>
    <t>USR00072</t>
  </si>
  <si>
    <t>USR00073</t>
  </si>
  <si>
    <t>USR00074</t>
  </si>
  <si>
    <t>USR00075</t>
  </si>
  <si>
    <t>USR00076</t>
  </si>
  <si>
    <t>USR00077</t>
  </si>
  <si>
    <t>USR00078</t>
  </si>
  <si>
    <t>USR00079</t>
  </si>
  <si>
    <t>USR00080</t>
  </si>
  <si>
    <t>USR00081</t>
  </si>
  <si>
    <t>USR00082</t>
  </si>
  <si>
    <t>USR00083</t>
  </si>
  <si>
    <t>USR00084</t>
  </si>
  <si>
    <t>USR00085</t>
  </si>
  <si>
    <t>USR00086</t>
  </si>
  <si>
    <t>USR00087</t>
  </si>
  <si>
    <t>USR00088</t>
  </si>
  <si>
    <t>USR00089</t>
  </si>
  <si>
    <t>USR00090</t>
  </si>
  <si>
    <t>USR00091</t>
  </si>
  <si>
    <t>USR00092</t>
  </si>
  <si>
    <t>USR00093</t>
  </si>
  <si>
    <t>USR00094</t>
  </si>
  <si>
    <t>USR00095</t>
  </si>
  <si>
    <t>USR00096</t>
  </si>
  <si>
    <t>USR00097</t>
  </si>
  <si>
    <t>USR00098</t>
  </si>
  <si>
    <t>USR00099</t>
  </si>
  <si>
    <t>USR00100</t>
  </si>
  <si>
    <t>USR00101</t>
  </si>
  <si>
    <t>USR00102</t>
  </si>
  <si>
    <t>USR00103</t>
  </si>
  <si>
    <t>USR00104</t>
  </si>
  <si>
    <t>USR00105</t>
  </si>
  <si>
    <t>USR00106</t>
  </si>
  <si>
    <t>USR00107</t>
  </si>
  <si>
    <t>USR00108</t>
  </si>
  <si>
    <t>USR00109</t>
  </si>
  <si>
    <t>USR00110</t>
  </si>
  <si>
    <t>USR00111</t>
  </si>
  <si>
    <t>USR00112</t>
  </si>
  <si>
    <t>USR00113</t>
  </si>
  <si>
    <t>USR00114</t>
  </si>
  <si>
    <t>USR00115</t>
  </si>
  <si>
    <t>USR00116</t>
  </si>
  <si>
    <t>USR00117</t>
  </si>
  <si>
    <t>USR00118</t>
  </si>
  <si>
    <t>USR00119</t>
  </si>
  <si>
    <t>USR00120</t>
  </si>
  <si>
    <t>USR00121</t>
  </si>
  <si>
    <t>USR00122</t>
  </si>
  <si>
    <t>USR00123</t>
  </si>
  <si>
    <t>USR00124</t>
  </si>
  <si>
    <t>USR00125</t>
  </si>
  <si>
    <t>USR00126</t>
  </si>
  <si>
    <t>USR00127</t>
  </si>
  <si>
    <t>USR00128</t>
  </si>
  <si>
    <t>USR00129</t>
  </si>
  <si>
    <t>USR00130</t>
  </si>
  <si>
    <t>USR00131</t>
  </si>
  <si>
    <t>USR00132</t>
  </si>
  <si>
    <t>USR00133</t>
  </si>
  <si>
    <t>USR00134</t>
  </si>
  <si>
    <t>USR00135</t>
  </si>
  <si>
    <t>USR00136</t>
  </si>
  <si>
    <t>USR00137</t>
  </si>
  <si>
    <t>USR00138</t>
  </si>
  <si>
    <t>USR00139</t>
  </si>
  <si>
    <t>USR00140</t>
  </si>
  <si>
    <t>USR00141</t>
  </si>
  <si>
    <t>USR00142</t>
  </si>
  <si>
    <t>USR00143</t>
  </si>
  <si>
    <t>USR00144</t>
  </si>
  <si>
    <t>USR00145</t>
  </si>
  <si>
    <t>USR00146</t>
  </si>
  <si>
    <t>USR00147</t>
  </si>
  <si>
    <t>USR00148</t>
  </si>
  <si>
    <t>USR00149</t>
  </si>
  <si>
    <t>USR00150</t>
  </si>
  <si>
    <t>USR00151</t>
  </si>
  <si>
    <t>USR00152</t>
  </si>
  <si>
    <t>USR00153</t>
  </si>
  <si>
    <t>USR00154</t>
  </si>
  <si>
    <t>USR00155</t>
  </si>
  <si>
    <t>USR00156</t>
  </si>
  <si>
    <t>USR00157</t>
  </si>
  <si>
    <t>USR00158</t>
  </si>
  <si>
    <t>USR00159</t>
  </si>
  <si>
    <t>USR00160</t>
  </si>
  <si>
    <t>USR00161</t>
  </si>
  <si>
    <t>USR00162</t>
  </si>
  <si>
    <t>USR00163</t>
  </si>
  <si>
    <t>USR00164</t>
  </si>
  <si>
    <t>USR00165</t>
  </si>
  <si>
    <t>USR00166</t>
  </si>
  <si>
    <t>USR00167</t>
  </si>
  <si>
    <t>USR00168</t>
  </si>
  <si>
    <t>USR00169</t>
  </si>
  <si>
    <t>USR00170</t>
  </si>
  <si>
    <t>USR00171</t>
  </si>
  <si>
    <t>USR00172</t>
  </si>
  <si>
    <t>USR00173</t>
  </si>
  <si>
    <t>USR00174</t>
  </si>
  <si>
    <t>USR00175</t>
  </si>
  <si>
    <t>USR00176</t>
  </si>
  <si>
    <t>USR00177</t>
  </si>
  <si>
    <t>USR00178</t>
  </si>
  <si>
    <t>USR00179</t>
  </si>
  <si>
    <t>USR00180</t>
  </si>
  <si>
    <t>USR00181</t>
  </si>
  <si>
    <t>USR00182</t>
  </si>
  <si>
    <t>USR00183</t>
  </si>
  <si>
    <t>USR00184</t>
  </si>
  <si>
    <t>USR00185</t>
  </si>
  <si>
    <t>USR00186</t>
  </si>
  <si>
    <t>USR00187</t>
  </si>
  <si>
    <t>USR00188</t>
  </si>
  <si>
    <t>USR00189</t>
  </si>
  <si>
    <t>USR00190</t>
  </si>
  <si>
    <t>USR00191</t>
  </si>
  <si>
    <t>USR00192</t>
  </si>
  <si>
    <t>USR00193</t>
  </si>
  <si>
    <t>USR00194</t>
  </si>
  <si>
    <t>USR00195</t>
  </si>
  <si>
    <t>USR00196</t>
  </si>
  <si>
    <t>USR00197</t>
  </si>
  <si>
    <t>USR00198</t>
  </si>
  <si>
    <t>USR00199</t>
  </si>
  <si>
    <t>USR00200</t>
  </si>
  <si>
    <t>USR00201</t>
  </si>
  <si>
    <t>USR00202</t>
  </si>
  <si>
    <t>USR00203</t>
  </si>
  <si>
    <t>USR00204</t>
  </si>
  <si>
    <t>USR00205</t>
  </si>
  <si>
    <t>USR00206</t>
  </si>
  <si>
    <t>USR00207</t>
  </si>
  <si>
    <t>USR00208</t>
  </si>
  <si>
    <t>USR00209</t>
  </si>
  <si>
    <t>USR00210</t>
  </si>
  <si>
    <t>USR00211</t>
  </si>
  <si>
    <t>USR00212</t>
  </si>
  <si>
    <t>USR00213</t>
  </si>
  <si>
    <t>USR00214</t>
  </si>
  <si>
    <t>USR00215</t>
  </si>
  <si>
    <t>USR00216</t>
  </si>
  <si>
    <t>USR00217</t>
  </si>
  <si>
    <t>USR00218</t>
  </si>
  <si>
    <t>USR00219</t>
  </si>
  <si>
    <t>USR00220</t>
  </si>
  <si>
    <t>USR00221</t>
  </si>
  <si>
    <t>USR00222</t>
  </si>
  <si>
    <t>USR00223</t>
  </si>
  <si>
    <t>USR00224</t>
  </si>
  <si>
    <t>USR00225</t>
  </si>
  <si>
    <t>USR00226</t>
  </si>
  <si>
    <t>USR00227</t>
  </si>
  <si>
    <t>USR00228</t>
  </si>
  <si>
    <t>USR00229</t>
  </si>
  <si>
    <t>USR00230</t>
  </si>
  <si>
    <t>USR00231</t>
  </si>
  <si>
    <t>USR00232</t>
  </si>
  <si>
    <t>USR00233</t>
  </si>
  <si>
    <t>USR00234</t>
  </si>
  <si>
    <t>USR00235</t>
  </si>
  <si>
    <t>USR00236</t>
  </si>
  <si>
    <t>USR00237</t>
  </si>
  <si>
    <t>USR00238</t>
  </si>
  <si>
    <t>USR00239</t>
  </si>
  <si>
    <t>USR00240</t>
  </si>
  <si>
    <t>USR00241</t>
  </si>
  <si>
    <t>USR00242</t>
  </si>
  <si>
    <t>USR00243</t>
  </si>
  <si>
    <t>USR00244</t>
  </si>
  <si>
    <t>USR00245</t>
  </si>
  <si>
    <t>USR00246</t>
  </si>
  <si>
    <t>USR00247</t>
  </si>
  <si>
    <t>USR00248</t>
  </si>
  <si>
    <t>USR00249</t>
  </si>
  <si>
    <t>USR00250</t>
  </si>
  <si>
    <t>USR00251</t>
  </si>
  <si>
    <t>USR00252</t>
  </si>
  <si>
    <t>USR00253</t>
  </si>
  <si>
    <t>USR00254</t>
  </si>
  <si>
    <t>USR00255</t>
  </si>
  <si>
    <t>USR00256</t>
  </si>
  <si>
    <t>USR00257</t>
  </si>
  <si>
    <t>USR00258</t>
  </si>
  <si>
    <t>USR00259</t>
  </si>
  <si>
    <t>USR00260</t>
  </si>
  <si>
    <t>USR00261</t>
  </si>
  <si>
    <t>USR00262</t>
  </si>
  <si>
    <t>USR00263</t>
  </si>
  <si>
    <t>USR00264</t>
  </si>
  <si>
    <t>USR00265</t>
  </si>
  <si>
    <t>USR00266</t>
  </si>
  <si>
    <t>USR00267</t>
  </si>
  <si>
    <t>USR00268</t>
  </si>
  <si>
    <t>USR00269</t>
  </si>
  <si>
    <t>USR00270</t>
  </si>
  <si>
    <t>USR00271</t>
  </si>
  <si>
    <t>USR00272</t>
  </si>
  <si>
    <t>USR00273</t>
  </si>
  <si>
    <t>USR00274</t>
  </si>
  <si>
    <t>USR00275</t>
  </si>
  <si>
    <t>USR00276</t>
  </si>
  <si>
    <t>USR00277</t>
  </si>
  <si>
    <t>USR00278</t>
  </si>
  <si>
    <t>USR00279</t>
  </si>
  <si>
    <t>USR00280</t>
  </si>
  <si>
    <t>USR00281</t>
  </si>
  <si>
    <t>USR00282</t>
  </si>
  <si>
    <t>USR00283</t>
  </si>
  <si>
    <t>USR00284</t>
  </si>
  <si>
    <t>USR00285</t>
  </si>
  <si>
    <t>USR00286</t>
  </si>
  <si>
    <t>USR00287</t>
  </si>
  <si>
    <t>USR00288</t>
  </si>
  <si>
    <t>USR00289</t>
  </si>
  <si>
    <t>USR00290</t>
  </si>
  <si>
    <t>USR00291</t>
  </si>
  <si>
    <t>USR00292</t>
  </si>
  <si>
    <t>USR00293</t>
  </si>
  <si>
    <t>USR00294</t>
  </si>
  <si>
    <t>USR00295</t>
  </si>
  <si>
    <t>USR00296</t>
  </si>
  <si>
    <t>USR00297</t>
  </si>
  <si>
    <t>USR00298</t>
  </si>
  <si>
    <t>USR00299</t>
  </si>
  <si>
    <t>USR00300</t>
  </si>
  <si>
    <t>USR00301</t>
  </si>
  <si>
    <t>USR00302</t>
  </si>
  <si>
    <t>USR00303</t>
  </si>
  <si>
    <t>USR00304</t>
  </si>
  <si>
    <t>USR00305</t>
  </si>
  <si>
    <t>USR00306</t>
  </si>
  <si>
    <t>USR00307</t>
  </si>
  <si>
    <t>USR00308</t>
  </si>
  <si>
    <t>USR00309</t>
  </si>
  <si>
    <t>USR00310</t>
  </si>
  <si>
    <t>USR00311</t>
  </si>
  <si>
    <t>USR00312</t>
  </si>
  <si>
    <t>USR00313</t>
  </si>
  <si>
    <t>USR00314</t>
  </si>
  <si>
    <t>USR00315</t>
  </si>
  <si>
    <t>USR00316</t>
  </si>
  <si>
    <t>USR00317</t>
  </si>
  <si>
    <t>USR00318</t>
  </si>
  <si>
    <t>USR00319</t>
  </si>
  <si>
    <t>USR00320</t>
  </si>
  <si>
    <t>USR00321</t>
  </si>
  <si>
    <t>USR00322</t>
  </si>
  <si>
    <t>USR00323</t>
  </si>
  <si>
    <t>USR00324</t>
  </si>
  <si>
    <t>USR00325</t>
  </si>
  <si>
    <t>USR00326</t>
  </si>
  <si>
    <t>USR00327</t>
  </si>
  <si>
    <t>USR00328</t>
  </si>
  <si>
    <t>USR00329</t>
  </si>
  <si>
    <t>USR00330</t>
  </si>
  <si>
    <t>USR00331</t>
  </si>
  <si>
    <t>USR00332</t>
  </si>
  <si>
    <t>USR00333</t>
  </si>
  <si>
    <t>USR00334</t>
  </si>
  <si>
    <t>USR00335</t>
  </si>
  <si>
    <t>USR00336</t>
  </si>
  <si>
    <t>USR00337</t>
  </si>
  <si>
    <t>USR00338</t>
  </si>
  <si>
    <t>USR00339</t>
  </si>
  <si>
    <t>USR00340</t>
  </si>
  <si>
    <t>USR00341</t>
  </si>
  <si>
    <t>USR00342</t>
  </si>
  <si>
    <t>USR00343</t>
  </si>
  <si>
    <t>USR00344</t>
  </si>
  <si>
    <t>USR00345</t>
  </si>
  <si>
    <t>USR00346</t>
  </si>
  <si>
    <t>USR00347</t>
  </si>
  <si>
    <t>USR00348</t>
  </si>
  <si>
    <t>USR00349</t>
  </si>
  <si>
    <t>USR00350</t>
  </si>
  <si>
    <t>USR00351</t>
  </si>
  <si>
    <t>USR00352</t>
  </si>
  <si>
    <t>USR00353</t>
  </si>
  <si>
    <t>USR00354</t>
  </si>
  <si>
    <t>USR00355</t>
  </si>
  <si>
    <t>USR00356</t>
  </si>
  <si>
    <t>USR00357</t>
  </si>
  <si>
    <t>USR00358</t>
  </si>
  <si>
    <t>USR00359</t>
  </si>
  <si>
    <t>USR00360</t>
  </si>
  <si>
    <t>USR00361</t>
  </si>
  <si>
    <t>USR00362</t>
  </si>
  <si>
    <t>USR00363</t>
  </si>
  <si>
    <t>USR00364</t>
  </si>
  <si>
    <t>USR00365</t>
  </si>
  <si>
    <t>USR00366</t>
  </si>
  <si>
    <t>USR00367</t>
  </si>
  <si>
    <t>USR00368</t>
  </si>
  <si>
    <t>USR00369</t>
  </si>
  <si>
    <t>USR00370</t>
  </si>
  <si>
    <t>USR00371</t>
  </si>
  <si>
    <t>USR00372</t>
  </si>
  <si>
    <t>USR00373</t>
  </si>
  <si>
    <t>USR00374</t>
  </si>
  <si>
    <t>USR00375</t>
  </si>
  <si>
    <t>USR00376</t>
  </si>
  <si>
    <t>USR00377</t>
  </si>
  <si>
    <t>USR00378</t>
  </si>
  <si>
    <t>USR00379</t>
  </si>
  <si>
    <t>USR00380</t>
  </si>
  <si>
    <t>USR00381</t>
  </si>
  <si>
    <t>USR00382</t>
  </si>
  <si>
    <t>USR00383</t>
  </si>
  <si>
    <t>USR00384</t>
  </si>
  <si>
    <t>USR00385</t>
  </si>
  <si>
    <t>USR00386</t>
  </si>
  <si>
    <t>USR00387</t>
  </si>
  <si>
    <t>USR00388</t>
  </si>
  <si>
    <t>USR00389</t>
  </si>
  <si>
    <t>USR00390</t>
  </si>
  <si>
    <t>USR00391</t>
  </si>
  <si>
    <t>USR00392</t>
  </si>
  <si>
    <t>USR00393</t>
  </si>
  <si>
    <t>USR00394</t>
  </si>
  <si>
    <t>USR00395</t>
  </si>
  <si>
    <t>USR00396</t>
  </si>
  <si>
    <t>USR00397</t>
  </si>
  <si>
    <t>USR00398</t>
  </si>
  <si>
    <t>USR00399</t>
  </si>
  <si>
    <t>USR00400</t>
  </si>
  <si>
    <t>USR00401</t>
  </si>
  <si>
    <t>USR00402</t>
  </si>
  <si>
    <t>USR00403</t>
  </si>
  <si>
    <t>USR00404</t>
  </si>
  <si>
    <t>USR00405</t>
  </si>
  <si>
    <t>USR00406</t>
  </si>
  <si>
    <t>USR00407</t>
  </si>
  <si>
    <t>USR00408</t>
  </si>
  <si>
    <t>USR00409</t>
  </si>
  <si>
    <t>USR00410</t>
  </si>
  <si>
    <t>USR00411</t>
  </si>
  <si>
    <t>USR00412</t>
  </si>
  <si>
    <t>USR00413</t>
  </si>
  <si>
    <t>USR00414</t>
  </si>
  <si>
    <t>USR00415</t>
  </si>
  <si>
    <t>USR00416</t>
  </si>
  <si>
    <t>USR00417</t>
  </si>
  <si>
    <t>USR00418</t>
  </si>
  <si>
    <t>USR00419</t>
  </si>
  <si>
    <t>USR00420</t>
  </si>
  <si>
    <t>USR00421</t>
  </si>
  <si>
    <t>USR00422</t>
  </si>
  <si>
    <t>USR00423</t>
  </si>
  <si>
    <t>USR00424</t>
  </si>
  <si>
    <t>USR00425</t>
  </si>
  <si>
    <t>USR00426</t>
  </si>
  <si>
    <t>USR00427</t>
  </si>
  <si>
    <t>USR00428</t>
  </si>
  <si>
    <t>USR00429</t>
  </si>
  <si>
    <t>USR00430</t>
  </si>
  <si>
    <t>USR00431</t>
  </si>
  <si>
    <t>USR00432</t>
  </si>
  <si>
    <t>USR00433</t>
  </si>
  <si>
    <t>USR00434</t>
  </si>
  <si>
    <t>USR00435</t>
  </si>
  <si>
    <t>USR00436</t>
  </si>
  <si>
    <t>USR00437</t>
  </si>
  <si>
    <t>USR00438</t>
  </si>
  <si>
    <t>USR00439</t>
  </si>
  <si>
    <t>USR00440</t>
  </si>
  <si>
    <t>USR00441</t>
  </si>
  <si>
    <t>USR00442</t>
  </si>
  <si>
    <t>USR00443</t>
  </si>
  <si>
    <t>USR00444</t>
  </si>
  <si>
    <t>USR00445</t>
  </si>
  <si>
    <t>USR00446</t>
  </si>
  <si>
    <t>USR00447</t>
  </si>
  <si>
    <t>USR00448</t>
  </si>
  <si>
    <t>USR00449</t>
  </si>
  <si>
    <t>USR00450</t>
  </si>
  <si>
    <t>USR00451</t>
  </si>
  <si>
    <t>USR00452</t>
  </si>
  <si>
    <t>USR00453</t>
  </si>
  <si>
    <t>USR00454</t>
  </si>
  <si>
    <t>USR00455</t>
  </si>
  <si>
    <t>USR00456</t>
  </si>
  <si>
    <t>USR00457</t>
  </si>
  <si>
    <t>USR00458</t>
  </si>
  <si>
    <t>USR00459</t>
  </si>
  <si>
    <t>USR00460</t>
  </si>
  <si>
    <t>USR00461</t>
  </si>
  <si>
    <t>USR00462</t>
  </si>
  <si>
    <t>USR00463</t>
  </si>
  <si>
    <t>USR00464</t>
  </si>
  <si>
    <t>USR00465</t>
  </si>
  <si>
    <t>USR00466</t>
  </si>
  <si>
    <t>USR00467</t>
  </si>
  <si>
    <t>USR00468</t>
  </si>
  <si>
    <t>USR00469</t>
  </si>
  <si>
    <t>USR00470</t>
  </si>
  <si>
    <t>USR00471</t>
  </si>
  <si>
    <t>USR00472</t>
  </si>
  <si>
    <t>USR00473</t>
  </si>
  <si>
    <t>USR00474</t>
  </si>
  <si>
    <t>USR00475</t>
  </si>
  <si>
    <t>USR00476</t>
  </si>
  <si>
    <t>USR00477</t>
  </si>
  <si>
    <t>USR00478</t>
  </si>
  <si>
    <t>USR00479</t>
  </si>
  <si>
    <t>USR00480</t>
  </si>
  <si>
    <t>USR00481</t>
  </si>
  <si>
    <t>USR00482</t>
  </si>
  <si>
    <t>USR00483</t>
  </si>
  <si>
    <t>USR00484</t>
  </si>
  <si>
    <t>USR00485</t>
  </si>
  <si>
    <t>USR00486</t>
  </si>
  <si>
    <t>USR00487</t>
  </si>
  <si>
    <t>USR00488</t>
  </si>
  <si>
    <t>USR00489</t>
  </si>
  <si>
    <t>USR00490</t>
  </si>
  <si>
    <t>USR00491</t>
  </si>
  <si>
    <t>USR00492</t>
  </si>
  <si>
    <t>USR00493</t>
  </si>
  <si>
    <t>USR00494</t>
  </si>
  <si>
    <t>USR00495</t>
  </si>
  <si>
    <t>USR00496</t>
  </si>
  <si>
    <t>USR00497</t>
  </si>
  <si>
    <t>USR00498</t>
  </si>
  <si>
    <t>USR00499</t>
  </si>
  <si>
    <t>USR00500</t>
  </si>
  <si>
    <t>USR00501</t>
  </si>
  <si>
    <t>USR00502</t>
  </si>
  <si>
    <t>USR00503</t>
  </si>
  <si>
    <t>USR00504</t>
  </si>
  <si>
    <t>USR00505</t>
  </si>
  <si>
    <t>USR00506</t>
  </si>
  <si>
    <t>USR00507</t>
  </si>
  <si>
    <t>USR00508</t>
  </si>
  <si>
    <t>USR00509</t>
  </si>
  <si>
    <t>USR00510</t>
  </si>
  <si>
    <t>USR00511</t>
  </si>
  <si>
    <t>USR00512</t>
  </si>
  <si>
    <t>USR00513</t>
  </si>
  <si>
    <t>USR00514</t>
  </si>
  <si>
    <t>USR00515</t>
  </si>
  <si>
    <t>USR00516</t>
  </si>
  <si>
    <t>USR00517</t>
  </si>
  <si>
    <t>USR00518</t>
  </si>
  <si>
    <t>USR00519</t>
  </si>
  <si>
    <t>USR00520</t>
  </si>
  <si>
    <t>USR00521</t>
  </si>
  <si>
    <t>USR00522</t>
  </si>
  <si>
    <t>USR00523</t>
  </si>
  <si>
    <t>USR00524</t>
  </si>
  <si>
    <t>USR00525</t>
  </si>
  <si>
    <t>USR00526</t>
  </si>
  <si>
    <t>USR00527</t>
  </si>
  <si>
    <t>USR00528</t>
  </si>
  <si>
    <t>USR00529</t>
  </si>
  <si>
    <t>USR00530</t>
  </si>
  <si>
    <t>USR00531</t>
  </si>
  <si>
    <t>USR00532</t>
  </si>
  <si>
    <t>USR00533</t>
  </si>
  <si>
    <t>USR00534</t>
  </si>
  <si>
    <t>USR00535</t>
  </si>
  <si>
    <t>USR00536</t>
  </si>
  <si>
    <t>USR00537</t>
  </si>
  <si>
    <t>USR00538</t>
  </si>
  <si>
    <t>USR00539</t>
  </si>
  <si>
    <t>USR00540</t>
  </si>
  <si>
    <t>USR00541</t>
  </si>
  <si>
    <t>USR00542</t>
  </si>
  <si>
    <t>USR00543</t>
  </si>
  <si>
    <t>USR00544</t>
  </si>
  <si>
    <t>USR00545</t>
  </si>
  <si>
    <t>USR00546</t>
  </si>
  <si>
    <t>USR00547</t>
  </si>
  <si>
    <t>USR00548</t>
  </si>
  <si>
    <t>USR00549</t>
  </si>
  <si>
    <t>USR00550</t>
  </si>
  <si>
    <t>USR00551</t>
  </si>
  <si>
    <t>USR00552</t>
  </si>
  <si>
    <t>USR00553</t>
  </si>
  <si>
    <t>USR00554</t>
  </si>
  <si>
    <t>USR00555</t>
  </si>
  <si>
    <t>USR00556</t>
  </si>
  <si>
    <t>USR00557</t>
  </si>
  <si>
    <t>USR00558</t>
  </si>
  <si>
    <t>USR00559</t>
  </si>
  <si>
    <t>USR00560</t>
  </si>
  <si>
    <t>USR00561</t>
  </si>
  <si>
    <t>USR00562</t>
  </si>
  <si>
    <t>USR00563</t>
  </si>
  <si>
    <t>USR00564</t>
  </si>
  <si>
    <t>USR00565</t>
  </si>
  <si>
    <t>USR00566</t>
  </si>
  <si>
    <t>USR00567</t>
  </si>
  <si>
    <t>USR00568</t>
  </si>
  <si>
    <t>USR00569</t>
  </si>
  <si>
    <t>USR00570</t>
  </si>
  <si>
    <t>USR00571</t>
  </si>
  <si>
    <t>USR00572</t>
  </si>
  <si>
    <t>USR00573</t>
  </si>
  <si>
    <t>USR00574</t>
  </si>
  <si>
    <t>USR00575</t>
  </si>
  <si>
    <t>USR00576</t>
  </si>
  <si>
    <t>USR00577</t>
  </si>
  <si>
    <t>USR00578</t>
  </si>
  <si>
    <t>USR00579</t>
  </si>
  <si>
    <t>USR00580</t>
  </si>
  <si>
    <t>USR00581</t>
  </si>
  <si>
    <t>USR00582</t>
  </si>
  <si>
    <t>USR00583</t>
  </si>
  <si>
    <t>USR00584</t>
  </si>
  <si>
    <t>USR00585</t>
  </si>
  <si>
    <t>USR00586</t>
  </si>
  <si>
    <t>USR00587</t>
  </si>
  <si>
    <t>USR00588</t>
  </si>
  <si>
    <t>USR00589</t>
  </si>
  <si>
    <t>USR00590</t>
  </si>
  <si>
    <t>USR00591</t>
  </si>
  <si>
    <t>USR00592</t>
  </si>
  <si>
    <t>USR00593</t>
  </si>
  <si>
    <t>USR00594</t>
  </si>
  <si>
    <t>USR00595</t>
  </si>
  <si>
    <t>USR00596</t>
  </si>
  <si>
    <t>USR00597</t>
  </si>
  <si>
    <t>USR00598</t>
  </si>
  <si>
    <t>USR00599</t>
  </si>
  <si>
    <t>USR00600</t>
  </si>
  <si>
    <t>USR00601</t>
  </si>
  <si>
    <t>USR00602</t>
  </si>
  <si>
    <t>USR00603</t>
  </si>
  <si>
    <t>USR00604</t>
  </si>
  <si>
    <t>USR00605</t>
  </si>
  <si>
    <t>USR00606</t>
  </si>
  <si>
    <t>USR00607</t>
  </si>
  <si>
    <t>USR00608</t>
  </si>
  <si>
    <t>USR00609</t>
  </si>
  <si>
    <t>USR00610</t>
  </si>
  <si>
    <t>USR00611</t>
  </si>
  <si>
    <t>USR00612</t>
  </si>
  <si>
    <t>USR00613</t>
  </si>
  <si>
    <t>USR00614</t>
  </si>
  <si>
    <t>USR00615</t>
  </si>
  <si>
    <t>USR00616</t>
  </si>
  <si>
    <t>USR00617</t>
  </si>
  <si>
    <t>USR00618</t>
  </si>
  <si>
    <t>USR00619</t>
  </si>
  <si>
    <t>USR00620</t>
  </si>
  <si>
    <t>USR00621</t>
  </si>
  <si>
    <t>USR00622</t>
  </si>
  <si>
    <t>USR00623</t>
  </si>
  <si>
    <t>USR00624</t>
  </si>
  <si>
    <t>USR00625</t>
  </si>
  <si>
    <t>USR00626</t>
  </si>
  <si>
    <t>USR00627</t>
  </si>
  <si>
    <t>USR00628</t>
  </si>
  <si>
    <t>USR00629</t>
  </si>
  <si>
    <t>USR00630</t>
  </si>
  <si>
    <t>USR00631</t>
  </si>
  <si>
    <t>USR00632</t>
  </si>
  <si>
    <t>USR00633</t>
  </si>
  <si>
    <t>USR00634</t>
  </si>
  <si>
    <t>USR00635</t>
  </si>
  <si>
    <t>USR00636</t>
  </si>
  <si>
    <t>USR00637</t>
  </si>
  <si>
    <t>USR00638</t>
  </si>
  <si>
    <t>USR00639</t>
  </si>
  <si>
    <t>USR00640</t>
  </si>
  <si>
    <t>USR00641</t>
  </si>
  <si>
    <t>USR00642</t>
  </si>
  <si>
    <t>USR00643</t>
  </si>
  <si>
    <t>USR00644</t>
  </si>
  <si>
    <t>USR00645</t>
  </si>
  <si>
    <t>USR00646</t>
  </si>
  <si>
    <t>USR00647</t>
  </si>
  <si>
    <t>USR00648</t>
  </si>
  <si>
    <t>USR00649</t>
  </si>
  <si>
    <t>USR00650</t>
  </si>
  <si>
    <t>USR00651</t>
  </si>
  <si>
    <t>USR00652</t>
  </si>
  <si>
    <t>USR00653</t>
  </si>
  <si>
    <t>USR00654</t>
  </si>
  <si>
    <t>USR00655</t>
  </si>
  <si>
    <t>USR00656</t>
  </si>
  <si>
    <t>USR00657</t>
  </si>
  <si>
    <t>USR00658</t>
  </si>
  <si>
    <t>USR00659</t>
  </si>
  <si>
    <t>USR00660</t>
  </si>
  <si>
    <t>USR00661</t>
  </si>
  <si>
    <t>USR00662</t>
  </si>
  <si>
    <t>USR00663</t>
  </si>
  <si>
    <t>USR00664</t>
  </si>
  <si>
    <t>USR00665</t>
  </si>
  <si>
    <t>USR00666</t>
  </si>
  <si>
    <t>USR00667</t>
  </si>
  <si>
    <t>USR00668</t>
  </si>
  <si>
    <t>USR00669</t>
  </si>
  <si>
    <t>USR00670</t>
  </si>
  <si>
    <t>USR00671</t>
  </si>
  <si>
    <t>USR00672</t>
  </si>
  <si>
    <t>USR00673</t>
  </si>
  <si>
    <t>USR00674</t>
  </si>
  <si>
    <t>USR00675</t>
  </si>
  <si>
    <t>USR00676</t>
  </si>
  <si>
    <t>USR00677</t>
  </si>
  <si>
    <t>USR00678</t>
  </si>
  <si>
    <t>USR00679</t>
  </si>
  <si>
    <t>USR00680</t>
  </si>
  <si>
    <t>USR00681</t>
  </si>
  <si>
    <t>USR00682</t>
  </si>
  <si>
    <t>USR00683</t>
  </si>
  <si>
    <t>USR00684</t>
  </si>
  <si>
    <t>USR00685</t>
  </si>
  <si>
    <t>USR00686</t>
  </si>
  <si>
    <t>USR00687</t>
  </si>
  <si>
    <t>USR00688</t>
  </si>
  <si>
    <t>USR00689</t>
  </si>
  <si>
    <t>USR00690</t>
  </si>
  <si>
    <t>USR00691</t>
  </si>
  <si>
    <t>USR00692</t>
  </si>
  <si>
    <t>USR00693</t>
  </si>
  <si>
    <t>USR00694</t>
  </si>
  <si>
    <t>USR00695</t>
  </si>
  <si>
    <t>USR00696</t>
  </si>
  <si>
    <t>USR00697</t>
  </si>
  <si>
    <t>USR00698</t>
  </si>
  <si>
    <t>USR00699</t>
  </si>
  <si>
    <t>USR00700</t>
  </si>
  <si>
    <t>USR00701</t>
  </si>
  <si>
    <t>USR00702</t>
  </si>
  <si>
    <t>USR00703</t>
  </si>
  <si>
    <t>USR00704</t>
  </si>
  <si>
    <t>USR00705</t>
  </si>
  <si>
    <t>USR00706</t>
  </si>
  <si>
    <t>USR00707</t>
  </si>
  <si>
    <t>USR00708</t>
  </si>
  <si>
    <t>USR00709</t>
  </si>
  <si>
    <t>USR00710</t>
  </si>
  <si>
    <t>USR00711</t>
  </si>
  <si>
    <t>USR00712</t>
  </si>
  <si>
    <t>USR00713</t>
  </si>
  <si>
    <t>USR00714</t>
  </si>
  <si>
    <t>USR00715</t>
  </si>
  <si>
    <t>USR00716</t>
  </si>
  <si>
    <t>USR00717</t>
  </si>
  <si>
    <t>USR00718</t>
  </si>
  <si>
    <t>USR00719</t>
  </si>
  <si>
    <t>USR00720</t>
  </si>
  <si>
    <t>USR00721</t>
  </si>
  <si>
    <t>USR00722</t>
  </si>
  <si>
    <t>USR00723</t>
  </si>
  <si>
    <t>USR00724</t>
  </si>
  <si>
    <t>USR00725</t>
  </si>
  <si>
    <t>USR00726</t>
  </si>
  <si>
    <t>USR00727</t>
  </si>
  <si>
    <t>USR00728</t>
  </si>
  <si>
    <t>USR00729</t>
  </si>
  <si>
    <t>USR00730</t>
  </si>
  <si>
    <t>USR00731</t>
  </si>
  <si>
    <t>USR00732</t>
  </si>
  <si>
    <t>USR00733</t>
  </si>
  <si>
    <t>USR00734</t>
  </si>
  <si>
    <t>USR00735</t>
  </si>
  <si>
    <t>USR00736</t>
  </si>
  <si>
    <t>USR00737</t>
  </si>
  <si>
    <t>USR00738</t>
  </si>
  <si>
    <t>USR00739</t>
  </si>
  <si>
    <t>USR00740</t>
  </si>
  <si>
    <t>USR00741</t>
  </si>
  <si>
    <t>USR00742</t>
  </si>
  <si>
    <t>USR00743</t>
  </si>
  <si>
    <t>USR00744</t>
  </si>
  <si>
    <t>USR00745</t>
  </si>
  <si>
    <t>USR00746</t>
  </si>
  <si>
    <t>USR00747</t>
  </si>
  <si>
    <t>USR00748</t>
  </si>
  <si>
    <t>USR00749</t>
  </si>
  <si>
    <t>USR00750</t>
  </si>
  <si>
    <t>USR00751</t>
  </si>
  <si>
    <t>USR00752</t>
  </si>
  <si>
    <t>USR00753</t>
  </si>
  <si>
    <t>USR00754</t>
  </si>
  <si>
    <t>USR00755</t>
  </si>
  <si>
    <t>USR00756</t>
  </si>
  <si>
    <t>USR00757</t>
  </si>
  <si>
    <t>USR00758</t>
  </si>
  <si>
    <t>USR00759</t>
  </si>
  <si>
    <t>USR00760</t>
  </si>
  <si>
    <t>USR00761</t>
  </si>
  <si>
    <t>USR00762</t>
  </si>
  <si>
    <t>USR00763</t>
  </si>
  <si>
    <t>USR00764</t>
  </si>
  <si>
    <t>USR00765</t>
  </si>
  <si>
    <t>USR00766</t>
  </si>
  <si>
    <t>USR00767</t>
  </si>
  <si>
    <t>USR00768</t>
  </si>
  <si>
    <t>USR00769</t>
  </si>
  <si>
    <t>USR00770</t>
  </si>
  <si>
    <t>USR00771</t>
  </si>
  <si>
    <t>USR00772</t>
  </si>
  <si>
    <t>USR00773</t>
  </si>
  <si>
    <t>USR00774</t>
  </si>
  <si>
    <t>USR00775</t>
  </si>
  <si>
    <t>USR00776</t>
  </si>
  <si>
    <t>USR00777</t>
  </si>
  <si>
    <t>USR00778</t>
  </si>
  <si>
    <t>USR00779</t>
  </si>
  <si>
    <t>USR00780</t>
  </si>
  <si>
    <t>USR00781</t>
  </si>
  <si>
    <t>USR00782</t>
  </si>
  <si>
    <t>USR00783</t>
  </si>
  <si>
    <t>USR00784</t>
  </si>
  <si>
    <t>USR00785</t>
  </si>
  <si>
    <t>USR00786</t>
  </si>
  <si>
    <t>USR00787</t>
  </si>
  <si>
    <t>USR00788</t>
  </si>
  <si>
    <t>USR00789</t>
  </si>
  <si>
    <t>USR00790</t>
  </si>
  <si>
    <t>USR00791</t>
  </si>
  <si>
    <t>USR00792</t>
  </si>
  <si>
    <t>USR00793</t>
  </si>
  <si>
    <t>USR00794</t>
  </si>
  <si>
    <t>USR00795</t>
  </si>
  <si>
    <t>USR00796</t>
  </si>
  <si>
    <t>USR00797</t>
  </si>
  <si>
    <t>USR00798</t>
  </si>
  <si>
    <t>USR00799</t>
  </si>
  <si>
    <t>USR00800</t>
  </si>
  <si>
    <t>USR00801</t>
  </si>
  <si>
    <t>USR00802</t>
  </si>
  <si>
    <t>USR00803</t>
  </si>
  <si>
    <t>USR00804</t>
  </si>
  <si>
    <t>USR00805</t>
  </si>
  <si>
    <t>USR00806</t>
  </si>
  <si>
    <t>USR00807</t>
  </si>
  <si>
    <t>USR00808</t>
  </si>
  <si>
    <t>USR00809</t>
  </si>
  <si>
    <t>USR00810</t>
  </si>
  <si>
    <t>USR00811</t>
  </si>
  <si>
    <t>USR00812</t>
  </si>
  <si>
    <t>USR00813</t>
  </si>
  <si>
    <t>USR00814</t>
  </si>
  <si>
    <t>USR00815</t>
  </si>
  <si>
    <t>USR00816</t>
  </si>
  <si>
    <t>USR00817</t>
  </si>
  <si>
    <t>USR00818</t>
  </si>
  <si>
    <t>USR00819</t>
  </si>
  <si>
    <t>USR00820</t>
  </si>
  <si>
    <t>USR00821</t>
  </si>
  <si>
    <t>USR00822</t>
  </si>
  <si>
    <t>USR00823</t>
  </si>
  <si>
    <t>USR00824</t>
  </si>
  <si>
    <t>USR00825</t>
  </si>
  <si>
    <t>USR00826</t>
  </si>
  <si>
    <t>USR00827</t>
  </si>
  <si>
    <t>USR00828</t>
  </si>
  <si>
    <t>USR00829</t>
  </si>
  <si>
    <t>USR00830</t>
  </si>
  <si>
    <t>USR00831</t>
  </si>
  <si>
    <t>USR00832</t>
  </si>
  <si>
    <t>USR00833</t>
  </si>
  <si>
    <t>USR00834</t>
  </si>
  <si>
    <t>USR00835</t>
  </si>
  <si>
    <t>USR00836</t>
  </si>
  <si>
    <t>USR00837</t>
  </si>
  <si>
    <t>USR00838</t>
  </si>
  <si>
    <t>USR00839</t>
  </si>
  <si>
    <t>USR00840</t>
  </si>
  <si>
    <t>USR00841</t>
  </si>
  <si>
    <t>USR00842</t>
  </si>
  <si>
    <t>USR00843</t>
  </si>
  <si>
    <t>USR00844</t>
  </si>
  <si>
    <t>USR00845</t>
  </si>
  <si>
    <t>USR00846</t>
  </si>
  <si>
    <t>USR00847</t>
  </si>
  <si>
    <t>USR00848</t>
  </si>
  <si>
    <t>USR00849</t>
  </si>
  <si>
    <t>USR00850</t>
  </si>
  <si>
    <t>USR00851</t>
  </si>
  <si>
    <t>USR00852</t>
  </si>
  <si>
    <t>USR00853</t>
  </si>
  <si>
    <t>USR00854</t>
  </si>
  <si>
    <t>USR00855</t>
  </si>
  <si>
    <t>USR00856</t>
  </si>
  <si>
    <t>USR00857</t>
  </si>
  <si>
    <t>USR00858</t>
  </si>
  <si>
    <t>USR00859</t>
  </si>
  <si>
    <t>USR00860</t>
  </si>
  <si>
    <t>USR00861</t>
  </si>
  <si>
    <t>USR00862</t>
  </si>
  <si>
    <t>USR00863</t>
  </si>
  <si>
    <t>USR00864</t>
  </si>
  <si>
    <t>USR00865</t>
  </si>
  <si>
    <t>USR00866</t>
  </si>
  <si>
    <t>USR00867</t>
  </si>
  <si>
    <t>USR00868</t>
  </si>
  <si>
    <t>USR00869</t>
  </si>
  <si>
    <t>USR00870</t>
  </si>
  <si>
    <t>USR00871</t>
  </si>
  <si>
    <t>USR00872</t>
  </si>
  <si>
    <t>USR00873</t>
  </si>
  <si>
    <t>USR00874</t>
  </si>
  <si>
    <t>USR00875</t>
  </si>
  <si>
    <t>USR00876</t>
  </si>
  <si>
    <t>USR00877</t>
  </si>
  <si>
    <t>USR00878</t>
  </si>
  <si>
    <t>USR00879</t>
  </si>
  <si>
    <t>USR00880</t>
  </si>
  <si>
    <t>USR00881</t>
  </si>
  <si>
    <t>USR00882</t>
  </si>
  <si>
    <t>USR00883</t>
  </si>
  <si>
    <t>USR00884</t>
  </si>
  <si>
    <t>USR00885</t>
  </si>
  <si>
    <t>USR00886</t>
  </si>
  <si>
    <t>USR00887</t>
  </si>
  <si>
    <t>USR00888</t>
  </si>
  <si>
    <t>USR00889</t>
  </si>
  <si>
    <t>USR00890</t>
  </si>
  <si>
    <t>USR00891</t>
  </si>
  <si>
    <t>USR00892</t>
  </si>
  <si>
    <t>USR00893</t>
  </si>
  <si>
    <t>USR00894</t>
  </si>
  <si>
    <t>USR00895</t>
  </si>
  <si>
    <t>USR00896</t>
  </si>
  <si>
    <t>USR00897</t>
  </si>
  <si>
    <t>USR00898</t>
  </si>
  <si>
    <t>USR00899</t>
  </si>
  <si>
    <t>USR00900</t>
  </si>
  <si>
    <t>USR00901</t>
  </si>
  <si>
    <t>USR00902</t>
  </si>
  <si>
    <t>USR00903</t>
  </si>
  <si>
    <t>USR00904</t>
  </si>
  <si>
    <t>USR00905</t>
  </si>
  <si>
    <t>USR00906</t>
  </si>
  <si>
    <t>USR00907</t>
  </si>
  <si>
    <t>USR00908</t>
  </si>
  <si>
    <t>USR00909</t>
  </si>
  <si>
    <t>USR00910</t>
  </si>
  <si>
    <t>USR00911</t>
  </si>
  <si>
    <t>USR00912</t>
  </si>
  <si>
    <t>USR00913</t>
  </si>
  <si>
    <t>USR00914</t>
  </si>
  <si>
    <t>USR00915</t>
  </si>
  <si>
    <t>USR00916</t>
  </si>
  <si>
    <t>USR00917</t>
  </si>
  <si>
    <t>USR00918</t>
  </si>
  <si>
    <t>USR00919</t>
  </si>
  <si>
    <t>USR00920</t>
  </si>
  <si>
    <t>USR00921</t>
  </si>
  <si>
    <t>USR00922</t>
  </si>
  <si>
    <t>USR00923</t>
  </si>
  <si>
    <t>USR00924</t>
  </si>
  <si>
    <t>USR00925</t>
  </si>
  <si>
    <t>USR00926</t>
  </si>
  <si>
    <t>USR00927</t>
  </si>
  <si>
    <t>USR00928</t>
  </si>
  <si>
    <t>USR00929</t>
  </si>
  <si>
    <t>USR00930</t>
  </si>
  <si>
    <t>USR00931</t>
  </si>
  <si>
    <t>USR00932</t>
  </si>
  <si>
    <t>USR00933</t>
  </si>
  <si>
    <t>USR00934</t>
  </si>
  <si>
    <t>USR00935</t>
  </si>
  <si>
    <t>USR00936</t>
  </si>
  <si>
    <t>USR00937</t>
  </si>
  <si>
    <t>USR00938</t>
  </si>
  <si>
    <t>USR00939</t>
  </si>
  <si>
    <t>USR00940</t>
  </si>
  <si>
    <t>USR00941</t>
  </si>
  <si>
    <t>USR00942</t>
  </si>
  <si>
    <t>USR00943</t>
  </si>
  <si>
    <t>USR00944</t>
  </si>
  <si>
    <t>USR00945</t>
  </si>
  <si>
    <t>USR00946</t>
  </si>
  <si>
    <t>USR00947</t>
  </si>
  <si>
    <t>USR00948</t>
  </si>
  <si>
    <t>USR00949</t>
  </si>
  <si>
    <t>USR00950</t>
  </si>
  <si>
    <t>USR00951</t>
  </si>
  <si>
    <t>USR00952</t>
  </si>
  <si>
    <t>USR00953</t>
  </si>
  <si>
    <t>USR00954</t>
  </si>
  <si>
    <t>USR00955</t>
  </si>
  <si>
    <t>USR00956</t>
  </si>
  <si>
    <t>USR00957</t>
  </si>
  <si>
    <t>USR00958</t>
  </si>
  <si>
    <t>USR00959</t>
  </si>
  <si>
    <t>USR00960</t>
  </si>
  <si>
    <t>USR00961</t>
  </si>
  <si>
    <t>USR00962</t>
  </si>
  <si>
    <t>USR00963</t>
  </si>
  <si>
    <t>USR00964</t>
  </si>
  <si>
    <t>USR00965</t>
  </si>
  <si>
    <t>USR00966</t>
  </si>
  <si>
    <t>USR00967</t>
  </si>
  <si>
    <t>USR00968</t>
  </si>
  <si>
    <t>USR00969</t>
  </si>
  <si>
    <t>USR00970</t>
  </si>
  <si>
    <t>USR00971</t>
  </si>
  <si>
    <t>USR00972</t>
  </si>
  <si>
    <t>USR00973</t>
  </si>
  <si>
    <t>USR00974</t>
  </si>
  <si>
    <t>USR00975</t>
  </si>
  <si>
    <t>USR00976</t>
  </si>
  <si>
    <t>USR00977</t>
  </si>
  <si>
    <t>USR00978</t>
  </si>
  <si>
    <t>USR00979</t>
  </si>
  <si>
    <t>USR00980</t>
  </si>
  <si>
    <t>USR00981</t>
  </si>
  <si>
    <t>USR00982</t>
  </si>
  <si>
    <t>USR00983</t>
  </si>
  <si>
    <t>USR00984</t>
  </si>
  <si>
    <t>USR00985</t>
  </si>
  <si>
    <t>USR00986</t>
  </si>
  <si>
    <t>USR00987</t>
  </si>
  <si>
    <t>USR00988</t>
  </si>
  <si>
    <t>USR00989</t>
  </si>
  <si>
    <t>USR00990</t>
  </si>
  <si>
    <t>USR00991</t>
  </si>
  <si>
    <t>USR00992</t>
  </si>
  <si>
    <t>USR00993</t>
  </si>
  <si>
    <t>USR00994</t>
  </si>
  <si>
    <t>USR00995</t>
  </si>
  <si>
    <t>USR00996</t>
  </si>
  <si>
    <t>USR00997</t>
  </si>
  <si>
    <t>USR00998</t>
  </si>
  <si>
    <t>USR00999</t>
  </si>
  <si>
    <t>USR01000</t>
  </si>
  <si>
    <t>USR01001</t>
  </si>
  <si>
    <t>USR01002</t>
  </si>
  <si>
    <t>USR01003</t>
  </si>
  <si>
    <t>USR01004</t>
  </si>
  <si>
    <t>USR01005</t>
  </si>
  <si>
    <t>USR01006</t>
  </si>
  <si>
    <t>USR01007</t>
  </si>
  <si>
    <t>USR01008</t>
  </si>
  <si>
    <t>USR01009</t>
  </si>
  <si>
    <t>USR01010</t>
  </si>
  <si>
    <t>USR01011</t>
  </si>
  <si>
    <t>USR01012</t>
  </si>
  <si>
    <t>USR01013</t>
  </si>
  <si>
    <t>USR01014</t>
  </si>
  <si>
    <t>USR01015</t>
  </si>
  <si>
    <t>USR01016</t>
  </si>
  <si>
    <t>USR01017</t>
  </si>
  <si>
    <t>USR01018</t>
  </si>
  <si>
    <t>USR01019</t>
  </si>
  <si>
    <t>USR01020</t>
  </si>
  <si>
    <t>USR01021</t>
  </si>
  <si>
    <t>USR01022</t>
  </si>
  <si>
    <t>USR01023</t>
  </si>
  <si>
    <t>USR01024</t>
  </si>
  <si>
    <t>USR01025</t>
  </si>
  <si>
    <t>USR01026</t>
  </si>
  <si>
    <t>USR01027</t>
  </si>
  <si>
    <t>USR01028</t>
  </si>
  <si>
    <t>USR01029</t>
  </si>
  <si>
    <t>USR01030</t>
  </si>
  <si>
    <t>USR01031</t>
  </si>
  <si>
    <t>USR01032</t>
  </si>
  <si>
    <t>USR01033</t>
  </si>
  <si>
    <t>USR01034</t>
  </si>
  <si>
    <t>USR01035</t>
  </si>
  <si>
    <t>USR01036</t>
  </si>
  <si>
    <t>USR01037</t>
  </si>
  <si>
    <t>USR01038</t>
  </si>
  <si>
    <t>USR01039</t>
  </si>
  <si>
    <t>USR01040</t>
  </si>
  <si>
    <t>USR01041</t>
  </si>
  <si>
    <t>USR01042</t>
  </si>
  <si>
    <t>USR01043</t>
  </si>
  <si>
    <t>USR01044</t>
  </si>
  <si>
    <t>USR01045</t>
  </si>
  <si>
    <t>USR01046</t>
  </si>
  <si>
    <t>USR01047</t>
  </si>
  <si>
    <t>USR01048</t>
  </si>
  <si>
    <t>USR01049</t>
  </si>
  <si>
    <t>USR01050</t>
  </si>
  <si>
    <t>USR01051</t>
  </si>
  <si>
    <t>USR01052</t>
  </si>
  <si>
    <t>USR01053</t>
  </si>
  <si>
    <t>USR01054</t>
  </si>
  <si>
    <t>USR01055</t>
  </si>
  <si>
    <t>USR01056</t>
  </si>
  <si>
    <t>USR01057</t>
  </si>
  <si>
    <t>USR01058</t>
  </si>
  <si>
    <t>USR01059</t>
  </si>
  <si>
    <t>USR01060</t>
  </si>
  <si>
    <t>USR01061</t>
  </si>
  <si>
    <t>USR01062</t>
  </si>
  <si>
    <t>USR01063</t>
  </si>
  <si>
    <t>USR01064</t>
  </si>
  <si>
    <t>USR01065</t>
  </si>
  <si>
    <t>USR01066</t>
  </si>
  <si>
    <t>USR01067</t>
  </si>
  <si>
    <t>USR01068</t>
  </si>
  <si>
    <t>USR01069</t>
  </si>
  <si>
    <t>USR01070</t>
  </si>
  <si>
    <t>USR01071</t>
  </si>
  <si>
    <t>USR01072</t>
  </si>
  <si>
    <t>USR01073</t>
  </si>
  <si>
    <t>USR01074</t>
  </si>
  <si>
    <t>USR01075</t>
  </si>
  <si>
    <t>USR01076</t>
  </si>
  <si>
    <t>USR01077</t>
  </si>
  <si>
    <t>USR01078</t>
  </si>
  <si>
    <t>USR01079</t>
  </si>
  <si>
    <t>USR01080</t>
  </si>
  <si>
    <t>USR01081</t>
  </si>
  <si>
    <t>USR01082</t>
  </si>
  <si>
    <t>USR01083</t>
  </si>
  <si>
    <t>USR01084</t>
  </si>
  <si>
    <t>USR01085</t>
  </si>
  <si>
    <t>USR01086</t>
  </si>
  <si>
    <t>USR01087</t>
  </si>
  <si>
    <t>USR01088</t>
  </si>
  <si>
    <t>USR01089</t>
  </si>
  <si>
    <t>USR01090</t>
  </si>
  <si>
    <t>USR01091</t>
  </si>
  <si>
    <t>USR01092</t>
  </si>
  <si>
    <t>USR01093</t>
  </si>
  <si>
    <t>USR01094</t>
  </si>
  <si>
    <t>USR01095</t>
  </si>
  <si>
    <t>USR01096</t>
  </si>
  <si>
    <t>USR01097</t>
  </si>
  <si>
    <t>USR01098</t>
  </si>
  <si>
    <t>USR01099</t>
  </si>
  <si>
    <t>USR01100</t>
  </si>
  <si>
    <t>USR01101</t>
  </si>
  <si>
    <t>USR01102</t>
  </si>
  <si>
    <t>USR01103</t>
  </si>
  <si>
    <t>USR01104</t>
  </si>
  <si>
    <t>USR01105</t>
  </si>
  <si>
    <t>USR01106</t>
  </si>
  <si>
    <t>USR01107</t>
  </si>
  <si>
    <t>USR01108</t>
  </si>
  <si>
    <t>USR01109</t>
  </si>
  <si>
    <t>USR01110</t>
  </si>
  <si>
    <t>USR01111</t>
  </si>
  <si>
    <t>USR01112</t>
  </si>
  <si>
    <t>USR01113</t>
  </si>
  <si>
    <t>USR01114</t>
  </si>
  <si>
    <t>USR01115</t>
  </si>
  <si>
    <t>USR01116</t>
  </si>
  <si>
    <t>USR01117</t>
  </si>
  <si>
    <t>USR01118</t>
  </si>
  <si>
    <t>USR01119</t>
  </si>
  <si>
    <t>USR01120</t>
  </si>
  <si>
    <t>USR01121</t>
  </si>
  <si>
    <t>USR01122</t>
  </si>
  <si>
    <t>USR01123</t>
  </si>
  <si>
    <t>USR01124</t>
  </si>
  <si>
    <t>USR01125</t>
  </si>
  <si>
    <t>USR01126</t>
  </si>
  <si>
    <t>USR01127</t>
  </si>
  <si>
    <t>USR01128</t>
  </si>
  <si>
    <t>USR01129</t>
  </si>
  <si>
    <t>USR01130</t>
  </si>
  <si>
    <t>USR01131</t>
  </si>
  <si>
    <t>USR01132</t>
  </si>
  <si>
    <t>USR01133</t>
  </si>
  <si>
    <t>USR01134</t>
  </si>
  <si>
    <t>USR01135</t>
  </si>
  <si>
    <t>USR01136</t>
  </si>
  <si>
    <t>USR01137</t>
  </si>
  <si>
    <t>USR01138</t>
  </si>
  <si>
    <t>USR01139</t>
  </si>
  <si>
    <t>USR01140</t>
  </si>
  <si>
    <t>USR01141</t>
  </si>
  <si>
    <t>USR01142</t>
  </si>
  <si>
    <t>USR01143</t>
  </si>
  <si>
    <t>USR01144</t>
  </si>
  <si>
    <t>USR01145</t>
  </si>
  <si>
    <t>USR01146</t>
  </si>
  <si>
    <t>USR01147</t>
  </si>
  <si>
    <t>USR01148</t>
  </si>
  <si>
    <t>USR01149</t>
  </si>
  <si>
    <t>USR01150</t>
  </si>
  <si>
    <t>USR01151</t>
  </si>
  <si>
    <t>USR01152</t>
  </si>
  <si>
    <t>USR01153</t>
  </si>
  <si>
    <t>USR01154</t>
  </si>
  <si>
    <t>USR01155</t>
  </si>
  <si>
    <t>USR01156</t>
  </si>
  <si>
    <t>USR01157</t>
  </si>
  <si>
    <t>USR01158</t>
  </si>
  <si>
    <t>USR01159</t>
  </si>
  <si>
    <t>USR01160</t>
  </si>
  <si>
    <t>USR01161</t>
  </si>
  <si>
    <t>USR01162</t>
  </si>
  <si>
    <t>USR01163</t>
  </si>
  <si>
    <t>USR01164</t>
  </si>
  <si>
    <t>USR01165</t>
  </si>
  <si>
    <t>USR01166</t>
  </si>
  <si>
    <t>USR01167</t>
  </si>
  <si>
    <t>USR01168</t>
  </si>
  <si>
    <t>USR01169</t>
  </si>
  <si>
    <t>USR01170</t>
  </si>
  <si>
    <t>USR01171</t>
  </si>
  <si>
    <t>USR01172</t>
  </si>
  <si>
    <t>USR01173</t>
  </si>
  <si>
    <t>USR01174</t>
  </si>
  <si>
    <t>USR01175</t>
  </si>
  <si>
    <t>USR01176</t>
  </si>
  <si>
    <t>USR01177</t>
  </si>
  <si>
    <t>USR01178</t>
  </si>
  <si>
    <t>USR01179</t>
  </si>
  <si>
    <t>USR01180</t>
  </si>
  <si>
    <t>USR01181</t>
  </si>
  <si>
    <t>USR01182</t>
  </si>
  <si>
    <t>USR01183</t>
  </si>
  <si>
    <t>USR01184</t>
  </si>
  <si>
    <t>USR01185</t>
  </si>
  <si>
    <t>USR01186</t>
  </si>
  <si>
    <t>USR01187</t>
  </si>
  <si>
    <t>USR01188</t>
  </si>
  <si>
    <t>USR01189</t>
  </si>
  <si>
    <t>USR01190</t>
  </si>
  <si>
    <t>USR01191</t>
  </si>
  <si>
    <t>USR01192</t>
  </si>
  <si>
    <t>USR01193</t>
  </si>
  <si>
    <t>USR01194</t>
  </si>
  <si>
    <t>USR01195</t>
  </si>
  <si>
    <t>USR01196</t>
  </si>
  <si>
    <t>USR01197</t>
  </si>
  <si>
    <t>USR01198</t>
  </si>
  <si>
    <t>USR01199</t>
  </si>
  <si>
    <t>USR01200</t>
  </si>
  <si>
    <t>USR01201</t>
  </si>
  <si>
    <t>USR01202</t>
  </si>
  <si>
    <t>USR01203</t>
  </si>
  <si>
    <t>USR01204</t>
  </si>
  <si>
    <t>USR01205</t>
  </si>
  <si>
    <t>USR01206</t>
  </si>
  <si>
    <t>USR01207</t>
  </si>
  <si>
    <t>USR01208</t>
  </si>
  <si>
    <t>USR01209</t>
  </si>
  <si>
    <t>USR01210</t>
  </si>
  <si>
    <t>USR01211</t>
  </si>
  <si>
    <t>USR01212</t>
  </si>
  <si>
    <t>USR01213</t>
  </si>
  <si>
    <t>USR01214</t>
  </si>
  <si>
    <t>USR01215</t>
  </si>
  <si>
    <t>USR01216</t>
  </si>
  <si>
    <t>USR01217</t>
  </si>
  <si>
    <t>USR01218</t>
  </si>
  <si>
    <t>USR01219</t>
  </si>
  <si>
    <t>USR01220</t>
  </si>
  <si>
    <t>USR01221</t>
  </si>
  <si>
    <t>USR01222</t>
  </si>
  <si>
    <t>USR01223</t>
  </si>
  <si>
    <t>USR01224</t>
  </si>
  <si>
    <t>USR01225</t>
  </si>
  <si>
    <t>USR01226</t>
  </si>
  <si>
    <t>USR01227</t>
  </si>
  <si>
    <t>USR01228</t>
  </si>
  <si>
    <t>USR01229</t>
  </si>
  <si>
    <t>USR01230</t>
  </si>
  <si>
    <t>USR01231</t>
  </si>
  <si>
    <t>USR01232</t>
  </si>
  <si>
    <t>USR01233</t>
  </si>
  <si>
    <t>USR01234</t>
  </si>
  <si>
    <t>USR01235</t>
  </si>
  <si>
    <t>USR01236</t>
  </si>
  <si>
    <t>USR01237</t>
  </si>
  <si>
    <t>USR01238</t>
  </si>
  <si>
    <t>USR01239</t>
  </si>
  <si>
    <t>USR01240</t>
  </si>
  <si>
    <t>USR01241</t>
  </si>
  <si>
    <t>USR01242</t>
  </si>
  <si>
    <t>USR01243</t>
  </si>
  <si>
    <t>USR01244</t>
  </si>
  <si>
    <t>USR01245</t>
  </si>
  <si>
    <t>USR01246</t>
  </si>
  <si>
    <t>USR01247</t>
  </si>
  <si>
    <t>USR01248</t>
  </si>
  <si>
    <t>USR01249</t>
  </si>
  <si>
    <t>USR01250</t>
  </si>
  <si>
    <t>USR01251</t>
  </si>
  <si>
    <t>USR01252</t>
  </si>
  <si>
    <t>USR01253</t>
  </si>
  <si>
    <t>USR01254</t>
  </si>
  <si>
    <t>USR01255</t>
  </si>
  <si>
    <t>USR01256</t>
  </si>
  <si>
    <t>USR01257</t>
  </si>
  <si>
    <t>USR01258</t>
  </si>
  <si>
    <t>USR01259</t>
  </si>
  <si>
    <t>USR01260</t>
  </si>
  <si>
    <t>USR01261</t>
  </si>
  <si>
    <t>USR01262</t>
  </si>
  <si>
    <t>USR01263</t>
  </si>
  <si>
    <t>USR01264</t>
  </si>
  <si>
    <t>USR01265</t>
  </si>
  <si>
    <t>USR01266</t>
  </si>
  <si>
    <t>USR01267</t>
  </si>
  <si>
    <t>USR01268</t>
  </si>
  <si>
    <t>USR01269</t>
  </si>
  <si>
    <t>USR01270</t>
  </si>
  <si>
    <t>USR01271</t>
  </si>
  <si>
    <t>USR01272</t>
  </si>
  <si>
    <t>USR01273</t>
  </si>
  <si>
    <t>USR01274</t>
  </si>
  <si>
    <t>USR01275</t>
  </si>
  <si>
    <t>USR01276</t>
  </si>
  <si>
    <t>USR01277</t>
  </si>
  <si>
    <t>USR01278</t>
  </si>
  <si>
    <t>USR01279</t>
  </si>
  <si>
    <t>USR01280</t>
  </si>
  <si>
    <t>USR01281</t>
  </si>
  <si>
    <t>USR01282</t>
  </si>
  <si>
    <t>USR01283</t>
  </si>
  <si>
    <t>USR01284</t>
  </si>
  <si>
    <t>USR01285</t>
  </si>
  <si>
    <t>USR01286</t>
  </si>
  <si>
    <t>USR01287</t>
  </si>
  <si>
    <t>USR01288</t>
  </si>
  <si>
    <t>USR01289</t>
  </si>
  <si>
    <t>USR01290</t>
  </si>
  <si>
    <t>USR01291</t>
  </si>
  <si>
    <t>USR01292</t>
  </si>
  <si>
    <t>USR01293</t>
  </si>
  <si>
    <t>USR01294</t>
  </si>
  <si>
    <t>USR01295</t>
  </si>
  <si>
    <t>USR01296</t>
  </si>
  <si>
    <t>USR01297</t>
  </si>
  <si>
    <t>USR01298</t>
  </si>
  <si>
    <t>USR01299</t>
  </si>
  <si>
    <t>USR01300</t>
  </si>
  <si>
    <t>USR01301</t>
  </si>
  <si>
    <t>USR01302</t>
  </si>
  <si>
    <t>USR01303</t>
  </si>
  <si>
    <t>USR01304</t>
  </si>
  <si>
    <t>USR01305</t>
  </si>
  <si>
    <t>USR01306</t>
  </si>
  <si>
    <t>USR01307</t>
  </si>
  <si>
    <t>USR01308</t>
  </si>
  <si>
    <t>USR01309</t>
  </si>
  <si>
    <t>USR01310</t>
  </si>
  <si>
    <t>USR01311</t>
  </si>
  <si>
    <t>USR01312</t>
  </si>
  <si>
    <t>USR01313</t>
  </si>
  <si>
    <t>USR01314</t>
  </si>
  <si>
    <t>USR01315</t>
  </si>
  <si>
    <t>USR01316</t>
  </si>
  <si>
    <t>USR01317</t>
  </si>
  <si>
    <t>USR01318</t>
  </si>
  <si>
    <t>USR01319</t>
  </si>
  <si>
    <t>USR01320</t>
  </si>
  <si>
    <t>USR01321</t>
  </si>
  <si>
    <t>USR01322</t>
  </si>
  <si>
    <t>USR01323</t>
  </si>
  <si>
    <t>USR01324</t>
  </si>
  <si>
    <t>USR01325</t>
  </si>
  <si>
    <t>USR01326</t>
  </si>
  <si>
    <t>USR01327</t>
  </si>
  <si>
    <t>USR01328</t>
  </si>
  <si>
    <t>USR01329</t>
  </si>
  <si>
    <t>USR01330</t>
  </si>
  <si>
    <t>USR01331</t>
  </si>
  <si>
    <t>USR01332</t>
  </si>
  <si>
    <t>USR01333</t>
  </si>
  <si>
    <t>USR01334</t>
  </si>
  <si>
    <t>USR01335</t>
  </si>
  <si>
    <t>USR01336</t>
  </si>
  <si>
    <t>USR01337</t>
  </si>
  <si>
    <t>USR01338</t>
  </si>
  <si>
    <t>USR01339</t>
  </si>
  <si>
    <t>USR01340</t>
  </si>
  <si>
    <t>USR01341</t>
  </si>
  <si>
    <t>USR01342</t>
  </si>
  <si>
    <t>USR01343</t>
  </si>
  <si>
    <t>USR01344</t>
  </si>
  <si>
    <t>USR01345</t>
  </si>
  <si>
    <t>USR01346</t>
  </si>
  <si>
    <t>USR01347</t>
  </si>
  <si>
    <t>USR01348</t>
  </si>
  <si>
    <t>USR01349</t>
  </si>
  <si>
    <t>USR01350</t>
  </si>
  <si>
    <t>USR01351</t>
  </si>
  <si>
    <t>USR01352</t>
  </si>
  <si>
    <t>USR01353</t>
  </si>
  <si>
    <t>USR01354</t>
  </si>
  <si>
    <t>USR01355</t>
  </si>
  <si>
    <t>USR01356</t>
  </si>
  <si>
    <t>USR01357</t>
  </si>
  <si>
    <t>USR01358</t>
  </si>
  <si>
    <t>USR01359</t>
  </si>
  <si>
    <t>USR01360</t>
  </si>
  <si>
    <t>USR01361</t>
  </si>
  <si>
    <t>USR01362</t>
  </si>
  <si>
    <t>USR01363</t>
  </si>
  <si>
    <t>USR01364</t>
  </si>
  <si>
    <t>USR01365</t>
  </si>
  <si>
    <t>USR01366</t>
  </si>
  <si>
    <t>USR01367</t>
  </si>
  <si>
    <t>USR01368</t>
  </si>
  <si>
    <t>USR01369</t>
  </si>
  <si>
    <t>USR01370</t>
  </si>
  <si>
    <t>USR01371</t>
  </si>
  <si>
    <t>USR01372</t>
  </si>
  <si>
    <t>USR01373</t>
  </si>
  <si>
    <t>USR01374</t>
  </si>
  <si>
    <t>USR01375</t>
  </si>
  <si>
    <t>USR01376</t>
  </si>
  <si>
    <t>USR01377</t>
  </si>
  <si>
    <t>USR01378</t>
  </si>
  <si>
    <t>USR01379</t>
  </si>
  <si>
    <t>USR01380</t>
  </si>
  <si>
    <t>USR01381</t>
  </si>
  <si>
    <t>USR01382</t>
  </si>
  <si>
    <t>USR01383</t>
  </si>
  <si>
    <t>USR01384</t>
  </si>
  <si>
    <t>USR01385</t>
  </si>
  <si>
    <t>USR01386</t>
  </si>
  <si>
    <t>USR01387</t>
  </si>
  <si>
    <t>USR01388</t>
  </si>
  <si>
    <t>USR01389</t>
  </si>
  <si>
    <t>USR01390</t>
  </si>
  <si>
    <t>USR01391</t>
  </si>
  <si>
    <t>USR01392</t>
  </si>
  <si>
    <t>USR01393</t>
  </si>
  <si>
    <t>USR01394</t>
  </si>
  <si>
    <t>USR01395</t>
  </si>
  <si>
    <t>USR01396</t>
  </si>
  <si>
    <t>USR01397</t>
  </si>
  <si>
    <t>USR01398</t>
  </si>
  <si>
    <t>USR01399</t>
  </si>
  <si>
    <t>USR01400</t>
  </si>
  <si>
    <t>USR01401</t>
  </si>
  <si>
    <t>USR01402</t>
  </si>
  <si>
    <t>USR01403</t>
  </si>
  <si>
    <t>USR01404</t>
  </si>
  <si>
    <t>USR01405</t>
  </si>
  <si>
    <t>USR01406</t>
  </si>
  <si>
    <t>USR01407</t>
  </si>
  <si>
    <t>USR01408</t>
  </si>
  <si>
    <t>USR01409</t>
  </si>
  <si>
    <t>USR01410</t>
  </si>
  <si>
    <t>USR01411</t>
  </si>
  <si>
    <t>USR01412</t>
  </si>
  <si>
    <t>USR01413</t>
  </si>
  <si>
    <t>USR01414</t>
  </si>
  <si>
    <t>USR01415</t>
  </si>
  <si>
    <t>USR01416</t>
  </si>
  <si>
    <t>USR01417</t>
  </si>
  <si>
    <t>USR01418</t>
  </si>
  <si>
    <t>USR01419</t>
  </si>
  <si>
    <t>USR01420</t>
  </si>
  <si>
    <t>USR01421</t>
  </si>
  <si>
    <t>USR01422</t>
  </si>
  <si>
    <t>USR01423</t>
  </si>
  <si>
    <t>USR01424</t>
  </si>
  <si>
    <t>USR01425</t>
  </si>
  <si>
    <t>USR01426</t>
  </si>
  <si>
    <t>USR01427</t>
  </si>
  <si>
    <t>USR01428</t>
  </si>
  <si>
    <t>USR01429</t>
  </si>
  <si>
    <t>USR01430</t>
  </si>
  <si>
    <t>USR01431</t>
  </si>
  <si>
    <t>USR01432</t>
  </si>
  <si>
    <t>USR01433</t>
  </si>
  <si>
    <t>USR01434</t>
  </si>
  <si>
    <t>USR01435</t>
  </si>
  <si>
    <t>USR01436</t>
  </si>
  <si>
    <t>USR01437</t>
  </si>
  <si>
    <t>USR01438</t>
  </si>
  <si>
    <t>USR01439</t>
  </si>
  <si>
    <t>USR01440</t>
  </si>
  <si>
    <t>USR01441</t>
  </si>
  <si>
    <t>USR01442</t>
  </si>
  <si>
    <t>USR01443</t>
  </si>
  <si>
    <t>USR01444</t>
  </si>
  <si>
    <t>USR01445</t>
  </si>
  <si>
    <t>USR01446</t>
  </si>
  <si>
    <t>USR01447</t>
  </si>
  <si>
    <t>USR01448</t>
  </si>
  <si>
    <t>USR01449</t>
  </si>
  <si>
    <t>USR01450</t>
  </si>
  <si>
    <t>USR01451</t>
  </si>
  <si>
    <t>USR01452</t>
  </si>
  <si>
    <t>USR01453</t>
  </si>
  <si>
    <t>USR01454</t>
  </si>
  <si>
    <t>USR01455</t>
  </si>
  <si>
    <t>USR01456</t>
  </si>
  <si>
    <t>USR01457</t>
  </si>
  <si>
    <t>USR01458</t>
  </si>
  <si>
    <t>USR01459</t>
  </si>
  <si>
    <t>USR01460</t>
  </si>
  <si>
    <t>USR01461</t>
  </si>
  <si>
    <t>USR01462</t>
  </si>
  <si>
    <t>USR01463</t>
  </si>
  <si>
    <t>USR01464</t>
  </si>
  <si>
    <t>USR01465</t>
  </si>
  <si>
    <t>USR01466</t>
  </si>
  <si>
    <t>USR01467</t>
  </si>
  <si>
    <t>USR01468</t>
  </si>
  <si>
    <t>USR01469</t>
  </si>
  <si>
    <t>USR01470</t>
  </si>
  <si>
    <t>USR01471</t>
  </si>
  <si>
    <t>USR01472</t>
  </si>
  <si>
    <t>USR01473</t>
  </si>
  <si>
    <t>USR01474</t>
  </si>
  <si>
    <t>USR01475</t>
  </si>
  <si>
    <t>USR01476</t>
  </si>
  <si>
    <t>USR01477</t>
  </si>
  <si>
    <t>USR01478</t>
  </si>
  <si>
    <t>USR01479</t>
  </si>
  <si>
    <t>USR01480</t>
  </si>
  <si>
    <t>USR01481</t>
  </si>
  <si>
    <t>USR01482</t>
  </si>
  <si>
    <t>USR01483</t>
  </si>
  <si>
    <t>USR01484</t>
  </si>
  <si>
    <t>USR01485</t>
  </si>
  <si>
    <t>USR01486</t>
  </si>
  <si>
    <t>USR01487</t>
  </si>
  <si>
    <t>USR01488</t>
  </si>
  <si>
    <t>USR01489</t>
  </si>
  <si>
    <t>USR01490</t>
  </si>
  <si>
    <t>USR01491</t>
  </si>
  <si>
    <t>USR01492</t>
  </si>
  <si>
    <t>USR01493</t>
  </si>
  <si>
    <t>USR01494</t>
  </si>
  <si>
    <t>USR01495</t>
  </si>
  <si>
    <t>USR01496</t>
  </si>
  <si>
    <t>USR01497</t>
  </si>
  <si>
    <t>USR01498</t>
  </si>
  <si>
    <t>USR01499</t>
  </si>
  <si>
    <t>USR01500</t>
  </si>
  <si>
    <t>(blank)</t>
  </si>
  <si>
    <t>Grand Total</t>
  </si>
  <si>
    <t>Row Labels</t>
  </si>
  <si>
    <t>Counts</t>
  </si>
  <si>
    <t>Platforms</t>
  </si>
  <si>
    <t>Sum of Daily_Usage_Hours</t>
  </si>
  <si>
    <t>Avg.Daily_Usage(hrs)</t>
  </si>
  <si>
    <t>occupation</t>
  </si>
  <si>
    <t>Count of User_ID</t>
  </si>
  <si>
    <t>SOCAL MEDIA ADDTICTION DASHBOARD</t>
  </si>
  <si>
    <t>Average of Daily_Usage_Hours</t>
  </si>
  <si>
    <t>Average of Mental_Wellbeing_Score</t>
  </si>
  <si>
    <t>Average of Sleep_Hours</t>
  </si>
  <si>
    <t>Average of Notifications_Per_Day</t>
  </si>
  <si>
    <t>Sum of Platforms_Used_Count</t>
  </si>
  <si>
    <t>age group</t>
  </si>
  <si>
    <t>18-24</t>
  </si>
  <si>
    <t>Count of age group</t>
  </si>
  <si>
    <t>Column Labels</t>
  </si>
  <si>
    <t>rer</t>
  </si>
  <si>
    <t>Sum of Anxiety_Score</t>
  </si>
  <si>
    <t>Sum of Notifications_Per_Day</t>
  </si>
  <si>
    <t>Sum of Notifications_Per_Day2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</si>
</sst>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rgb="FFFF0000"/>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0" fontId="18" fillId="33" borderId="0" xfId="0" applyFont="1" applyFill="1" applyAlignment="1">
      <alignment horizontal="center"/>
    </xf>
    <xf numFmtId="0" fontId="14" fillId="33" borderId="0" xfId="0" applyFont="1" applyFill="1" applyAlignment="1">
      <alignment horizontal="center"/>
    </xf>
    <xf numFmtId="0" fontId="0" fillId="0" borderId="0" xfId="0" applyNumberFormat="1"/>
    <xf numFmtId="164"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4" formatCode="0.00,&quot;k&quot;"/>
    </dxf>
    <dxf>
      <numFmt numFmtId="0" formatCode="General"/>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Clean_data_dashboard.xlsx]pivots!platform_usages</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social media platform addiction level</a:t>
            </a:r>
            <a:endParaRPr lang="en-US"/>
          </a:p>
        </c:rich>
      </c:tx>
      <c:layout>
        <c:manualLayout>
          <c:xMode val="edge"/>
          <c:yMode val="edge"/>
          <c:x val="0.15946629641132445"/>
          <c:y val="6.0731525791553061E-2"/>
        </c:manualLayout>
      </c:layout>
      <c:overlay val="0"/>
      <c:spPr>
        <a:gradFill flip="none" rotWithShape="1">
          <a:gsLst>
            <a:gs pos="0">
              <a:schemeClr val="accent1">
                <a:lumMod val="5000"/>
                <a:lumOff val="95000"/>
              </a:schemeClr>
            </a:gs>
            <a:gs pos="100000">
              <a:schemeClr val="accent1">
                <a:lumMod val="28000"/>
                <a:lumOff val="72000"/>
              </a:schemeClr>
            </a:gs>
          </a:gsLst>
          <a:lin ang="2700000" scaled="1"/>
          <a:tileRect/>
        </a:gra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pivots!$A$4:$A$9</c:f>
              <c:strCache>
                <c:ptCount val="6"/>
                <c:pt idx="0">
                  <c:v>YouTube</c:v>
                </c:pt>
                <c:pt idx="1">
                  <c:v>Instagram</c:v>
                </c:pt>
                <c:pt idx="2">
                  <c:v>TikTok</c:v>
                </c:pt>
                <c:pt idx="3">
                  <c:v>Twitter/X</c:v>
                </c:pt>
                <c:pt idx="4">
                  <c:v>Facebook</c:v>
                </c:pt>
                <c:pt idx="5">
                  <c:v>Snapchat</c:v>
                </c:pt>
              </c:strCache>
            </c:strRef>
          </c:cat>
          <c:val>
            <c:numRef>
              <c:f>pivots!$B$4:$B$9</c:f>
              <c:numCache>
                <c:formatCode>General</c:formatCode>
                <c:ptCount val="6"/>
                <c:pt idx="0">
                  <c:v>39</c:v>
                </c:pt>
                <c:pt idx="1">
                  <c:v>35</c:v>
                </c:pt>
                <c:pt idx="2">
                  <c:v>26</c:v>
                </c:pt>
                <c:pt idx="3">
                  <c:v>22</c:v>
                </c:pt>
                <c:pt idx="4">
                  <c:v>20</c:v>
                </c:pt>
                <c:pt idx="5">
                  <c:v>9</c:v>
                </c:pt>
              </c:numCache>
            </c:numRef>
          </c:val>
          <c:extLst>
            <c:ext xmlns:c16="http://schemas.microsoft.com/office/drawing/2014/chart" uri="{C3380CC4-5D6E-409C-BE32-E72D297353CC}">
              <c16:uniqueId val="{00000000-B2ED-4340-AB3D-3F2576D9590A}"/>
            </c:ext>
          </c:extLst>
        </c:ser>
        <c:dLbls>
          <c:dLblPos val="outEnd"/>
          <c:showLegendKey val="0"/>
          <c:showVal val="1"/>
          <c:showCatName val="0"/>
          <c:showSerName val="0"/>
          <c:showPercent val="0"/>
          <c:showBubbleSize val="0"/>
        </c:dLbls>
        <c:gapWidth val="219"/>
        <c:overlap val="-27"/>
        <c:axId val="481274208"/>
        <c:axId val="395947936"/>
      </c:barChart>
      <c:catAx>
        <c:axId val="48127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5947936"/>
        <c:crosses val="autoZero"/>
        <c:auto val="1"/>
        <c:lblAlgn val="ctr"/>
        <c:lblOffset val="100"/>
        <c:noMultiLvlLbl val="0"/>
      </c:catAx>
      <c:valAx>
        <c:axId val="395947936"/>
        <c:scaling>
          <c:orientation val="minMax"/>
        </c:scaling>
        <c:delete val="1"/>
        <c:axPos val="l"/>
        <c:numFmt formatCode="General" sourceLinked="1"/>
        <c:majorTickMark val="out"/>
        <c:minorTickMark val="none"/>
        <c:tickLblPos val="nextTo"/>
        <c:crossAx val="481274208"/>
        <c:crosses val="autoZero"/>
        <c:crossBetween val="between"/>
      </c:valAx>
      <c:spPr>
        <a:noFill/>
        <a:ln>
          <a:noFill/>
        </a:ln>
        <a:effectLst>
          <a:glow rad="139700">
            <a:schemeClr val="accent1">
              <a:lumMod val="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100000">
          <a:schemeClr val="accent3">
            <a:lumMod val="100000"/>
          </a:schemeClr>
        </a:gs>
      </a:gsLst>
      <a:lin ang="5400000" scaled="1"/>
      <a:tileRect/>
    </a:gradFill>
    <a:ln w="9525" cap="flat" cmpd="sng" algn="ctr">
      <a:solidFill>
        <a:schemeClr val="tx1">
          <a:lumMod val="15000"/>
          <a:lumOff val="85000"/>
        </a:schemeClr>
      </a:solidFill>
      <a:round/>
    </a:ln>
    <a:effectLst>
      <a:outerShdw blurRad="50800" dist="63500" dir="5400000" algn="t" rotWithShape="0">
        <a:schemeClr val="accent1">
          <a:lumMod val="75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Clean_data_dashboard.xlsx]pivots!occupations use</c:name>
    <c:fmtId val="0"/>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c:f>
              <c:strCache>
                <c:ptCount val="1"/>
                <c:pt idx="0">
                  <c:v>Total</c:v>
                </c:pt>
              </c:strCache>
            </c:strRef>
          </c:tx>
          <c:spPr>
            <a:solidFill>
              <a:schemeClr val="accent1"/>
            </a:solidFill>
            <a:ln>
              <a:noFill/>
            </a:ln>
            <a:effectLst/>
          </c:spPr>
          <c:invertIfNegative val="0"/>
          <c:cat>
            <c:strRef>
              <c:f>pivots!$A$13:$A$18</c:f>
              <c:strCache>
                <c:ptCount val="5"/>
                <c:pt idx="0">
                  <c:v>Freelancer</c:v>
                </c:pt>
                <c:pt idx="1">
                  <c:v>Student</c:v>
                </c:pt>
                <c:pt idx="2">
                  <c:v>Unemployed</c:v>
                </c:pt>
                <c:pt idx="3">
                  <c:v>Working Professional</c:v>
                </c:pt>
                <c:pt idx="4">
                  <c:v>(blank)</c:v>
                </c:pt>
              </c:strCache>
            </c:strRef>
          </c:cat>
          <c:val>
            <c:numRef>
              <c:f>pivots!$B$13:$B$18</c:f>
              <c:numCache>
                <c:formatCode>General</c:formatCode>
                <c:ptCount val="5"/>
                <c:pt idx="0">
                  <c:v>4.371428571428571</c:v>
                </c:pt>
                <c:pt idx="1">
                  <c:v>4.6421052631578945</c:v>
                </c:pt>
                <c:pt idx="2">
                  <c:v>5.333333333333333</c:v>
                </c:pt>
                <c:pt idx="3">
                  <c:v>4.0066666666666668</c:v>
                </c:pt>
                <c:pt idx="4">
                  <c:v>3.6</c:v>
                </c:pt>
              </c:numCache>
            </c:numRef>
          </c:val>
          <c:extLst>
            <c:ext xmlns:c16="http://schemas.microsoft.com/office/drawing/2014/chart" uri="{C3380CC4-5D6E-409C-BE32-E72D297353CC}">
              <c16:uniqueId val="{00000000-3A47-4990-811C-6DFB6F48B271}"/>
            </c:ext>
          </c:extLst>
        </c:ser>
        <c:dLbls>
          <c:showLegendKey val="0"/>
          <c:showVal val="0"/>
          <c:showCatName val="0"/>
          <c:showSerName val="0"/>
          <c:showPercent val="0"/>
          <c:showBubbleSize val="0"/>
        </c:dLbls>
        <c:gapWidth val="219"/>
        <c:overlap val="-27"/>
        <c:axId val="471781168"/>
        <c:axId val="117914752"/>
      </c:barChart>
      <c:catAx>
        <c:axId val="47178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7914752"/>
        <c:crosses val="autoZero"/>
        <c:auto val="1"/>
        <c:lblAlgn val="ctr"/>
        <c:lblOffset val="100"/>
        <c:noMultiLvlLbl val="0"/>
      </c:catAx>
      <c:valAx>
        <c:axId val="11791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7178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Platform wise additons</a:t>
            </a:r>
          </a:p>
        </c:rich>
      </c:tx>
      <c:layout>
        <c:manualLayout>
          <c:xMode val="edge"/>
          <c:yMode val="edge"/>
          <c:x val="0.26639566929133857"/>
          <c:y val="1.3888888888888888E-2"/>
        </c:manualLayout>
      </c:layout>
      <c:overlay val="0"/>
      <c:spPr>
        <a:solidFill>
          <a:schemeClr val="bg1">
            <a:lumMod val="85000"/>
          </a:scheme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333333333333333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7777777777777776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758-4EDF-90E8-D71CA58D5A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758-4EDF-90E8-D71CA58D5A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22-483C-AB8B-AFFEE56A3F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22-483C-AB8B-AFFEE56A3F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22-483C-AB8B-AFFEE56A3FB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22-483C-AB8B-AFFEE56A3FB9}"/>
              </c:ext>
            </c:extLst>
          </c:dPt>
          <c:dLbls>
            <c:dLbl>
              <c:idx val="0"/>
              <c:layout>
                <c:manualLayout>
                  <c:x val="2.7777777777777776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58-4EDF-90E8-D71CA58D5A5A}"/>
                </c:ext>
              </c:extLst>
            </c:dLbl>
            <c:dLbl>
              <c:idx val="1"/>
              <c:layout>
                <c:manualLayout>
                  <c:x val="3.333333333333333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758-4EDF-90E8-D71CA58D5A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pivots!$A$32:$A$38</c:f>
              <c:strCache>
                <c:ptCount val="6"/>
                <c:pt idx="0">
                  <c:v>Snapchat</c:v>
                </c:pt>
                <c:pt idx="1">
                  <c:v>Facebook</c:v>
                </c:pt>
                <c:pt idx="2">
                  <c:v>Twitter/X</c:v>
                </c:pt>
                <c:pt idx="3">
                  <c:v>TikTok</c:v>
                </c:pt>
                <c:pt idx="4">
                  <c:v>YouTube</c:v>
                </c:pt>
                <c:pt idx="5">
                  <c:v>Instagram</c:v>
                </c:pt>
              </c:strCache>
            </c:strRef>
          </c:cat>
          <c:val>
            <c:numRef>
              <c:f>pivots!$B$32:$B$38</c:f>
              <c:numCache>
                <c:formatCode>General</c:formatCode>
                <c:ptCount val="6"/>
                <c:pt idx="0">
                  <c:v>114</c:v>
                </c:pt>
                <c:pt idx="1">
                  <c:v>129</c:v>
                </c:pt>
                <c:pt idx="2">
                  <c:v>144</c:v>
                </c:pt>
                <c:pt idx="3">
                  <c:v>170</c:v>
                </c:pt>
                <c:pt idx="4">
                  <c:v>207</c:v>
                </c:pt>
                <c:pt idx="5">
                  <c:v>339</c:v>
                </c:pt>
              </c:numCache>
            </c:numRef>
          </c:val>
          <c:extLst>
            <c:ext xmlns:c16="http://schemas.microsoft.com/office/drawing/2014/chart" uri="{C3380CC4-5D6E-409C-BE32-E72D297353CC}">
              <c16:uniqueId val="{00000000-B758-4EDF-90E8-D71CA58D5A5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Clean_data_dashboard.xlsx]pivots!age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a:t>
            </a:r>
            <a:r>
              <a:rPr lang="en-IN" baseline="0"/>
              <a:t> addictions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16358658453114E-2"/>
          <c:y val="0.17171296296296296"/>
          <c:w val="0.92066613849860146"/>
          <c:h val="0.72088764946048411"/>
        </c:manualLayout>
      </c:layout>
      <c:barChart>
        <c:barDir val="col"/>
        <c:grouping val="stacked"/>
        <c:varyColors val="0"/>
        <c:ser>
          <c:idx val="0"/>
          <c:order val="0"/>
          <c:tx>
            <c:strRef>
              <c:f>pivots!$B$41:$B$42</c:f>
              <c:strCache>
                <c:ptCount val="1"/>
                <c:pt idx="0">
                  <c:v>Non-binary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pivots!$A$43:$A$44</c:f>
              <c:strCache>
                <c:ptCount val="1"/>
                <c:pt idx="0">
                  <c:v>18-24</c:v>
                </c:pt>
              </c:strCache>
            </c:strRef>
          </c:cat>
          <c:val>
            <c:numRef>
              <c:f>pivots!$B$43:$B$44</c:f>
              <c:numCache>
                <c:formatCode>General</c:formatCode>
                <c:ptCount val="1"/>
                <c:pt idx="0">
                  <c:v>46</c:v>
                </c:pt>
              </c:numCache>
            </c:numRef>
          </c:val>
          <c:extLst>
            <c:ext xmlns:c16="http://schemas.microsoft.com/office/drawing/2014/chart" uri="{C3380CC4-5D6E-409C-BE32-E72D297353CC}">
              <c16:uniqueId val="{00000000-CB06-479F-88FD-86B559E3869F}"/>
            </c:ext>
          </c:extLst>
        </c:ser>
        <c:dLbls>
          <c:dLblPos val="inBase"/>
          <c:showLegendKey val="0"/>
          <c:showVal val="1"/>
          <c:showCatName val="0"/>
          <c:showSerName val="0"/>
          <c:showPercent val="0"/>
          <c:showBubbleSize val="0"/>
        </c:dLbls>
        <c:gapWidth val="150"/>
        <c:overlap val="100"/>
        <c:axId val="1778685536"/>
        <c:axId val="1645623776"/>
      </c:barChart>
      <c:catAx>
        <c:axId val="17786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23776"/>
        <c:crosses val="autoZero"/>
        <c:auto val="1"/>
        <c:lblAlgn val="ctr"/>
        <c:lblOffset val="100"/>
        <c:noMultiLvlLbl val="0"/>
      </c:catAx>
      <c:valAx>
        <c:axId val="1645623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78685536"/>
        <c:crosses val="autoZero"/>
        <c:crossBetween val="between"/>
      </c:valAx>
      <c:spPr>
        <a:noFill/>
        <a:ln>
          <a:noFill/>
        </a:ln>
        <a:effectLst/>
      </c:spPr>
    </c:plotArea>
    <c:legend>
      <c:legendPos val="r"/>
      <c:layout>
        <c:manualLayout>
          <c:xMode val="edge"/>
          <c:yMode val="edge"/>
          <c:x val="0.32184858822831958"/>
          <c:y val="0.17708223972003501"/>
          <c:w val="0.42738265372330853"/>
          <c:h val="9.02799650043744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pivots!$A$58:$A$62</c:f>
              <c:strCache>
                <c:ptCount val="4"/>
                <c:pt idx="0">
                  <c:v>Female</c:v>
                </c:pt>
                <c:pt idx="1">
                  <c:v>Male</c:v>
                </c:pt>
                <c:pt idx="2">
                  <c:v>Non-binary</c:v>
                </c:pt>
                <c:pt idx="3">
                  <c:v>(blank)</c:v>
                </c:pt>
              </c:strCache>
            </c:strRef>
          </c:cat>
          <c:val>
            <c:numRef>
              <c:f>pivots!$B$58:$B$62</c:f>
              <c:numCache>
                <c:formatCode>0.00,"k"</c:formatCode>
                <c:ptCount val="4"/>
                <c:pt idx="0">
                  <c:v>3068.5999999999981</c:v>
                </c:pt>
                <c:pt idx="1">
                  <c:v>3206.799999999997</c:v>
                </c:pt>
                <c:pt idx="2">
                  <c:v>867.40000000000009</c:v>
                </c:pt>
                <c:pt idx="3">
                  <c:v>277.70000000000005</c:v>
                </c:pt>
              </c:numCache>
            </c:numRef>
          </c:val>
          <c:extLst>
            <c:ext xmlns:c16="http://schemas.microsoft.com/office/drawing/2014/chart" uri="{C3380CC4-5D6E-409C-BE32-E72D297353CC}">
              <c16:uniqueId val="{00000000-8AAE-43EF-A724-2C8AF315058B}"/>
            </c:ext>
          </c:extLst>
        </c:ser>
        <c:dLbls>
          <c:dLblPos val="outEnd"/>
          <c:showLegendKey val="0"/>
          <c:showVal val="1"/>
          <c:showCatName val="0"/>
          <c:showSerName val="0"/>
          <c:showPercent val="0"/>
          <c:showBubbleSize val="0"/>
        </c:dLbls>
        <c:gapWidth val="219"/>
        <c:overlap val="-27"/>
        <c:axId val="1534712639"/>
        <c:axId val="1493368703"/>
      </c:barChart>
      <c:catAx>
        <c:axId val="153471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68703"/>
        <c:crosses val="autoZero"/>
        <c:auto val="1"/>
        <c:lblAlgn val="ctr"/>
        <c:lblOffset val="100"/>
        <c:noMultiLvlLbl val="0"/>
      </c:catAx>
      <c:valAx>
        <c:axId val="1493368703"/>
        <c:scaling>
          <c:orientation val="minMax"/>
        </c:scaling>
        <c:delete val="1"/>
        <c:axPos val="l"/>
        <c:numFmt formatCode="0.00,&quot;k&quot;" sourceLinked="1"/>
        <c:majorTickMark val="none"/>
        <c:minorTickMark val="none"/>
        <c:tickLblPos val="nextTo"/>
        <c:crossAx val="153471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pivots!$B$66</c:f>
              <c:strCache>
                <c:ptCount val="1"/>
                <c:pt idx="0">
                  <c:v>Sum of Notifications_Per_Day</c:v>
                </c:pt>
              </c:strCache>
            </c:strRef>
          </c:tx>
          <c:spPr>
            <a:solidFill>
              <a:schemeClr val="accent1"/>
            </a:solidFill>
            <a:ln>
              <a:noFill/>
            </a:ln>
            <a:effectLst/>
          </c:spPr>
          <c:invertIfNegative val="0"/>
          <c:cat>
            <c:strRef>
              <c:f>pivots!$A$67:$A$77</c:f>
              <c:strCache>
                <c:ptCount val="10"/>
                <c:pt idx="0">
                  <c:v>USR00193</c:v>
                </c:pt>
                <c:pt idx="1">
                  <c:v>USR00833</c:v>
                </c:pt>
                <c:pt idx="2">
                  <c:v>USR01005</c:v>
                </c:pt>
                <c:pt idx="3">
                  <c:v>USR00143</c:v>
                </c:pt>
                <c:pt idx="4">
                  <c:v>USR01213</c:v>
                </c:pt>
                <c:pt idx="5">
                  <c:v>USR00138</c:v>
                </c:pt>
                <c:pt idx="6">
                  <c:v>USR00732</c:v>
                </c:pt>
                <c:pt idx="7">
                  <c:v>USR00700</c:v>
                </c:pt>
                <c:pt idx="8">
                  <c:v>USR00875</c:v>
                </c:pt>
                <c:pt idx="9">
                  <c:v>USR00481</c:v>
                </c:pt>
              </c:strCache>
            </c:strRef>
          </c:cat>
          <c:val>
            <c:numRef>
              <c:f>pivots!$B$67:$B$77</c:f>
              <c:numCache>
                <c:formatCode>0.00%</c:formatCode>
                <c:ptCount val="10"/>
                <c:pt idx="0">
                  <c:v>0.11022044088176353</c:v>
                </c:pt>
                <c:pt idx="1">
                  <c:v>0.10354041416165664</c:v>
                </c:pt>
                <c:pt idx="2">
                  <c:v>0.10354041416165664</c:v>
                </c:pt>
                <c:pt idx="3">
                  <c:v>9.8196392785571143E-2</c:v>
                </c:pt>
                <c:pt idx="4">
                  <c:v>9.8196392785571143E-2</c:v>
                </c:pt>
                <c:pt idx="5">
                  <c:v>9.8196392785571143E-2</c:v>
                </c:pt>
                <c:pt idx="6">
                  <c:v>9.7528390113560459E-2</c:v>
                </c:pt>
                <c:pt idx="7">
                  <c:v>9.7528390113560459E-2</c:v>
                </c:pt>
                <c:pt idx="8">
                  <c:v>9.6860387441549761E-2</c:v>
                </c:pt>
                <c:pt idx="9">
                  <c:v>9.6192384769539077E-2</c:v>
                </c:pt>
              </c:numCache>
            </c:numRef>
          </c:val>
          <c:extLst>
            <c:ext xmlns:c16="http://schemas.microsoft.com/office/drawing/2014/chart" uri="{C3380CC4-5D6E-409C-BE32-E72D297353CC}">
              <c16:uniqueId val="{00000000-5201-4554-AA49-BD41A4943FA9}"/>
            </c:ext>
          </c:extLst>
        </c:ser>
        <c:ser>
          <c:idx val="1"/>
          <c:order val="1"/>
          <c:tx>
            <c:strRef>
              <c:f>pivots!$C$66</c:f>
              <c:strCache>
                <c:ptCount val="1"/>
                <c:pt idx="0">
                  <c:v>Sum of Notifications_Per_Day2</c:v>
                </c:pt>
              </c:strCache>
            </c:strRef>
          </c:tx>
          <c:spPr>
            <a:solidFill>
              <a:schemeClr val="accent2"/>
            </a:solidFill>
            <a:ln>
              <a:noFill/>
            </a:ln>
            <a:effectLst/>
          </c:spPr>
          <c:invertIfNegative val="0"/>
          <c:cat>
            <c:strRef>
              <c:f>pivots!$A$67:$A$77</c:f>
              <c:strCache>
                <c:ptCount val="10"/>
                <c:pt idx="0">
                  <c:v>USR00193</c:v>
                </c:pt>
                <c:pt idx="1">
                  <c:v>USR00833</c:v>
                </c:pt>
                <c:pt idx="2">
                  <c:v>USR01005</c:v>
                </c:pt>
                <c:pt idx="3">
                  <c:v>USR00143</c:v>
                </c:pt>
                <c:pt idx="4">
                  <c:v>USR01213</c:v>
                </c:pt>
                <c:pt idx="5">
                  <c:v>USR00138</c:v>
                </c:pt>
                <c:pt idx="6">
                  <c:v>USR00732</c:v>
                </c:pt>
                <c:pt idx="7">
                  <c:v>USR00700</c:v>
                </c:pt>
                <c:pt idx="8">
                  <c:v>USR00875</c:v>
                </c:pt>
                <c:pt idx="9">
                  <c:v>USR00481</c:v>
                </c:pt>
              </c:strCache>
            </c:strRef>
          </c:cat>
          <c:val>
            <c:numRef>
              <c:f>pivots!$C$67:$C$77</c:f>
              <c:numCache>
                <c:formatCode>General</c:formatCode>
                <c:ptCount val="10"/>
                <c:pt idx="0">
                  <c:v>165</c:v>
                </c:pt>
                <c:pt idx="1">
                  <c:v>155</c:v>
                </c:pt>
                <c:pt idx="2">
                  <c:v>155</c:v>
                </c:pt>
                <c:pt idx="3">
                  <c:v>147</c:v>
                </c:pt>
                <c:pt idx="4">
                  <c:v>147</c:v>
                </c:pt>
                <c:pt idx="5">
                  <c:v>147</c:v>
                </c:pt>
                <c:pt idx="6">
                  <c:v>146</c:v>
                </c:pt>
                <c:pt idx="7">
                  <c:v>146</c:v>
                </c:pt>
                <c:pt idx="8">
                  <c:v>145</c:v>
                </c:pt>
                <c:pt idx="9">
                  <c:v>144</c:v>
                </c:pt>
              </c:numCache>
            </c:numRef>
          </c:val>
          <c:extLst>
            <c:ext xmlns:c16="http://schemas.microsoft.com/office/drawing/2014/chart" uri="{C3380CC4-5D6E-409C-BE32-E72D297353CC}">
              <c16:uniqueId val="{00000002-5201-4554-AA49-BD41A4943FA9}"/>
            </c:ext>
          </c:extLst>
        </c:ser>
        <c:dLbls>
          <c:showLegendKey val="0"/>
          <c:showVal val="0"/>
          <c:showCatName val="0"/>
          <c:showSerName val="0"/>
          <c:showPercent val="0"/>
          <c:showBubbleSize val="0"/>
        </c:dLbls>
        <c:gapWidth val="182"/>
        <c:axId val="1534719135"/>
        <c:axId val="1348870271"/>
      </c:barChart>
      <c:catAx>
        <c:axId val="153471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870271"/>
        <c:crosses val="autoZero"/>
        <c:auto val="1"/>
        <c:lblAlgn val="ctr"/>
        <c:lblOffset val="100"/>
        <c:noMultiLvlLbl val="0"/>
      </c:catAx>
      <c:valAx>
        <c:axId val="13488702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1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Clean_data_dashboard.xlsx]pivots!age group</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a:t>
            </a:r>
            <a:r>
              <a:rPr lang="en-IN" baseline="0"/>
              <a:t> addictions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16358658453114E-2"/>
          <c:y val="0.17171296296296296"/>
          <c:w val="0.92066613849860146"/>
          <c:h val="0.72088764946048411"/>
        </c:manualLayout>
      </c:layout>
      <c:barChart>
        <c:barDir val="col"/>
        <c:grouping val="stacked"/>
        <c:varyColors val="0"/>
        <c:ser>
          <c:idx val="0"/>
          <c:order val="0"/>
          <c:tx>
            <c:strRef>
              <c:f>pivots!$B$41:$B$42</c:f>
              <c:strCache>
                <c:ptCount val="1"/>
                <c:pt idx="0">
                  <c:v>Non-binary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pivots!$A$43:$A$44</c:f>
              <c:strCache>
                <c:ptCount val="1"/>
                <c:pt idx="0">
                  <c:v>18-24</c:v>
                </c:pt>
              </c:strCache>
            </c:strRef>
          </c:cat>
          <c:val>
            <c:numRef>
              <c:f>pivots!$B$43:$B$44</c:f>
              <c:numCache>
                <c:formatCode>General</c:formatCode>
                <c:ptCount val="1"/>
                <c:pt idx="0">
                  <c:v>46</c:v>
                </c:pt>
              </c:numCache>
            </c:numRef>
          </c:val>
          <c:extLst>
            <c:ext xmlns:c16="http://schemas.microsoft.com/office/drawing/2014/chart" uri="{C3380CC4-5D6E-409C-BE32-E72D297353CC}">
              <c16:uniqueId val="{00000000-325E-4A5F-800B-C1965E77BFCE}"/>
            </c:ext>
          </c:extLst>
        </c:ser>
        <c:dLbls>
          <c:dLblPos val="inBase"/>
          <c:showLegendKey val="0"/>
          <c:showVal val="1"/>
          <c:showCatName val="0"/>
          <c:showSerName val="0"/>
          <c:showPercent val="0"/>
          <c:showBubbleSize val="0"/>
        </c:dLbls>
        <c:gapWidth val="150"/>
        <c:overlap val="100"/>
        <c:axId val="1778685536"/>
        <c:axId val="1645623776"/>
      </c:barChart>
      <c:catAx>
        <c:axId val="17786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23776"/>
        <c:crosses val="autoZero"/>
        <c:auto val="1"/>
        <c:lblAlgn val="ctr"/>
        <c:lblOffset val="100"/>
        <c:noMultiLvlLbl val="0"/>
      </c:catAx>
      <c:valAx>
        <c:axId val="1645623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78685536"/>
        <c:crosses val="autoZero"/>
        <c:crossBetween val="between"/>
      </c:valAx>
      <c:spPr>
        <a:noFill/>
        <a:ln>
          <a:noFill/>
        </a:ln>
        <a:effectLst/>
      </c:spPr>
    </c:plotArea>
    <c:legend>
      <c:legendPos val="r"/>
      <c:layout>
        <c:manualLayout>
          <c:xMode val="edge"/>
          <c:yMode val="edge"/>
          <c:x val="0.74730329199807932"/>
          <c:y val="0.17024732453036326"/>
          <c:w val="0.20804014957187553"/>
          <c:h val="0.11450868670375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0"/>
            <a:lumOff val="100000"/>
          </a:schemeClr>
        </a:gs>
        <a:gs pos="100000">
          <a:schemeClr val="accent3">
            <a:lumMod val="10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Clean_data_dashboard.xlsx]pivots!platform_usages</c:name>
    <c:fmtId val="2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social media platform addiction level</a:t>
            </a:r>
            <a:endParaRPr lang="en-US"/>
          </a:p>
        </c:rich>
      </c:tx>
      <c:layout>
        <c:manualLayout>
          <c:xMode val="edge"/>
          <c:yMode val="edge"/>
          <c:x val="0.15946629641132445"/>
          <c:y val="6.0731525791553061E-2"/>
        </c:manualLayout>
      </c:layout>
      <c:overlay val="0"/>
      <c:spPr>
        <a:gradFill flip="none" rotWithShape="1">
          <a:gsLst>
            <a:gs pos="0">
              <a:schemeClr val="accent1">
                <a:lumMod val="5000"/>
                <a:lumOff val="95000"/>
              </a:schemeClr>
            </a:gs>
            <a:gs pos="100000">
              <a:schemeClr val="accent1">
                <a:lumMod val="28000"/>
                <a:lumOff val="72000"/>
              </a:schemeClr>
            </a:gs>
          </a:gsLst>
          <a:lin ang="2700000" scaled="1"/>
          <a:tileRect/>
        </a:gra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pivots!$A$4:$A$9</c:f>
              <c:strCache>
                <c:ptCount val="6"/>
                <c:pt idx="0">
                  <c:v>YouTube</c:v>
                </c:pt>
                <c:pt idx="1">
                  <c:v>Instagram</c:v>
                </c:pt>
                <c:pt idx="2">
                  <c:v>TikTok</c:v>
                </c:pt>
                <c:pt idx="3">
                  <c:v>Twitter/X</c:v>
                </c:pt>
                <c:pt idx="4">
                  <c:v>Facebook</c:v>
                </c:pt>
                <c:pt idx="5">
                  <c:v>Snapchat</c:v>
                </c:pt>
              </c:strCache>
            </c:strRef>
          </c:cat>
          <c:val>
            <c:numRef>
              <c:f>pivots!$B$4:$B$9</c:f>
              <c:numCache>
                <c:formatCode>General</c:formatCode>
                <c:ptCount val="6"/>
                <c:pt idx="0">
                  <c:v>39</c:v>
                </c:pt>
                <c:pt idx="1">
                  <c:v>35</c:v>
                </c:pt>
                <c:pt idx="2">
                  <c:v>26</c:v>
                </c:pt>
                <c:pt idx="3">
                  <c:v>22</c:v>
                </c:pt>
                <c:pt idx="4">
                  <c:v>20</c:v>
                </c:pt>
                <c:pt idx="5">
                  <c:v>9</c:v>
                </c:pt>
              </c:numCache>
            </c:numRef>
          </c:val>
          <c:extLst>
            <c:ext xmlns:c16="http://schemas.microsoft.com/office/drawing/2014/chart" uri="{C3380CC4-5D6E-409C-BE32-E72D297353CC}">
              <c16:uniqueId val="{00000000-0E93-4DC8-9E04-8FC8B19F312F}"/>
            </c:ext>
          </c:extLst>
        </c:ser>
        <c:dLbls>
          <c:dLblPos val="outEnd"/>
          <c:showLegendKey val="0"/>
          <c:showVal val="1"/>
          <c:showCatName val="0"/>
          <c:showSerName val="0"/>
          <c:showPercent val="0"/>
          <c:showBubbleSize val="0"/>
        </c:dLbls>
        <c:gapWidth val="219"/>
        <c:overlap val="-27"/>
        <c:axId val="481274208"/>
        <c:axId val="395947936"/>
      </c:barChart>
      <c:catAx>
        <c:axId val="48127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5947936"/>
        <c:crosses val="autoZero"/>
        <c:auto val="1"/>
        <c:lblAlgn val="ctr"/>
        <c:lblOffset val="100"/>
        <c:noMultiLvlLbl val="0"/>
      </c:catAx>
      <c:valAx>
        <c:axId val="395947936"/>
        <c:scaling>
          <c:orientation val="minMax"/>
        </c:scaling>
        <c:delete val="1"/>
        <c:axPos val="l"/>
        <c:numFmt formatCode="General" sourceLinked="1"/>
        <c:majorTickMark val="out"/>
        <c:minorTickMark val="none"/>
        <c:tickLblPos val="nextTo"/>
        <c:crossAx val="481274208"/>
        <c:crosses val="autoZero"/>
        <c:crossBetween val="between"/>
      </c:valAx>
      <c:spPr>
        <a:noFill/>
        <a:ln>
          <a:noFill/>
        </a:ln>
        <a:effectLst>
          <a:glow rad="139700">
            <a:schemeClr val="accent1">
              <a:lumMod val="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100000">
          <a:schemeClr val="accent3">
            <a:lumMod val="100000"/>
          </a:schemeClr>
        </a:gs>
      </a:gsLst>
      <a:lin ang="5400000" scaled="1"/>
      <a:tileRect/>
    </a:gradFill>
    <a:ln w="9525" cap="flat" cmpd="sng" algn="ctr">
      <a:solidFill>
        <a:schemeClr val="tx1">
          <a:lumMod val="15000"/>
          <a:lumOff val="85000"/>
        </a:schemeClr>
      </a:solidFill>
      <a:round/>
    </a:ln>
    <a:effectLst>
      <a:outerShdw blurRad="50800" dist="63500" dir="5400000" algn="t" rotWithShape="0">
        <a:schemeClr val="accent1">
          <a:lumMod val="75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Platform wise additons</a:t>
            </a:r>
          </a:p>
        </c:rich>
      </c:tx>
      <c:layout>
        <c:manualLayout>
          <c:xMode val="edge"/>
          <c:yMode val="edge"/>
          <c:x val="0.26639566929133857"/>
          <c:y val="1.3888888888888888E-2"/>
        </c:manualLayout>
      </c:layout>
      <c:overlay val="0"/>
      <c:spPr>
        <a:solidFill>
          <a:schemeClr val="bg1">
            <a:lumMod val="85000"/>
          </a:scheme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3.333333333333333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7777777777777776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2.7777777777777776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333333333333333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2.7777777777777776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3.333333333333333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F4-4FAB-B00B-EE00B121D8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F4-4FAB-B00B-EE00B121D8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F4-4FAB-B00B-EE00B121D8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F4-4FAB-B00B-EE00B121D8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F4-4FAB-B00B-EE00B121D8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F4-4FAB-B00B-EE00B121D8AF}"/>
              </c:ext>
            </c:extLst>
          </c:dPt>
          <c:dLbls>
            <c:dLbl>
              <c:idx val="0"/>
              <c:layout>
                <c:manualLayout>
                  <c:x val="2.7777777777777776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F4-4FAB-B00B-EE00B121D8AF}"/>
                </c:ext>
              </c:extLst>
            </c:dLbl>
            <c:dLbl>
              <c:idx val="1"/>
              <c:layout>
                <c:manualLayout>
                  <c:x val="3.333333333333333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F4-4FAB-B00B-EE00B121D8A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pivots!$A$32:$A$38</c:f>
              <c:strCache>
                <c:ptCount val="6"/>
                <c:pt idx="0">
                  <c:v>Snapchat</c:v>
                </c:pt>
                <c:pt idx="1">
                  <c:v>Facebook</c:v>
                </c:pt>
                <c:pt idx="2">
                  <c:v>Twitter/X</c:v>
                </c:pt>
                <c:pt idx="3">
                  <c:v>TikTok</c:v>
                </c:pt>
                <c:pt idx="4">
                  <c:v>YouTube</c:v>
                </c:pt>
                <c:pt idx="5">
                  <c:v>Instagram</c:v>
                </c:pt>
              </c:strCache>
            </c:strRef>
          </c:cat>
          <c:val>
            <c:numRef>
              <c:f>pivots!$B$32:$B$38</c:f>
              <c:numCache>
                <c:formatCode>General</c:formatCode>
                <c:ptCount val="6"/>
                <c:pt idx="0">
                  <c:v>114</c:v>
                </c:pt>
                <c:pt idx="1">
                  <c:v>129</c:v>
                </c:pt>
                <c:pt idx="2">
                  <c:v>144</c:v>
                </c:pt>
                <c:pt idx="3">
                  <c:v>170</c:v>
                </c:pt>
                <c:pt idx="4">
                  <c:v>207</c:v>
                </c:pt>
                <c:pt idx="5">
                  <c:v>339</c:v>
                </c:pt>
              </c:numCache>
            </c:numRef>
          </c:val>
          <c:extLst>
            <c:ext xmlns:c16="http://schemas.microsoft.com/office/drawing/2014/chart" uri="{C3380CC4-5D6E-409C-BE32-E72D297353CC}">
              <c16:uniqueId val="{0000000C-B1F4-4FAB-B00B-EE00B121D8A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Clean_data_dashboard.xlsx]pivots!platform_usages</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social media platform addiction level</a:t>
            </a:r>
          </a:p>
        </c:rich>
      </c:tx>
      <c:layout>
        <c:manualLayout>
          <c:xMode val="edge"/>
          <c:yMode val="edge"/>
          <c:x val="0.15946629641132445"/>
          <c:y val="6.0731525791553061E-2"/>
        </c:manualLayout>
      </c:layout>
      <c:overlay val="0"/>
      <c:spPr>
        <a:gradFill flip="none" rotWithShape="1">
          <a:gsLst>
            <a:gs pos="0">
              <a:schemeClr val="accent1">
                <a:lumMod val="5000"/>
                <a:lumOff val="95000"/>
              </a:schemeClr>
            </a:gs>
            <a:gs pos="100000">
              <a:schemeClr val="accent1">
                <a:lumMod val="28000"/>
                <a:lumOff val="72000"/>
              </a:schemeClr>
            </a:gs>
          </a:gsLst>
          <a:lin ang="2700000" scaled="1"/>
          <a:tileRect/>
        </a:gra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pivots!$A$4:$A$9</c:f>
              <c:strCache>
                <c:ptCount val="6"/>
                <c:pt idx="0">
                  <c:v>YouTube</c:v>
                </c:pt>
                <c:pt idx="1">
                  <c:v>Instagram</c:v>
                </c:pt>
                <c:pt idx="2">
                  <c:v>TikTok</c:v>
                </c:pt>
                <c:pt idx="3">
                  <c:v>Twitter/X</c:v>
                </c:pt>
                <c:pt idx="4">
                  <c:v>Facebook</c:v>
                </c:pt>
                <c:pt idx="5">
                  <c:v>Snapchat</c:v>
                </c:pt>
              </c:strCache>
            </c:strRef>
          </c:cat>
          <c:val>
            <c:numRef>
              <c:f>pivots!$B$4:$B$9</c:f>
              <c:numCache>
                <c:formatCode>General</c:formatCode>
                <c:ptCount val="6"/>
                <c:pt idx="0">
                  <c:v>39</c:v>
                </c:pt>
                <c:pt idx="1">
                  <c:v>35</c:v>
                </c:pt>
                <c:pt idx="2">
                  <c:v>26</c:v>
                </c:pt>
                <c:pt idx="3">
                  <c:v>22</c:v>
                </c:pt>
                <c:pt idx="4">
                  <c:v>20</c:v>
                </c:pt>
                <c:pt idx="5">
                  <c:v>9</c:v>
                </c:pt>
              </c:numCache>
            </c:numRef>
          </c:val>
          <c:extLst>
            <c:ext xmlns:c16="http://schemas.microsoft.com/office/drawing/2014/chart" uri="{C3380CC4-5D6E-409C-BE32-E72D297353CC}">
              <c16:uniqueId val="{00000006-652B-44C2-AA20-26B636AA9277}"/>
            </c:ext>
          </c:extLst>
        </c:ser>
        <c:dLbls>
          <c:dLblPos val="outEnd"/>
          <c:showLegendKey val="0"/>
          <c:showVal val="1"/>
          <c:showCatName val="0"/>
          <c:showSerName val="0"/>
          <c:showPercent val="0"/>
          <c:showBubbleSize val="0"/>
        </c:dLbls>
        <c:gapWidth val="219"/>
        <c:overlap val="-27"/>
        <c:axId val="481274208"/>
        <c:axId val="395947936"/>
      </c:barChart>
      <c:catAx>
        <c:axId val="48127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5947936"/>
        <c:crosses val="autoZero"/>
        <c:auto val="1"/>
        <c:lblAlgn val="ctr"/>
        <c:lblOffset val="100"/>
        <c:noMultiLvlLbl val="0"/>
      </c:catAx>
      <c:valAx>
        <c:axId val="395947936"/>
        <c:scaling>
          <c:orientation val="minMax"/>
        </c:scaling>
        <c:delete val="1"/>
        <c:axPos val="l"/>
        <c:numFmt formatCode="General" sourceLinked="1"/>
        <c:majorTickMark val="out"/>
        <c:minorTickMark val="none"/>
        <c:tickLblPos val="nextTo"/>
        <c:crossAx val="481274208"/>
        <c:crosses val="autoZero"/>
        <c:crossBetween val="between"/>
      </c:valAx>
      <c:spPr>
        <a:noFill/>
        <a:ln>
          <a:noFill/>
        </a:ln>
        <a:effectLst>
          <a:glow rad="139700">
            <a:schemeClr val="accent1">
              <a:lumMod val="75000"/>
              <a:alpha val="40000"/>
            </a:schemeClr>
          </a:glow>
        </a:effectLst>
      </c:spPr>
    </c:plotArea>
    <c:plotVisOnly val="1"/>
    <c:dispBlanksAs val="gap"/>
    <c:showDLblsOverMax val="0"/>
    <c:extLst/>
  </c:chart>
  <c:spPr>
    <a:gradFill flip="none" rotWithShape="1">
      <a:gsLst>
        <a:gs pos="0">
          <a:schemeClr val="accent3">
            <a:lumMod val="0"/>
            <a:lumOff val="100000"/>
          </a:schemeClr>
        </a:gs>
        <a:gs pos="100000">
          <a:schemeClr val="accent3">
            <a:lumMod val="100000"/>
          </a:schemeClr>
        </a:gs>
      </a:gsLst>
      <a:lin ang="5400000" scaled="1"/>
      <a:tileRect/>
    </a:gradFill>
    <a:ln w="9525" cap="flat" cmpd="sng" algn="ctr">
      <a:solidFill>
        <a:schemeClr val="tx1">
          <a:lumMod val="15000"/>
          <a:lumOff val="85000"/>
        </a:schemeClr>
      </a:solidFill>
      <a:round/>
    </a:ln>
    <a:effectLst>
      <a:outerShdw blurRad="50800" dist="63500" dir="5400000" algn="t" rotWithShape="0">
        <a:schemeClr val="accent1">
          <a:lumMod val="75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Clean_data_dashboard.xlsx]pivots!platform_usages</c:name>
    <c:fmtId val="1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social media platform addiction level</a:t>
            </a:r>
          </a:p>
        </c:rich>
      </c:tx>
      <c:layout>
        <c:manualLayout>
          <c:xMode val="edge"/>
          <c:yMode val="edge"/>
          <c:x val="0.15946629641132445"/>
          <c:y val="6.0731525791553061E-2"/>
        </c:manualLayout>
      </c:layout>
      <c:overlay val="0"/>
      <c:spPr>
        <a:gradFill flip="none" rotWithShape="1">
          <a:gsLst>
            <a:gs pos="0">
              <a:schemeClr val="accent1">
                <a:lumMod val="5000"/>
                <a:lumOff val="95000"/>
              </a:schemeClr>
            </a:gs>
            <a:gs pos="100000">
              <a:schemeClr val="accent1">
                <a:lumMod val="28000"/>
                <a:lumOff val="72000"/>
              </a:schemeClr>
            </a:gs>
          </a:gsLst>
          <a:lin ang="2700000" scaled="1"/>
          <a:tileRect/>
        </a:gra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s>
    <c:plotArea>
      <c:layout/>
      <c:pieChart>
        <c:varyColors val="1"/>
        <c:ser>
          <c:idx val="0"/>
          <c:order val="0"/>
          <c:tx>
            <c:strRef>
              <c:f>pivots!$B$3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3-1774-4CCD-B809-09D2701D657B}"/>
              </c:ext>
            </c:extLst>
          </c:dPt>
          <c:dPt>
            <c:idx val="1"/>
            <c:bubble3D val="0"/>
            <c:spPr>
              <a:solidFill>
                <a:schemeClr val="accent2"/>
              </a:solidFill>
              <a:ln>
                <a:noFill/>
              </a:ln>
              <a:effectLst/>
            </c:spPr>
            <c:extLst>
              <c:ext xmlns:c16="http://schemas.microsoft.com/office/drawing/2014/chart" uri="{C3380CC4-5D6E-409C-BE32-E72D297353CC}">
                <c16:uniqueId val="{00000005-1774-4CCD-B809-09D2701D657B}"/>
              </c:ext>
            </c:extLst>
          </c:dPt>
          <c:dPt>
            <c:idx val="2"/>
            <c:bubble3D val="0"/>
            <c:spPr>
              <a:solidFill>
                <a:schemeClr val="accent3"/>
              </a:solidFill>
              <a:ln>
                <a:noFill/>
              </a:ln>
              <a:effectLst/>
            </c:spPr>
            <c:extLst>
              <c:ext xmlns:c16="http://schemas.microsoft.com/office/drawing/2014/chart" uri="{C3380CC4-5D6E-409C-BE32-E72D297353CC}">
                <c16:uniqueId val="{00000007-1774-4CCD-B809-09D2701D657B}"/>
              </c:ext>
            </c:extLst>
          </c:dPt>
          <c:dPt>
            <c:idx val="3"/>
            <c:bubble3D val="0"/>
            <c:spPr>
              <a:solidFill>
                <a:schemeClr val="accent4"/>
              </a:solidFill>
              <a:ln>
                <a:noFill/>
              </a:ln>
              <a:effectLst/>
            </c:spPr>
            <c:extLst>
              <c:ext xmlns:c16="http://schemas.microsoft.com/office/drawing/2014/chart" uri="{C3380CC4-5D6E-409C-BE32-E72D297353CC}">
                <c16:uniqueId val="{00000009-1774-4CCD-B809-09D2701D657B}"/>
              </c:ext>
            </c:extLst>
          </c:dPt>
          <c:dPt>
            <c:idx val="4"/>
            <c:bubble3D val="0"/>
            <c:spPr>
              <a:solidFill>
                <a:schemeClr val="accent5"/>
              </a:solidFill>
              <a:ln>
                <a:noFill/>
              </a:ln>
              <a:effectLst/>
            </c:spPr>
            <c:extLst>
              <c:ext xmlns:c16="http://schemas.microsoft.com/office/drawing/2014/chart" uri="{C3380CC4-5D6E-409C-BE32-E72D297353CC}">
                <c16:uniqueId val="{0000000B-1774-4CCD-B809-09D2701D657B}"/>
              </c:ext>
            </c:extLst>
          </c:dPt>
          <c:dPt>
            <c:idx val="5"/>
            <c:bubble3D val="0"/>
            <c:spPr>
              <a:solidFill>
                <a:schemeClr val="accent6"/>
              </a:solidFill>
              <a:ln>
                <a:noFill/>
              </a:ln>
              <a:effectLst/>
            </c:spPr>
            <c:extLst>
              <c:ext xmlns:c16="http://schemas.microsoft.com/office/drawing/2014/chart" uri="{C3380CC4-5D6E-409C-BE32-E72D297353CC}">
                <c16:uniqueId val="{0000000D-1774-4CCD-B809-09D2701D657B}"/>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pivots!$A$4:$A$9</c:f>
              <c:strCache>
                <c:ptCount val="6"/>
                <c:pt idx="0">
                  <c:v>YouTube</c:v>
                </c:pt>
                <c:pt idx="1">
                  <c:v>Instagram</c:v>
                </c:pt>
                <c:pt idx="2">
                  <c:v>TikTok</c:v>
                </c:pt>
                <c:pt idx="3">
                  <c:v>Twitter/X</c:v>
                </c:pt>
                <c:pt idx="4">
                  <c:v>Facebook</c:v>
                </c:pt>
                <c:pt idx="5">
                  <c:v>Snapchat</c:v>
                </c:pt>
              </c:strCache>
            </c:strRef>
          </c:cat>
          <c:val>
            <c:numRef>
              <c:f>pivots!$B$4:$B$9</c:f>
              <c:numCache>
                <c:formatCode>General</c:formatCode>
                <c:ptCount val="6"/>
                <c:pt idx="0">
                  <c:v>39</c:v>
                </c:pt>
                <c:pt idx="1">
                  <c:v>35</c:v>
                </c:pt>
                <c:pt idx="2">
                  <c:v>26</c:v>
                </c:pt>
                <c:pt idx="3">
                  <c:v>22</c:v>
                </c:pt>
                <c:pt idx="4">
                  <c:v>20</c:v>
                </c:pt>
                <c:pt idx="5">
                  <c:v>9</c:v>
                </c:pt>
              </c:numCache>
            </c:numRef>
          </c:val>
          <c:extLst>
            <c:ext xmlns:c16="http://schemas.microsoft.com/office/drawing/2014/chart" uri="{C3380CC4-5D6E-409C-BE32-E72D297353CC}">
              <c16:uniqueId val="{0000000E-1774-4CCD-B809-09D2701D657B}"/>
            </c:ext>
          </c:extLst>
        </c:ser>
        <c:dLbls>
          <c:showLegendKey val="0"/>
          <c:showVal val="0"/>
          <c:showCatName val="0"/>
          <c:showSerName val="0"/>
          <c:showPercent val="0"/>
          <c:showBubbleSize val="0"/>
          <c:showLeaderLines val="1"/>
        </c:dLbls>
        <c:firstSliceAng val="0"/>
      </c:pieChart>
      <c:spPr>
        <a:noFill/>
        <a:ln>
          <a:noFill/>
        </a:ln>
        <a:effectLst>
          <a:glow rad="139700">
            <a:schemeClr val="accent1">
              <a:lumMod val="75000"/>
              <a:alpha val="40000"/>
            </a:schemeClr>
          </a:glow>
        </a:effectLst>
      </c:spPr>
    </c:plotArea>
    <c:plotVisOnly val="1"/>
    <c:dispBlanksAs val="gap"/>
    <c:showDLblsOverMax val="0"/>
    <c:extLst/>
  </c:chart>
  <c:spPr>
    <a:gradFill flip="none" rotWithShape="1">
      <a:gsLst>
        <a:gs pos="0">
          <a:schemeClr val="accent3">
            <a:lumMod val="0"/>
            <a:lumOff val="100000"/>
          </a:schemeClr>
        </a:gs>
        <a:gs pos="100000">
          <a:schemeClr val="accent3">
            <a:lumMod val="100000"/>
          </a:schemeClr>
        </a:gs>
      </a:gsLst>
      <a:lin ang="5400000" scaled="1"/>
      <a:tileRect/>
    </a:gradFill>
    <a:ln w="9525" cap="flat" cmpd="sng" algn="ctr">
      <a:solidFill>
        <a:schemeClr val="tx1">
          <a:lumMod val="15000"/>
          <a:lumOff val="85000"/>
        </a:schemeClr>
      </a:solidFill>
      <a:round/>
    </a:ln>
    <a:effectLst>
      <a:outerShdw blurRad="50800" dist="63500" dir="5400000" algn="t" rotWithShape="0">
        <a:schemeClr val="accent1">
          <a:lumMod val="75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[social_media_addiction_mental_wellbeing - Clean_data_dashboard.xlsx]pivots!platform_usages</c:name>
    <c:fmtId val="2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social media platform addiction level</a:t>
            </a:r>
          </a:p>
        </c:rich>
      </c:tx>
      <c:layout>
        <c:manualLayout>
          <c:xMode val="edge"/>
          <c:yMode val="edge"/>
          <c:x val="0.15946629641132445"/>
          <c:y val="6.0731525791553061E-2"/>
        </c:manualLayout>
      </c:layout>
      <c:overlay val="0"/>
      <c:spPr>
        <a:gradFill flip="none" rotWithShape="1">
          <a:gsLst>
            <a:gs pos="0">
              <a:schemeClr val="accent1">
                <a:lumMod val="5000"/>
                <a:lumOff val="95000"/>
              </a:schemeClr>
            </a:gs>
            <a:gs pos="100000">
              <a:schemeClr val="accent1">
                <a:lumMod val="28000"/>
                <a:lumOff val="72000"/>
              </a:schemeClr>
            </a:gs>
          </a:gsLst>
          <a:lin ang="2700000" scaled="1"/>
          <a:tileRect/>
        </a:gra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s>
    <c:plotArea>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FE9-45DD-B9AF-018549D8FC9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FE9-45DD-B9AF-018549D8FC9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EFE9-45DD-B9AF-018549D8FC9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EFE9-45DD-B9AF-018549D8FC9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EFE9-45DD-B9AF-018549D8FC98}"/>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EFE9-45DD-B9AF-018549D8FC98}"/>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pivots!$A$4:$A$9</c:f>
              <c:strCache>
                <c:ptCount val="6"/>
                <c:pt idx="0">
                  <c:v>YouTube</c:v>
                </c:pt>
                <c:pt idx="1">
                  <c:v>Instagram</c:v>
                </c:pt>
                <c:pt idx="2">
                  <c:v>TikTok</c:v>
                </c:pt>
                <c:pt idx="3">
                  <c:v>Twitter/X</c:v>
                </c:pt>
                <c:pt idx="4">
                  <c:v>Facebook</c:v>
                </c:pt>
                <c:pt idx="5">
                  <c:v>Snapchat</c:v>
                </c:pt>
              </c:strCache>
            </c:strRef>
          </c:cat>
          <c:val>
            <c:numRef>
              <c:f>pivots!$B$4:$B$9</c:f>
              <c:numCache>
                <c:formatCode>General</c:formatCode>
                <c:ptCount val="6"/>
                <c:pt idx="0">
                  <c:v>39</c:v>
                </c:pt>
                <c:pt idx="1">
                  <c:v>35</c:v>
                </c:pt>
                <c:pt idx="2">
                  <c:v>26</c:v>
                </c:pt>
                <c:pt idx="3">
                  <c:v>22</c:v>
                </c:pt>
                <c:pt idx="4">
                  <c:v>20</c:v>
                </c:pt>
                <c:pt idx="5">
                  <c:v>9</c:v>
                </c:pt>
              </c:numCache>
            </c:numRef>
          </c:val>
          <c:extLst>
            <c:ext xmlns:c16="http://schemas.microsoft.com/office/drawing/2014/chart" uri="{C3380CC4-5D6E-409C-BE32-E72D297353CC}">
              <c16:uniqueId val="{0000000C-EFE9-45DD-B9AF-018549D8FC98}"/>
            </c:ext>
          </c:extLst>
        </c:ser>
        <c:dLbls>
          <c:showLegendKey val="0"/>
          <c:showVal val="0"/>
          <c:showCatName val="0"/>
          <c:showSerName val="0"/>
          <c:showPercent val="0"/>
          <c:showBubbleSize val="0"/>
        </c:dLbls>
        <c:gapWidth val="100"/>
        <c:axId val="465725120"/>
        <c:axId val="112706528"/>
      </c:barChart>
      <c:valAx>
        <c:axId val="11270652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65725120"/>
        <c:crosses val="autoZero"/>
        <c:crossBetween val="between"/>
      </c:valAx>
      <c:catAx>
        <c:axId val="465725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2706528"/>
        <c:crosses val="autoZero"/>
        <c:auto val="1"/>
        <c:lblAlgn val="ctr"/>
        <c:lblOffset val="100"/>
        <c:noMultiLvlLbl val="0"/>
      </c:catAx>
      <c:spPr>
        <a:noFill/>
        <a:ln>
          <a:noFill/>
        </a:ln>
        <a:effectLst>
          <a:glow rad="139700">
            <a:schemeClr val="accent1">
              <a:lumMod val="75000"/>
              <a:alpha val="40000"/>
            </a:schemeClr>
          </a:glow>
        </a:effectLst>
      </c:spPr>
    </c:plotArea>
    <c:plotVisOnly val="1"/>
    <c:dispBlanksAs val="gap"/>
    <c:showDLblsOverMax val="0"/>
    <c:extLst/>
  </c:chart>
  <c:spPr>
    <a:gradFill flip="none" rotWithShape="1">
      <a:gsLst>
        <a:gs pos="0">
          <a:schemeClr val="accent3">
            <a:lumMod val="0"/>
            <a:lumOff val="100000"/>
          </a:schemeClr>
        </a:gs>
        <a:gs pos="100000">
          <a:schemeClr val="accent3">
            <a:lumMod val="100000"/>
          </a:schemeClr>
        </a:gs>
      </a:gsLst>
      <a:lin ang="5400000" scaled="1"/>
      <a:tileRect/>
    </a:gradFill>
    <a:ln w="9525" cap="flat" cmpd="sng" algn="ctr">
      <a:solidFill>
        <a:schemeClr val="tx1">
          <a:lumMod val="15000"/>
          <a:lumOff val="85000"/>
        </a:schemeClr>
      </a:solidFill>
      <a:round/>
    </a:ln>
    <a:effectLst>
      <a:outerShdw blurRad="50800" dist="63500" dir="5400000" algn="t" rotWithShape="0">
        <a:schemeClr val="accent1">
          <a:lumMod val="75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hyperlink" Target="#social_media_addiction_mental_w!A1"/><Relationship Id="rId6" Type="http://schemas.openxmlformats.org/officeDocument/2006/relationships/hyperlink" Target="#dashboard!A1"/><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hyperlink" Target="#dashboard2!A1"/></Relationships>
</file>

<file path=xl/drawings/drawing1.xml><?xml version="1.0" encoding="utf-8"?>
<xdr:wsDr xmlns:xdr="http://schemas.openxmlformats.org/drawingml/2006/spreadsheetDrawing" xmlns:a="http://schemas.openxmlformats.org/drawingml/2006/main">
  <xdr:twoCellAnchor editAs="oneCell">
    <xdr:from>
      <xdr:col>6</xdr:col>
      <xdr:colOff>819150</xdr:colOff>
      <xdr:row>35</xdr:row>
      <xdr:rowOff>104776</xdr:rowOff>
    </xdr:from>
    <xdr:to>
      <xdr:col>9</xdr:col>
      <xdr:colOff>200025</xdr:colOff>
      <xdr:row>44</xdr:row>
      <xdr:rowOff>9526</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BC97E0F-DC6F-9CCB-03CB-A212FE7BAF7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810125" y="6772276"/>
              <a:ext cx="1828800"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0</xdr:row>
      <xdr:rowOff>0</xdr:rowOff>
    </xdr:from>
    <xdr:to>
      <xdr:col>10</xdr:col>
      <xdr:colOff>276225</xdr:colOff>
      <xdr:row>13</xdr:row>
      <xdr:rowOff>47625</xdr:rowOff>
    </xdr:to>
    <mc:AlternateContent xmlns:mc="http://schemas.openxmlformats.org/markup-compatibility/2006" xmlns:a14="http://schemas.microsoft.com/office/drawing/2010/main">
      <mc:Choice Requires="a14">
        <xdr:graphicFrame macro="">
          <xdr:nvGraphicFramePr>
            <xdr:cNvPr id="3" name="Occupation">
              <a:extLst>
                <a:ext uri="{FF2B5EF4-FFF2-40B4-BE49-F238E27FC236}">
                  <a16:creationId xmlns:a16="http://schemas.microsoft.com/office/drawing/2014/main" id="{EDEA96EF-015B-0628-16C4-03279D2ED0D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2677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352425</xdr:colOff>
      <xdr:row>0</xdr:row>
      <xdr:rowOff>114299</xdr:rowOff>
    </xdr:from>
    <xdr:to>
      <xdr:col>5</xdr:col>
      <xdr:colOff>847725</xdr:colOff>
      <xdr:row>11</xdr:row>
      <xdr:rowOff>23812</xdr:rowOff>
    </xdr:to>
    <xdr:graphicFrame macro="">
      <xdr:nvGraphicFramePr>
        <xdr:cNvPr id="4" name="Chart 3">
          <a:extLst>
            <a:ext uri="{FF2B5EF4-FFF2-40B4-BE49-F238E27FC236}">
              <a16:creationId xmlns:a16="http://schemas.microsoft.com/office/drawing/2014/main" id="{44953595-0F6A-AA8E-EFC5-5DC653D55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557213</xdr:colOff>
      <xdr:row>11</xdr:row>
      <xdr:rowOff>66675</xdr:rowOff>
    </xdr:from>
    <xdr:to>
      <xdr:col>5</xdr:col>
      <xdr:colOff>476250</xdr:colOff>
      <xdr:row>21</xdr:row>
      <xdr:rowOff>166686</xdr:rowOff>
    </xdr:to>
    <xdr:graphicFrame macro="">
      <xdr:nvGraphicFramePr>
        <xdr:cNvPr id="5" name="Chart 4">
          <a:extLst>
            <a:ext uri="{FF2B5EF4-FFF2-40B4-BE49-F238E27FC236}">
              <a16:creationId xmlns:a16="http://schemas.microsoft.com/office/drawing/2014/main" id="{D768A187-EA34-3F04-07F4-4357899FC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24</xdr:row>
      <xdr:rowOff>76199</xdr:rowOff>
    </xdr:from>
    <xdr:to>
      <xdr:col>6</xdr:col>
      <xdr:colOff>781050</xdr:colOff>
      <xdr:row>36</xdr:row>
      <xdr:rowOff>171450</xdr:rowOff>
    </xdr:to>
    <xdr:graphicFrame macro="">
      <xdr:nvGraphicFramePr>
        <xdr:cNvPr id="6" name="Chart 5">
          <a:extLst>
            <a:ext uri="{FF2B5EF4-FFF2-40B4-BE49-F238E27FC236}">
              <a16:creationId xmlns:a16="http://schemas.microsoft.com/office/drawing/2014/main" id="{97D42B64-8D1F-1142-1511-A2DF105C4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619124</xdr:colOff>
      <xdr:row>43</xdr:row>
      <xdr:rowOff>147636</xdr:rowOff>
    </xdr:from>
    <xdr:to>
      <xdr:col>12</xdr:col>
      <xdr:colOff>361949</xdr:colOff>
      <xdr:row>57</xdr:row>
      <xdr:rowOff>180975</xdr:rowOff>
    </xdr:to>
    <xdr:graphicFrame macro="">
      <xdr:nvGraphicFramePr>
        <xdr:cNvPr id="7" name="Chart 6">
          <a:extLst>
            <a:ext uri="{FF2B5EF4-FFF2-40B4-BE49-F238E27FC236}">
              <a16:creationId xmlns:a16="http://schemas.microsoft.com/office/drawing/2014/main" id="{F8C05DCE-AB67-1A63-8C71-8751E7FD8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1104899</xdr:colOff>
      <xdr:row>48</xdr:row>
      <xdr:rowOff>114301</xdr:rowOff>
    </xdr:from>
    <xdr:to>
      <xdr:col>2</xdr:col>
      <xdr:colOff>1533525</xdr:colOff>
      <xdr:row>52</xdr:row>
      <xdr:rowOff>38101</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F1DA6422-A37E-CFE0-7A93-E2F71F2B31F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90574" y="9258301"/>
              <a:ext cx="3390901"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209550</xdr:colOff>
      <xdr:row>53</xdr:row>
      <xdr:rowOff>166687</xdr:rowOff>
    </xdr:from>
    <xdr:to>
      <xdr:col>10</xdr:col>
      <xdr:colOff>485775</xdr:colOff>
      <xdr:row>68</xdr:row>
      <xdr:rowOff>52387</xdr:rowOff>
    </xdr:to>
    <xdr:graphicFrame macro="">
      <xdr:nvGraphicFramePr>
        <xdr:cNvPr id="9" name="Chart 8">
          <a:extLst>
            <a:ext uri="{FF2B5EF4-FFF2-40B4-BE49-F238E27FC236}">
              <a16:creationId xmlns:a16="http://schemas.microsoft.com/office/drawing/2014/main" id="{5DA61118-42C0-64CF-9163-C6872E2BF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409575</xdr:colOff>
      <xdr:row>60</xdr:row>
      <xdr:rowOff>4762</xdr:rowOff>
    </xdr:from>
    <xdr:to>
      <xdr:col>13</xdr:col>
      <xdr:colOff>28575</xdr:colOff>
      <xdr:row>74</xdr:row>
      <xdr:rowOff>80962</xdr:rowOff>
    </xdr:to>
    <xdr:graphicFrame macro="">
      <xdr:nvGraphicFramePr>
        <xdr:cNvPr id="10" name="Chart 9">
          <a:extLst>
            <a:ext uri="{FF2B5EF4-FFF2-40B4-BE49-F238E27FC236}">
              <a16:creationId xmlns:a16="http://schemas.microsoft.com/office/drawing/2014/main" id="{5E3C7AD1-B781-E0EC-DB2B-D01AC96AE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255494</xdr:colOff>
      <xdr:row>0</xdr:row>
      <xdr:rowOff>89647</xdr:rowOff>
    </xdr:from>
    <xdr:to>
      <xdr:col>14</xdr:col>
      <xdr:colOff>265019</xdr:colOff>
      <xdr:row>28</xdr:row>
      <xdr:rowOff>70597</xdr:rowOff>
    </xdr:to>
    <xdr:grpSp>
      <xdr:nvGrpSpPr>
        <xdr:cNvPr id="19" name="Group 18">
          <a:extLst>
            <a:ext uri="{FF2B5EF4-FFF2-40B4-BE49-F238E27FC236}">
              <a16:creationId xmlns:a16="http://schemas.microsoft.com/office/drawing/2014/main" id="{4F6A5F5B-BD80-EC47-2C9F-6C80A1097382}"/>
            </a:ext>
          </a:extLst>
        </xdr:cNvPr>
        <xdr:cNvGrpSpPr/>
      </xdr:nvGrpSpPr>
      <xdr:grpSpPr>
        <a:xfrm>
          <a:off x="255494" y="89647"/>
          <a:ext cx="8481172" cy="5314950"/>
          <a:chOff x="591671" y="257735"/>
          <a:chExt cx="8481172" cy="5314950"/>
        </a:xfrm>
      </xdr:grpSpPr>
      <xdr:sp macro="" textlink="">
        <xdr:nvSpPr>
          <xdr:cNvPr id="2" name="Rectangle 1">
            <a:extLst>
              <a:ext uri="{FF2B5EF4-FFF2-40B4-BE49-F238E27FC236}">
                <a16:creationId xmlns:a16="http://schemas.microsoft.com/office/drawing/2014/main" id="{441554E4-5115-1D7F-E805-E963DA1A29C8}"/>
              </a:ext>
            </a:extLst>
          </xdr:cNvPr>
          <xdr:cNvSpPr/>
        </xdr:nvSpPr>
        <xdr:spPr>
          <a:xfrm>
            <a:off x="591671" y="333935"/>
            <a:ext cx="8481172" cy="5238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095A023B-E795-BB09-640D-EA9A7428FAE9}"/>
              </a:ext>
            </a:extLst>
          </xdr:cNvPr>
          <xdr:cNvSpPr/>
        </xdr:nvSpPr>
        <xdr:spPr>
          <a:xfrm>
            <a:off x="763121" y="391085"/>
            <a:ext cx="805143" cy="35242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33C819F0-5D57-4BCE-88E5-038F37172630}"/>
              </a:ext>
            </a:extLst>
          </xdr:cNvPr>
          <xdr:cNvSpPr/>
        </xdr:nvSpPr>
        <xdr:spPr>
          <a:xfrm>
            <a:off x="1682564" y="391085"/>
            <a:ext cx="5584451" cy="4000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latin typeface="Algerian" panose="04020705040A02060702" pitchFamily="82" charset="0"/>
              </a:rPr>
              <a:t>SOCIAL</a:t>
            </a:r>
            <a:r>
              <a:rPr lang="en-IN" sz="1800" b="1" baseline="0">
                <a:solidFill>
                  <a:schemeClr val="tx1"/>
                </a:solidFill>
                <a:latin typeface="Algerian" panose="04020705040A02060702" pitchFamily="82" charset="0"/>
              </a:rPr>
              <a:t> MEDIA ADDITICTIONS DASHBOARD</a:t>
            </a:r>
            <a:endParaRPr lang="en-IN" sz="1800" b="1">
              <a:solidFill>
                <a:schemeClr val="tx1"/>
              </a:solidFill>
              <a:latin typeface="Algerian" panose="04020705040A02060702" pitchFamily="82" charset="0"/>
            </a:endParaRPr>
          </a:p>
        </xdr:txBody>
      </xdr:sp>
      <xdr:sp macro="" textlink="">
        <xdr:nvSpPr>
          <xdr:cNvPr id="5" name="Rectangle: Rounded Corners 4">
            <a:extLst>
              <a:ext uri="{FF2B5EF4-FFF2-40B4-BE49-F238E27FC236}">
                <a16:creationId xmlns:a16="http://schemas.microsoft.com/office/drawing/2014/main" id="{131BA543-CAEC-44CC-80B6-583247733D8D}"/>
              </a:ext>
            </a:extLst>
          </xdr:cNvPr>
          <xdr:cNvSpPr/>
        </xdr:nvSpPr>
        <xdr:spPr>
          <a:xfrm>
            <a:off x="7438464" y="381559"/>
            <a:ext cx="1558178" cy="10191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203E7A6F-D3BE-4667-87FF-EF00CBF00489}"/>
              </a:ext>
            </a:extLst>
          </xdr:cNvPr>
          <xdr:cNvSpPr/>
        </xdr:nvSpPr>
        <xdr:spPr>
          <a:xfrm>
            <a:off x="1701613" y="895910"/>
            <a:ext cx="1067360" cy="5238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CB3AC88-F76C-4313-BFED-3A4B99DB4693}"/>
              </a:ext>
            </a:extLst>
          </xdr:cNvPr>
          <xdr:cNvSpPr/>
        </xdr:nvSpPr>
        <xdr:spPr>
          <a:xfrm>
            <a:off x="2854699" y="905435"/>
            <a:ext cx="1048311" cy="5238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20AF45A-95D0-46A5-9008-40EAB8FE6094}"/>
              </a:ext>
            </a:extLst>
          </xdr:cNvPr>
          <xdr:cNvSpPr/>
        </xdr:nvSpPr>
        <xdr:spPr>
          <a:xfrm>
            <a:off x="4055409" y="886385"/>
            <a:ext cx="953062" cy="5238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CAD9402A-93CB-4BE6-8910-C711FA905CC2}"/>
              </a:ext>
            </a:extLst>
          </xdr:cNvPr>
          <xdr:cNvSpPr txBox="1"/>
        </xdr:nvSpPr>
        <xdr:spPr>
          <a:xfrm>
            <a:off x="4082293" y="843556"/>
            <a:ext cx="966236" cy="422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Avg.</a:t>
            </a:r>
            <a:r>
              <a:rPr lang="en-IN" sz="1000" b="1" baseline="0"/>
              <a:t> Mental Score(out 10)</a:t>
            </a:r>
            <a:endParaRPr lang="en-IN" sz="1000" b="1"/>
          </a:p>
        </xdr:txBody>
      </xdr:sp>
      <xdr:sp macro="" textlink="">
        <xdr:nvSpPr>
          <xdr:cNvPr id="9" name="Rectangle: Rounded Corners 8">
            <a:extLst>
              <a:ext uri="{FF2B5EF4-FFF2-40B4-BE49-F238E27FC236}">
                <a16:creationId xmlns:a16="http://schemas.microsoft.com/office/drawing/2014/main" id="{F063A7FA-F328-478A-8349-A8FA09C736AF}"/>
              </a:ext>
            </a:extLst>
          </xdr:cNvPr>
          <xdr:cNvSpPr/>
        </xdr:nvSpPr>
        <xdr:spPr>
          <a:xfrm>
            <a:off x="5132295" y="886385"/>
            <a:ext cx="953061" cy="5238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870E641E-044D-4B88-AE6A-625709601B49}"/>
              </a:ext>
            </a:extLst>
          </xdr:cNvPr>
          <xdr:cNvSpPr/>
        </xdr:nvSpPr>
        <xdr:spPr>
          <a:xfrm>
            <a:off x="6294905" y="886385"/>
            <a:ext cx="953061" cy="5238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1" name="Rectangle: Rounded Corners 10">
            <a:extLst>
              <a:ext uri="{FF2B5EF4-FFF2-40B4-BE49-F238E27FC236}">
                <a16:creationId xmlns:a16="http://schemas.microsoft.com/office/drawing/2014/main" id="{E9D5CDFA-65F8-4A4D-80E7-AB98C462F9F7}"/>
              </a:ext>
            </a:extLst>
          </xdr:cNvPr>
          <xdr:cNvSpPr/>
        </xdr:nvSpPr>
        <xdr:spPr>
          <a:xfrm>
            <a:off x="648821" y="810185"/>
            <a:ext cx="938493" cy="21907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9470F2B2-CA3A-4ED0-9428-CA0A4C6FBB4D}"/>
              </a:ext>
            </a:extLst>
          </xdr:cNvPr>
          <xdr:cNvSpPr/>
        </xdr:nvSpPr>
        <xdr:spPr>
          <a:xfrm>
            <a:off x="1735231" y="1486460"/>
            <a:ext cx="3501839" cy="18859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8B4C3654-283D-4B5D-A960-FE52BDBB047D}"/>
              </a:ext>
            </a:extLst>
          </xdr:cNvPr>
          <xdr:cNvSpPr/>
        </xdr:nvSpPr>
        <xdr:spPr>
          <a:xfrm>
            <a:off x="5313270" y="1486461"/>
            <a:ext cx="3506880" cy="19240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44522C52-92AB-4119-B451-FAFDE5BC66BD}"/>
              </a:ext>
            </a:extLst>
          </xdr:cNvPr>
          <xdr:cNvSpPr/>
        </xdr:nvSpPr>
        <xdr:spPr>
          <a:xfrm>
            <a:off x="1744755" y="3515285"/>
            <a:ext cx="3511364" cy="20193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E8AE20DB-4CC2-4CF9-86EF-CC55185C581E}"/>
              </a:ext>
            </a:extLst>
          </xdr:cNvPr>
          <xdr:cNvSpPr/>
        </xdr:nvSpPr>
        <xdr:spPr>
          <a:xfrm>
            <a:off x="5413974" y="3514540"/>
            <a:ext cx="3358551" cy="20105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5642D1EE-65BE-4C1F-96F2-DE529D761AF6}"/>
              </a:ext>
            </a:extLst>
          </xdr:cNvPr>
          <xdr:cNvSpPr/>
        </xdr:nvSpPr>
        <xdr:spPr>
          <a:xfrm>
            <a:off x="639296" y="3124759"/>
            <a:ext cx="938493" cy="23145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8" name="Picture 17">
            <a:hlinkClick xmlns:r="http://schemas.openxmlformats.org/officeDocument/2006/relationships" r:id="rId1"/>
            <a:extLst>
              <a:ext uri="{FF2B5EF4-FFF2-40B4-BE49-F238E27FC236}">
                <a16:creationId xmlns:a16="http://schemas.microsoft.com/office/drawing/2014/main" id="{56ED6828-6450-FD58-A21F-23AFB9D1D9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2646" y="400610"/>
            <a:ext cx="814667" cy="352426"/>
          </a:xfrm>
          <a:prstGeom prst="rect">
            <a:avLst/>
          </a:prstGeom>
        </xdr:spPr>
      </xdr:pic>
      <xdr:sp macro="" textlink="KPIS!C4">
        <xdr:nvSpPr>
          <xdr:cNvPr id="22" name="TextBox 21">
            <a:extLst>
              <a:ext uri="{FF2B5EF4-FFF2-40B4-BE49-F238E27FC236}">
                <a16:creationId xmlns:a16="http://schemas.microsoft.com/office/drawing/2014/main" id="{2CA1F05B-C370-355F-259C-94C7156592B1}"/>
              </a:ext>
            </a:extLst>
          </xdr:cNvPr>
          <xdr:cNvSpPr txBox="1"/>
        </xdr:nvSpPr>
        <xdr:spPr>
          <a:xfrm>
            <a:off x="1867568" y="1107554"/>
            <a:ext cx="814533" cy="24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06CEF7-733D-438E-AF0D-A18527B4CE65}" type="TxLink">
              <a:rPr lang="en-US" sz="1100" b="0" i="0" u="none" strike="noStrike">
                <a:solidFill>
                  <a:srgbClr val="000000"/>
                </a:solidFill>
                <a:latin typeface="Calibri"/>
                <a:cs typeface="Calibri"/>
              </a:rPr>
              <a:pPr algn="ctr"/>
              <a:t>46</a:t>
            </a:fld>
            <a:endParaRPr lang="en-IN" sz="1400" b="1"/>
          </a:p>
        </xdr:txBody>
      </xdr:sp>
      <mc:AlternateContent xmlns:mc="http://schemas.openxmlformats.org/markup-compatibility/2006">
        <mc:Choice xmlns:a14="http://schemas.microsoft.com/office/drawing/2010/main" Requires="a14">
          <xdr:graphicFrame macro="">
            <xdr:nvGraphicFramePr>
              <xdr:cNvPr id="24" name="Gender 2">
                <a:extLst>
                  <a:ext uri="{FF2B5EF4-FFF2-40B4-BE49-F238E27FC236}">
                    <a16:creationId xmlns:a16="http://schemas.microsoft.com/office/drawing/2014/main" id="{AA84534E-1151-4F02-B626-05C54A5D31F8}"/>
                  </a:ext>
                </a:extLst>
              </xdr:cNvPr>
              <xdr:cNvGraphicFramePr/>
            </xdr:nvGraphicFramePr>
            <xdr:xfrm>
              <a:off x="731639" y="917053"/>
              <a:ext cx="789139" cy="1050756"/>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395462" y="748965"/>
                <a:ext cx="789139" cy="1050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5" name="Chart 24">
            <a:extLst>
              <a:ext uri="{FF2B5EF4-FFF2-40B4-BE49-F238E27FC236}">
                <a16:creationId xmlns:a16="http://schemas.microsoft.com/office/drawing/2014/main" id="{D2F4BF16-A594-418F-8B36-4720F5EA5A2C}"/>
              </a:ext>
            </a:extLst>
          </xdr:cNvPr>
          <xdr:cNvGraphicFramePr>
            <a:graphicFrameLocks/>
          </xdr:cNvGraphicFramePr>
        </xdr:nvGraphicFramePr>
        <xdr:xfrm>
          <a:off x="1739217" y="1501691"/>
          <a:ext cx="3478194" cy="1871596"/>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26" name="age group 1">
                <a:extLst>
                  <a:ext uri="{FF2B5EF4-FFF2-40B4-BE49-F238E27FC236}">
                    <a16:creationId xmlns:a16="http://schemas.microsoft.com/office/drawing/2014/main" id="{101397AF-D9B2-4B25-9D1C-246A6014A628}"/>
                  </a:ext>
                </a:extLst>
              </xdr:cNvPr>
              <xdr:cNvGraphicFramePr/>
            </xdr:nvGraphicFramePr>
            <xdr:xfrm>
              <a:off x="684354" y="2033101"/>
              <a:ext cx="834798" cy="1815762"/>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348177" y="1865013"/>
                <a:ext cx="834798" cy="1815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7" name="TextBox 26">
            <a:extLst>
              <a:ext uri="{FF2B5EF4-FFF2-40B4-BE49-F238E27FC236}">
                <a16:creationId xmlns:a16="http://schemas.microsoft.com/office/drawing/2014/main" id="{FA8EE27C-D452-3C0B-AE32-B05CC5839964}"/>
              </a:ext>
            </a:extLst>
          </xdr:cNvPr>
          <xdr:cNvSpPr txBox="1"/>
        </xdr:nvSpPr>
        <xdr:spPr>
          <a:xfrm>
            <a:off x="1860812" y="903542"/>
            <a:ext cx="895597" cy="25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Users</a:t>
            </a:r>
            <a:endParaRPr lang="en-IN" sz="1100" b="1"/>
          </a:p>
        </xdr:txBody>
      </xdr:sp>
      <xdr:sp macro="" textlink="KPIS!C7">
        <xdr:nvSpPr>
          <xdr:cNvPr id="31" name="TextBox 30">
            <a:extLst>
              <a:ext uri="{FF2B5EF4-FFF2-40B4-BE49-F238E27FC236}">
                <a16:creationId xmlns:a16="http://schemas.microsoft.com/office/drawing/2014/main" id="{05A32C1A-762D-4790-B836-29EC90734BBD}"/>
              </a:ext>
            </a:extLst>
          </xdr:cNvPr>
          <xdr:cNvSpPr txBox="1"/>
        </xdr:nvSpPr>
        <xdr:spPr>
          <a:xfrm>
            <a:off x="2939725" y="1111337"/>
            <a:ext cx="814532" cy="24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84154C-177B-4626-9D2D-D08E2F4EE5B1}" type="TxLink">
              <a:rPr lang="en-US" sz="1100" b="0" i="0" u="none" strike="noStrike">
                <a:solidFill>
                  <a:srgbClr val="000000"/>
                </a:solidFill>
                <a:latin typeface="Calibri"/>
                <a:cs typeface="Calibri"/>
              </a:rPr>
              <a:pPr algn="ctr"/>
              <a:t>4.574852071</a:t>
            </a:fld>
            <a:endParaRPr lang="en-IN" sz="1400" b="1"/>
          </a:p>
        </xdr:txBody>
      </xdr:sp>
      <xdr:sp macro="" textlink="">
        <xdr:nvSpPr>
          <xdr:cNvPr id="32" name="TextBox 31">
            <a:extLst>
              <a:ext uri="{FF2B5EF4-FFF2-40B4-BE49-F238E27FC236}">
                <a16:creationId xmlns:a16="http://schemas.microsoft.com/office/drawing/2014/main" id="{6839641F-4663-4B90-954B-7B571B21E487}"/>
              </a:ext>
            </a:extLst>
          </xdr:cNvPr>
          <xdr:cNvSpPr txBox="1"/>
        </xdr:nvSpPr>
        <xdr:spPr>
          <a:xfrm>
            <a:off x="2946479" y="893815"/>
            <a:ext cx="895596" cy="25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Ues(hr)</a:t>
            </a:r>
          </a:p>
        </xdr:txBody>
      </xdr:sp>
      <xdr:sp macro="" textlink="KPIS!C4">
        <xdr:nvSpPr>
          <xdr:cNvPr id="35" name="TextBox 34">
            <a:extLst>
              <a:ext uri="{FF2B5EF4-FFF2-40B4-BE49-F238E27FC236}">
                <a16:creationId xmlns:a16="http://schemas.microsoft.com/office/drawing/2014/main" id="{8B736C2A-2C0E-4113-981E-58D3C2CCCF3D}"/>
              </a:ext>
            </a:extLst>
          </xdr:cNvPr>
          <xdr:cNvSpPr txBox="1"/>
        </xdr:nvSpPr>
        <xdr:spPr>
          <a:xfrm>
            <a:off x="5208495" y="1118902"/>
            <a:ext cx="811671" cy="24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494E6A-7964-4C81-9FD3-B57D1E67A13D}" type="TxLink">
              <a:rPr lang="en-US" sz="1100" b="0" i="0" u="none" strike="noStrike">
                <a:solidFill>
                  <a:srgbClr val="000000"/>
                </a:solidFill>
                <a:latin typeface="Calibri"/>
                <a:cs typeface="Calibri"/>
              </a:rPr>
              <a:t>46</a:t>
            </a:fld>
            <a:endParaRPr lang="en-IN" sz="1400" b="1"/>
          </a:p>
        </xdr:txBody>
      </xdr:sp>
      <xdr:sp macro="" textlink="">
        <xdr:nvSpPr>
          <xdr:cNvPr id="36" name="TextBox 35">
            <a:extLst>
              <a:ext uri="{FF2B5EF4-FFF2-40B4-BE49-F238E27FC236}">
                <a16:creationId xmlns:a16="http://schemas.microsoft.com/office/drawing/2014/main" id="{59976F10-1AF5-4A0F-88AC-7B036DE3F128}"/>
              </a:ext>
            </a:extLst>
          </xdr:cNvPr>
          <xdr:cNvSpPr txBox="1"/>
        </xdr:nvSpPr>
        <xdr:spPr>
          <a:xfrm>
            <a:off x="5215249" y="901380"/>
            <a:ext cx="892735" cy="25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Users</a:t>
            </a:r>
            <a:endParaRPr lang="en-IN" sz="1100" b="1"/>
          </a:p>
        </xdr:txBody>
      </xdr:sp>
      <xdr:sp macro="" textlink="KPIS!C4">
        <xdr:nvSpPr>
          <xdr:cNvPr id="33" name="TextBox 32">
            <a:extLst>
              <a:ext uri="{FF2B5EF4-FFF2-40B4-BE49-F238E27FC236}">
                <a16:creationId xmlns:a16="http://schemas.microsoft.com/office/drawing/2014/main" id="{9962CE1B-0D17-4531-84AB-C8905EE712F3}"/>
              </a:ext>
            </a:extLst>
          </xdr:cNvPr>
          <xdr:cNvSpPr txBox="1"/>
        </xdr:nvSpPr>
        <xdr:spPr>
          <a:xfrm>
            <a:off x="4146988" y="1169161"/>
            <a:ext cx="814533" cy="245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4B3C86-A537-458A-B827-D16769FB2362}" type="TxLink">
              <a:rPr lang="en-US" sz="1400" b="1" i="0" u="none" strike="noStrike">
                <a:solidFill>
                  <a:srgbClr val="000000"/>
                </a:solidFill>
                <a:latin typeface="Calibri"/>
                <a:cs typeface="Calibri"/>
              </a:rPr>
              <a:pPr algn="ctr"/>
              <a:t>46</a:t>
            </a:fld>
            <a:endParaRPr lang="en-IN" sz="1400" b="1"/>
          </a:p>
        </xdr:txBody>
      </xdr:sp>
      <xdr:sp macro="" textlink="KPIS!C4">
        <xdr:nvSpPr>
          <xdr:cNvPr id="37" name="TextBox 36">
            <a:extLst>
              <a:ext uri="{FF2B5EF4-FFF2-40B4-BE49-F238E27FC236}">
                <a16:creationId xmlns:a16="http://schemas.microsoft.com/office/drawing/2014/main" id="{33AC0D99-DDDA-44BF-9016-3F870B566E9B}"/>
              </a:ext>
            </a:extLst>
          </xdr:cNvPr>
          <xdr:cNvSpPr txBox="1"/>
        </xdr:nvSpPr>
        <xdr:spPr>
          <a:xfrm>
            <a:off x="6395492" y="1115929"/>
            <a:ext cx="811672" cy="24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4B3C86-A537-458A-B827-D16769FB2362}" type="TxLink">
              <a:rPr lang="en-US" sz="1400" b="1" i="0" u="none" strike="noStrike">
                <a:solidFill>
                  <a:srgbClr val="000000"/>
                </a:solidFill>
                <a:latin typeface="Calibri"/>
                <a:cs typeface="Calibri"/>
              </a:rPr>
              <a:pPr algn="ctr"/>
              <a:t>46</a:t>
            </a:fld>
            <a:endParaRPr lang="en-IN" sz="1400" b="1"/>
          </a:p>
        </xdr:txBody>
      </xdr:sp>
      <xdr:sp macro="" textlink="">
        <xdr:nvSpPr>
          <xdr:cNvPr id="38" name="TextBox 37">
            <a:extLst>
              <a:ext uri="{FF2B5EF4-FFF2-40B4-BE49-F238E27FC236}">
                <a16:creationId xmlns:a16="http://schemas.microsoft.com/office/drawing/2014/main" id="{70621446-D653-40D1-BF48-CDC1E33F2406}"/>
              </a:ext>
            </a:extLst>
          </xdr:cNvPr>
          <xdr:cNvSpPr txBox="1"/>
        </xdr:nvSpPr>
        <xdr:spPr>
          <a:xfrm>
            <a:off x="6402246" y="898407"/>
            <a:ext cx="892736" cy="25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Users</a:t>
            </a:r>
            <a:endParaRPr lang="en-IN" sz="1100" b="1"/>
          </a:p>
        </xdr:txBody>
      </xdr:sp>
      <xdr:graphicFrame macro="">
        <xdr:nvGraphicFramePr>
          <xdr:cNvPr id="39" name="Chart 38">
            <a:extLst>
              <a:ext uri="{FF2B5EF4-FFF2-40B4-BE49-F238E27FC236}">
                <a16:creationId xmlns:a16="http://schemas.microsoft.com/office/drawing/2014/main" id="{CC124DA1-65FF-45C8-B173-25BE638591D6}"/>
              </a:ext>
            </a:extLst>
          </xdr:cNvPr>
          <xdr:cNvGraphicFramePr>
            <a:graphicFrameLocks/>
          </xdr:cNvGraphicFramePr>
        </xdr:nvGraphicFramePr>
        <xdr:xfrm>
          <a:off x="5296171" y="1505774"/>
          <a:ext cx="3529376" cy="191925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0" name="Chart 39">
            <a:extLst>
              <a:ext uri="{FF2B5EF4-FFF2-40B4-BE49-F238E27FC236}">
                <a16:creationId xmlns:a16="http://schemas.microsoft.com/office/drawing/2014/main" id="{8C46F2E3-C851-47C4-A7B8-A99E4DAB9707}"/>
              </a:ext>
            </a:extLst>
          </xdr:cNvPr>
          <xdr:cNvGraphicFramePr>
            <a:graphicFrameLocks/>
          </xdr:cNvGraphicFramePr>
        </xdr:nvGraphicFramePr>
        <xdr:xfrm>
          <a:off x="1694791" y="3502991"/>
          <a:ext cx="3576664" cy="201984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3" name="Arrow: Right 42">
            <a:hlinkClick xmlns:r="http://schemas.openxmlformats.org/officeDocument/2006/relationships" r:id="rId6"/>
            <a:extLst>
              <a:ext uri="{FF2B5EF4-FFF2-40B4-BE49-F238E27FC236}">
                <a16:creationId xmlns:a16="http://schemas.microsoft.com/office/drawing/2014/main" id="{D18C14A1-3C21-B952-47D8-6DC6C7328769}"/>
              </a:ext>
            </a:extLst>
          </xdr:cNvPr>
          <xdr:cNvSpPr/>
        </xdr:nvSpPr>
        <xdr:spPr>
          <a:xfrm>
            <a:off x="7754471" y="649941"/>
            <a:ext cx="952500" cy="42582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863554B6-A134-447B-E261-12DD58A5E553}"/>
              </a:ext>
            </a:extLst>
          </xdr:cNvPr>
          <xdr:cNvSpPr txBox="1"/>
        </xdr:nvSpPr>
        <xdr:spPr>
          <a:xfrm>
            <a:off x="7384677" y="257735"/>
            <a:ext cx="1602441" cy="50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NEXT</a:t>
            </a:r>
            <a:r>
              <a:rPr lang="en-IN" sz="2000" baseline="0"/>
              <a:t> PAGE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114300</xdr:colOff>
      <xdr:row>4</xdr:row>
      <xdr:rowOff>47626</xdr:rowOff>
    </xdr:from>
    <xdr:to>
      <xdr:col>9</xdr:col>
      <xdr:colOff>57150</xdr:colOff>
      <xdr:row>12</xdr:row>
      <xdr:rowOff>142876</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16CDA3F5-8B6F-4DB9-8129-EB7D56E4BD1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714750" y="809626"/>
              <a:ext cx="1828800"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142875</xdr:colOff>
      <xdr:row>2</xdr:row>
      <xdr:rowOff>123825</xdr:rowOff>
    </xdr:from>
    <xdr:to>
      <xdr:col>12</xdr:col>
      <xdr:colOff>19050</xdr:colOff>
      <xdr:row>11</xdr:row>
      <xdr:rowOff>171450</xdr:rowOff>
    </xdr:to>
    <mc:AlternateContent xmlns:mc="http://schemas.openxmlformats.org/markup-compatibility/2006" xmlns:a14="http://schemas.microsoft.com/office/drawing/2010/main">
      <mc:Choice Requires="a14">
        <xdr:graphicFrame macro="">
          <xdr:nvGraphicFramePr>
            <xdr:cNvPr id="3" name="Occupation 1">
              <a:extLst>
                <a:ext uri="{FF2B5EF4-FFF2-40B4-BE49-F238E27FC236}">
                  <a16:creationId xmlns:a16="http://schemas.microsoft.com/office/drawing/2014/main" id="{FA088B33-5A27-4CA4-BAB2-1655492E9866}"/>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5629275" y="504825"/>
              <a:ext cx="1704975"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85724</xdr:rowOff>
    </xdr:from>
    <xdr:to>
      <xdr:col>6</xdr:col>
      <xdr:colOff>95250</xdr:colOff>
      <xdr:row>12</xdr:row>
      <xdr:rowOff>185737</xdr:rowOff>
    </xdr:to>
    <xdr:graphicFrame macro="">
      <xdr:nvGraphicFramePr>
        <xdr:cNvPr id="4" name="Chart 3">
          <a:extLst>
            <a:ext uri="{FF2B5EF4-FFF2-40B4-BE49-F238E27FC236}">
              <a16:creationId xmlns:a16="http://schemas.microsoft.com/office/drawing/2014/main" id="{EC16253D-86FC-473D-948E-DA546987F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66675</xdr:rowOff>
    </xdr:from>
    <xdr:to>
      <xdr:col>6</xdr:col>
      <xdr:colOff>95250</xdr:colOff>
      <xdr:row>23</xdr:row>
      <xdr:rowOff>166688</xdr:rowOff>
    </xdr:to>
    <xdr:graphicFrame macro="">
      <xdr:nvGraphicFramePr>
        <xdr:cNvPr id="5" name="Chart 4">
          <a:extLst>
            <a:ext uri="{FF2B5EF4-FFF2-40B4-BE49-F238E27FC236}">
              <a16:creationId xmlns:a16="http://schemas.microsoft.com/office/drawing/2014/main" id="{0F451482-42F7-49DC-9D31-232AFA2CD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161925</xdr:colOff>
      <xdr:row>13</xdr:row>
      <xdr:rowOff>85725</xdr:rowOff>
    </xdr:from>
    <xdr:to>
      <xdr:col>12</xdr:col>
      <xdr:colOff>9525</xdr:colOff>
      <xdr:row>24</xdr:row>
      <xdr:rowOff>19050</xdr:rowOff>
    </xdr:to>
    <xdr:graphicFrame macro="">
      <xdr:nvGraphicFramePr>
        <xdr:cNvPr id="6" name="Chart 5">
          <a:extLst>
            <a:ext uri="{FF2B5EF4-FFF2-40B4-BE49-F238E27FC236}">
              <a16:creationId xmlns:a16="http://schemas.microsoft.com/office/drawing/2014/main" id="{10EACAB7-4004-41B8-83FA-29F82E4CE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3</xdr:row>
      <xdr:rowOff>0</xdr:rowOff>
    </xdr:from>
    <xdr:to>
      <xdr:col>0</xdr:col>
      <xdr:colOff>466725</xdr:colOff>
      <xdr:row>4</xdr:row>
      <xdr:rowOff>9525</xdr:rowOff>
    </xdr:to>
    <xdr:sp macro="" textlink="">
      <xdr:nvSpPr>
        <xdr:cNvPr id="7" name="Arrow: Left 6">
          <a:hlinkClick xmlns:r="http://schemas.openxmlformats.org/officeDocument/2006/relationships" r:id="rId4"/>
          <a:extLst>
            <a:ext uri="{FF2B5EF4-FFF2-40B4-BE49-F238E27FC236}">
              <a16:creationId xmlns:a16="http://schemas.microsoft.com/office/drawing/2014/main" id="{E9B36C3A-C23E-772A-2823-E3F33905CA9D}"/>
            </a:ext>
          </a:extLst>
        </xdr:cNvPr>
        <xdr:cNvSpPr/>
      </xdr:nvSpPr>
      <xdr:spPr>
        <a:xfrm>
          <a:off x="66675" y="571500"/>
          <a:ext cx="400050" cy="2000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8.53784675926" createdVersion="8" refreshedVersion="8" minRefreshableVersion="3" recordCount="1500" xr:uid="{C0115A97-2EFE-4828-869C-7F95C4F00C02}">
  <cacheSource type="worksheet">
    <worksheetSource name="data"/>
  </cacheSource>
  <cacheFields count="31">
    <cacheField name="User_ID" numFmtId="0">
      <sharedItems count="1500">
        <s v="USR00001"/>
        <s v="USR00002"/>
        <s v="USR00003"/>
        <s v="USR00004"/>
        <s v="USR00005"/>
        <s v="USR00006"/>
        <s v="USR00007"/>
        <s v="USR00008"/>
        <s v="USR00009"/>
        <s v="USR00010"/>
        <s v="USR00011"/>
        <s v="USR00012"/>
        <s v="USR00013"/>
        <s v="USR00014"/>
        <s v="USR00015"/>
        <s v="USR00016"/>
        <s v="USR00017"/>
        <s v="USR00018"/>
        <s v="USR00019"/>
        <s v="USR00020"/>
        <s v="USR00021"/>
        <s v="USR00022"/>
        <s v="USR00023"/>
        <s v="USR00024"/>
        <s v="USR00025"/>
        <s v="USR00026"/>
        <s v="USR00027"/>
        <s v="USR00028"/>
        <s v="USR00029"/>
        <s v="USR00030"/>
        <s v="USR00031"/>
        <s v="USR00032"/>
        <s v="USR00033"/>
        <s v="USR00034"/>
        <s v="USR00035"/>
        <s v="USR00036"/>
        <s v="USR00037"/>
        <s v="USR00038"/>
        <s v="USR00039"/>
        <s v="USR00040"/>
        <s v="USR00041"/>
        <s v="USR00042"/>
        <s v="USR00043"/>
        <s v="USR00044"/>
        <s v="USR00045"/>
        <s v="USR00046"/>
        <s v="USR00047"/>
        <s v="USR00048"/>
        <s v="USR00049"/>
        <s v="USR00050"/>
        <s v="USR00051"/>
        <s v="USR00052"/>
        <s v="USR00053"/>
        <s v="USR00054"/>
        <s v="USR00055"/>
        <s v="USR00056"/>
        <s v="USR00057"/>
        <s v="USR00058"/>
        <s v="USR00059"/>
        <s v="USR00060"/>
        <s v="USR00061"/>
        <s v="USR00062"/>
        <s v="USR00063"/>
        <s v="USR00064"/>
        <s v="USR00065"/>
        <s v="USR00066"/>
        <s v="USR00067"/>
        <s v="USR00068"/>
        <s v="USR00069"/>
        <s v="USR00070"/>
        <s v="USR00071"/>
        <s v="USR00072"/>
        <s v="USR00073"/>
        <s v="USR00074"/>
        <s v="USR00075"/>
        <s v="USR00076"/>
        <s v="USR00077"/>
        <s v="USR00078"/>
        <s v="USR00079"/>
        <s v="USR00080"/>
        <s v="USR00081"/>
        <s v="USR00082"/>
        <s v="USR00083"/>
        <s v="USR00084"/>
        <s v="USR00085"/>
        <s v="USR00086"/>
        <s v="USR00087"/>
        <s v="USR00088"/>
        <s v="USR00089"/>
        <s v="USR00090"/>
        <s v="USR00091"/>
        <s v="USR00092"/>
        <s v="USR00093"/>
        <s v="USR00094"/>
        <s v="USR00095"/>
        <s v="USR00096"/>
        <s v="USR00097"/>
        <s v="USR00098"/>
        <s v="USR00099"/>
        <s v="USR00100"/>
        <s v="USR00101"/>
        <s v="USR00102"/>
        <s v="USR00103"/>
        <s v="USR00104"/>
        <s v="USR00105"/>
        <s v="USR00106"/>
        <s v="USR00107"/>
        <s v="USR00108"/>
        <s v="USR00109"/>
        <s v="USR00110"/>
        <s v="USR00111"/>
        <s v="USR00112"/>
        <s v="USR00113"/>
        <s v="USR00114"/>
        <s v="USR00115"/>
        <s v="USR00116"/>
        <s v="USR00117"/>
        <s v="USR00118"/>
        <s v="USR00119"/>
        <s v="USR00120"/>
        <s v="USR00121"/>
        <s v="USR00122"/>
        <s v="USR00123"/>
        <s v="USR00124"/>
        <s v="USR00125"/>
        <s v="USR00126"/>
        <s v="USR00127"/>
        <s v="USR00128"/>
        <s v="USR00129"/>
        <s v="USR00130"/>
        <s v="USR00131"/>
        <s v="USR00132"/>
        <s v="USR00133"/>
        <s v="USR00134"/>
        <s v="USR00135"/>
        <s v="USR00136"/>
        <s v="USR00137"/>
        <s v="USR00138"/>
        <s v="USR00139"/>
        <s v="USR00140"/>
        <s v="USR00141"/>
        <s v="USR00142"/>
        <s v="USR00143"/>
        <s v="USR00144"/>
        <s v="USR00145"/>
        <s v="USR00146"/>
        <s v="USR00147"/>
        <s v="USR00148"/>
        <s v="USR00149"/>
        <s v="USR00150"/>
        <s v="USR00151"/>
        <s v="USR00152"/>
        <s v="USR00153"/>
        <s v="USR00154"/>
        <s v="USR00155"/>
        <s v="USR00156"/>
        <s v="USR00157"/>
        <s v="USR00158"/>
        <s v="USR00159"/>
        <s v="USR00160"/>
        <s v="USR00161"/>
        <s v="USR00162"/>
        <s v="USR00163"/>
        <s v="USR00164"/>
        <s v="USR00165"/>
        <s v="USR00166"/>
        <s v="USR00167"/>
        <s v="USR00168"/>
        <s v="USR00169"/>
        <s v="USR00170"/>
        <s v="USR00171"/>
        <s v="USR00172"/>
        <s v="USR00173"/>
        <s v="USR00174"/>
        <s v="USR00175"/>
        <s v="USR00176"/>
        <s v="USR00177"/>
        <s v="USR00178"/>
        <s v="USR00179"/>
        <s v="USR00180"/>
        <s v="USR00181"/>
        <s v="USR00182"/>
        <s v="USR00183"/>
        <s v="USR00184"/>
        <s v="USR00185"/>
        <s v="USR00186"/>
        <s v="USR00187"/>
        <s v="USR00188"/>
        <s v="USR00189"/>
        <s v="USR00190"/>
        <s v="USR00191"/>
        <s v="USR00192"/>
        <s v="USR00193"/>
        <s v="USR00194"/>
        <s v="USR00195"/>
        <s v="USR00196"/>
        <s v="USR00197"/>
        <s v="USR00198"/>
        <s v="USR00199"/>
        <s v="USR00200"/>
        <s v="USR00201"/>
        <s v="USR00202"/>
        <s v="USR00203"/>
        <s v="USR00204"/>
        <s v="USR00205"/>
        <s v="USR00206"/>
        <s v="USR00207"/>
        <s v="USR00208"/>
        <s v="USR00209"/>
        <s v="USR00210"/>
        <s v="USR00211"/>
        <s v="USR00212"/>
        <s v="USR00213"/>
        <s v="USR00214"/>
        <s v="USR00215"/>
        <s v="USR00216"/>
        <s v="USR00217"/>
        <s v="USR00218"/>
        <s v="USR00219"/>
        <s v="USR00220"/>
        <s v="USR00221"/>
        <s v="USR00222"/>
        <s v="USR00223"/>
        <s v="USR00224"/>
        <s v="USR00225"/>
        <s v="USR00226"/>
        <s v="USR00227"/>
        <s v="USR00228"/>
        <s v="USR00229"/>
        <s v="USR00230"/>
        <s v="USR00231"/>
        <s v="USR00232"/>
        <s v="USR00233"/>
        <s v="USR00234"/>
        <s v="USR00235"/>
        <s v="USR00236"/>
        <s v="USR00237"/>
        <s v="USR00238"/>
        <s v="USR00239"/>
        <s v="USR00240"/>
        <s v="USR00241"/>
        <s v="USR00242"/>
        <s v="USR00243"/>
        <s v="USR00244"/>
        <s v="USR00245"/>
        <s v="USR00246"/>
        <s v="USR00247"/>
        <s v="USR00248"/>
        <s v="USR00249"/>
        <s v="USR00250"/>
        <s v="USR00251"/>
        <s v="USR00252"/>
        <s v="USR00253"/>
        <s v="USR00254"/>
        <s v="USR00255"/>
        <s v="USR00256"/>
        <s v="USR00257"/>
        <s v="USR00258"/>
        <s v="USR00259"/>
        <s v="USR00260"/>
        <s v="USR00261"/>
        <s v="USR00262"/>
        <s v="USR00263"/>
        <s v="USR00264"/>
        <s v="USR00265"/>
        <s v="USR00266"/>
        <s v="USR00267"/>
        <s v="USR00268"/>
        <s v="USR00269"/>
        <s v="USR00270"/>
        <s v="USR00271"/>
        <s v="USR00272"/>
        <s v="USR00273"/>
        <s v="USR00274"/>
        <s v="USR00275"/>
        <s v="USR00276"/>
        <s v="USR00277"/>
        <s v="USR00278"/>
        <s v="USR00279"/>
        <s v="USR00280"/>
        <s v="USR00281"/>
        <s v="USR00282"/>
        <s v="USR00283"/>
        <s v="USR00284"/>
        <s v="USR00285"/>
        <s v="USR00286"/>
        <s v="USR00287"/>
        <s v="USR00288"/>
        <s v="USR00289"/>
        <s v="USR00290"/>
        <s v="USR00291"/>
        <s v="USR00292"/>
        <s v="USR00293"/>
        <s v="USR00294"/>
        <s v="USR00295"/>
        <s v="USR00296"/>
        <s v="USR00297"/>
        <s v="USR00298"/>
        <s v="USR00299"/>
        <s v="USR00300"/>
        <s v="USR00301"/>
        <s v="USR00302"/>
        <s v="USR00303"/>
        <s v="USR00304"/>
        <s v="USR00305"/>
        <s v="USR00306"/>
        <s v="USR00307"/>
        <s v="USR00308"/>
        <s v="USR00309"/>
        <s v="USR00310"/>
        <s v="USR00311"/>
        <s v="USR00312"/>
        <s v="USR00313"/>
        <s v="USR00314"/>
        <s v="USR00315"/>
        <s v="USR00316"/>
        <s v="USR00317"/>
        <s v="USR00318"/>
        <s v="USR00319"/>
        <s v="USR00320"/>
        <s v="USR00321"/>
        <s v="USR00322"/>
        <s v="USR00323"/>
        <s v="USR00324"/>
        <s v="USR00325"/>
        <s v="USR00326"/>
        <s v="USR00327"/>
        <s v="USR00328"/>
        <s v="USR00329"/>
        <s v="USR00330"/>
        <s v="USR00331"/>
        <s v="USR00332"/>
        <s v="USR00333"/>
        <s v="USR00334"/>
        <s v="USR00335"/>
        <s v="USR00336"/>
        <s v="USR00337"/>
        <s v="USR00338"/>
        <s v="USR00339"/>
        <s v="USR00340"/>
        <s v="USR00341"/>
        <s v="USR00342"/>
        <s v="USR00343"/>
        <s v="USR00344"/>
        <s v="USR00345"/>
        <s v="USR00346"/>
        <s v="USR00347"/>
        <s v="USR00348"/>
        <s v="USR00349"/>
        <s v="USR00350"/>
        <s v="USR00351"/>
        <s v="USR00352"/>
        <s v="USR00353"/>
        <s v="USR00354"/>
        <s v="USR00355"/>
        <s v="USR00356"/>
        <s v="USR00357"/>
        <s v="USR00358"/>
        <s v="USR00359"/>
        <s v="USR00360"/>
        <s v="USR00361"/>
        <s v="USR00362"/>
        <s v="USR00363"/>
        <s v="USR00364"/>
        <s v="USR00365"/>
        <s v="USR00366"/>
        <s v="USR00367"/>
        <s v="USR00368"/>
        <s v="USR00369"/>
        <s v="USR00370"/>
        <s v="USR00371"/>
        <s v="USR00372"/>
        <s v="USR00373"/>
        <s v="USR00374"/>
        <s v="USR00375"/>
        <s v="USR00376"/>
        <s v="USR00377"/>
        <s v="USR00378"/>
        <s v="USR00379"/>
        <s v="USR00380"/>
        <s v="USR00381"/>
        <s v="USR00382"/>
        <s v="USR00383"/>
        <s v="USR00384"/>
        <s v="USR00385"/>
        <s v="USR00386"/>
        <s v="USR00387"/>
        <s v="USR00388"/>
        <s v="USR00389"/>
        <s v="USR00390"/>
        <s v="USR00391"/>
        <s v="USR00392"/>
        <s v="USR00393"/>
        <s v="USR00394"/>
        <s v="USR00395"/>
        <s v="USR00396"/>
        <s v="USR00397"/>
        <s v="USR00398"/>
        <s v="USR00399"/>
        <s v="USR00400"/>
        <s v="USR00401"/>
        <s v="USR00402"/>
        <s v="USR00403"/>
        <s v="USR00404"/>
        <s v="USR00405"/>
        <s v="USR00406"/>
        <s v="USR00407"/>
        <s v="USR00408"/>
        <s v="USR00409"/>
        <s v="USR00410"/>
        <s v="USR00411"/>
        <s v="USR00412"/>
        <s v="USR00413"/>
        <s v="USR00414"/>
        <s v="USR00415"/>
        <s v="USR00416"/>
        <s v="USR00417"/>
        <s v="USR00418"/>
        <s v="USR00419"/>
        <s v="USR00420"/>
        <s v="USR00421"/>
        <s v="USR00422"/>
        <s v="USR00423"/>
        <s v="USR00424"/>
        <s v="USR00425"/>
        <s v="USR00426"/>
        <s v="USR00427"/>
        <s v="USR00428"/>
        <s v="USR00429"/>
        <s v="USR00430"/>
        <s v="USR00431"/>
        <s v="USR00432"/>
        <s v="USR00433"/>
        <s v="USR00434"/>
        <s v="USR00435"/>
        <s v="USR00436"/>
        <s v="USR00437"/>
        <s v="USR00438"/>
        <s v="USR00439"/>
        <s v="USR00440"/>
        <s v="USR00441"/>
        <s v="USR00442"/>
        <s v="USR00443"/>
        <s v="USR00444"/>
        <s v="USR00445"/>
        <s v="USR00446"/>
        <s v="USR00447"/>
        <s v="USR00448"/>
        <s v="USR00449"/>
        <s v="USR00450"/>
        <s v="USR00451"/>
        <s v="USR00452"/>
        <s v="USR00453"/>
        <s v="USR00454"/>
        <s v="USR00455"/>
        <s v="USR00456"/>
        <s v="USR00457"/>
        <s v="USR00458"/>
        <s v="USR00459"/>
        <s v="USR00460"/>
        <s v="USR00461"/>
        <s v="USR00462"/>
        <s v="USR00463"/>
        <s v="USR00464"/>
        <s v="USR00465"/>
        <s v="USR00466"/>
        <s v="USR00467"/>
        <s v="USR00468"/>
        <s v="USR00469"/>
        <s v="USR00470"/>
        <s v="USR00471"/>
        <s v="USR00472"/>
        <s v="USR00473"/>
        <s v="USR00474"/>
        <s v="USR00475"/>
        <s v="USR00476"/>
        <s v="USR00477"/>
        <s v="USR00478"/>
        <s v="USR00479"/>
        <s v="USR00480"/>
        <s v="USR00481"/>
        <s v="USR00482"/>
        <s v="USR00483"/>
        <s v="USR00484"/>
        <s v="USR00485"/>
        <s v="USR00486"/>
        <s v="USR00487"/>
        <s v="USR00488"/>
        <s v="USR00489"/>
        <s v="USR00490"/>
        <s v="USR00491"/>
        <s v="USR00492"/>
        <s v="USR00493"/>
        <s v="USR00494"/>
        <s v="USR00495"/>
        <s v="USR00496"/>
        <s v="USR00497"/>
        <s v="USR00498"/>
        <s v="USR00499"/>
        <s v="USR00500"/>
        <s v="USR00501"/>
        <s v="USR00502"/>
        <s v="USR00503"/>
        <s v="USR00504"/>
        <s v="USR00505"/>
        <s v="USR00506"/>
        <s v="USR00507"/>
        <s v="USR00508"/>
        <s v="USR00509"/>
        <s v="USR00510"/>
        <s v="USR00511"/>
        <s v="USR00512"/>
        <s v="USR00513"/>
        <s v="USR00514"/>
        <s v="USR00515"/>
        <s v="USR00516"/>
        <s v="USR00517"/>
        <s v="USR00518"/>
        <s v="USR00519"/>
        <s v="USR00520"/>
        <s v="USR00521"/>
        <s v="USR00522"/>
        <s v="USR00523"/>
        <s v="USR00524"/>
        <s v="USR00525"/>
        <s v="USR00526"/>
        <s v="USR00527"/>
        <s v="USR00528"/>
        <s v="USR00529"/>
        <s v="USR00530"/>
        <s v="USR00531"/>
        <s v="USR00532"/>
        <s v="USR00533"/>
        <s v="USR00534"/>
        <s v="USR00535"/>
        <s v="USR00536"/>
        <s v="USR00537"/>
        <s v="USR00538"/>
        <s v="USR00539"/>
        <s v="USR00540"/>
        <s v="USR00541"/>
        <s v="USR00542"/>
        <s v="USR00543"/>
        <s v="USR00544"/>
        <s v="USR00545"/>
        <s v="USR00546"/>
        <s v="USR00547"/>
        <s v="USR00548"/>
        <s v="USR00549"/>
        <s v="USR00550"/>
        <s v="USR00551"/>
        <s v="USR00552"/>
        <s v="USR00553"/>
        <s v="USR00554"/>
        <s v="USR00555"/>
        <s v="USR00556"/>
        <s v="USR00557"/>
        <s v="USR00558"/>
        <s v="USR00559"/>
        <s v="USR00560"/>
        <s v="USR00561"/>
        <s v="USR00562"/>
        <s v="USR00563"/>
        <s v="USR00564"/>
        <s v="USR00565"/>
        <s v="USR00566"/>
        <s v="USR00567"/>
        <s v="USR00568"/>
        <s v="USR00569"/>
        <s v="USR00570"/>
        <s v="USR00571"/>
        <s v="USR00572"/>
        <s v="USR00573"/>
        <s v="USR00574"/>
        <s v="USR00575"/>
        <s v="USR00576"/>
        <s v="USR00577"/>
        <s v="USR00578"/>
        <s v="USR00579"/>
        <s v="USR00580"/>
        <s v="USR00581"/>
        <s v="USR00582"/>
        <s v="USR00583"/>
        <s v="USR00584"/>
        <s v="USR00585"/>
        <s v="USR00586"/>
        <s v="USR00587"/>
        <s v="USR00588"/>
        <s v="USR00589"/>
        <s v="USR00590"/>
        <s v="USR00591"/>
        <s v="USR00592"/>
        <s v="USR00593"/>
        <s v="USR00594"/>
        <s v="USR00595"/>
        <s v="USR00596"/>
        <s v="USR00597"/>
        <s v="USR00598"/>
        <s v="USR00599"/>
        <s v="USR00600"/>
        <s v="USR00601"/>
        <s v="USR00602"/>
        <s v="USR00603"/>
        <s v="USR00604"/>
        <s v="USR00605"/>
        <s v="USR00606"/>
        <s v="USR00607"/>
        <s v="USR00608"/>
        <s v="USR00609"/>
        <s v="USR00610"/>
        <s v="USR00611"/>
        <s v="USR00612"/>
        <s v="USR00613"/>
        <s v="USR00614"/>
        <s v="USR00615"/>
        <s v="USR00616"/>
        <s v="USR00617"/>
        <s v="USR00618"/>
        <s v="USR00619"/>
        <s v="USR00620"/>
        <s v="USR00621"/>
        <s v="USR00622"/>
        <s v="USR00623"/>
        <s v="USR00624"/>
        <s v="USR00625"/>
        <s v="USR00626"/>
        <s v="USR00627"/>
        <s v="USR00628"/>
        <s v="USR00629"/>
        <s v="USR00630"/>
        <s v="USR00631"/>
        <s v="USR00632"/>
        <s v="USR00633"/>
        <s v="USR00634"/>
        <s v="USR00635"/>
        <s v="USR00636"/>
        <s v="USR00637"/>
        <s v="USR00638"/>
        <s v="USR00639"/>
        <s v="USR00640"/>
        <s v="USR00641"/>
        <s v="USR00642"/>
        <s v="USR00643"/>
        <s v="USR00644"/>
        <s v="USR00645"/>
        <s v="USR00646"/>
        <s v="USR00647"/>
        <s v="USR00648"/>
        <s v="USR00649"/>
        <s v="USR00650"/>
        <s v="USR00651"/>
        <s v="USR00652"/>
        <s v="USR00653"/>
        <s v="USR00654"/>
        <s v="USR00655"/>
        <s v="USR00656"/>
        <s v="USR00657"/>
        <s v="USR00658"/>
        <s v="USR00659"/>
        <s v="USR00660"/>
        <s v="USR00661"/>
        <s v="USR00662"/>
        <s v="USR00663"/>
        <s v="USR00664"/>
        <s v="USR00665"/>
        <s v="USR00666"/>
        <s v="USR00667"/>
        <s v="USR00668"/>
        <s v="USR00669"/>
        <s v="USR00670"/>
        <s v="USR00671"/>
        <s v="USR00672"/>
        <s v="USR00673"/>
        <s v="USR00674"/>
        <s v="USR00675"/>
        <s v="USR00676"/>
        <s v="USR00677"/>
        <s v="USR00678"/>
        <s v="USR00679"/>
        <s v="USR00680"/>
        <s v="USR00681"/>
        <s v="USR00682"/>
        <s v="USR00683"/>
        <s v="USR00684"/>
        <s v="USR00685"/>
        <s v="USR00686"/>
        <s v="USR00687"/>
        <s v="USR00688"/>
        <s v="USR00689"/>
        <s v="USR00690"/>
        <s v="USR00691"/>
        <s v="USR00692"/>
        <s v="USR00693"/>
        <s v="USR00694"/>
        <s v="USR00695"/>
        <s v="USR00696"/>
        <s v="USR00697"/>
        <s v="USR00698"/>
        <s v="USR00699"/>
        <s v="USR00700"/>
        <s v="USR00701"/>
        <s v="USR00702"/>
        <s v="USR00703"/>
        <s v="USR00704"/>
        <s v="USR00705"/>
        <s v="USR00706"/>
        <s v="USR00707"/>
        <s v="USR00708"/>
        <s v="USR00709"/>
        <s v="USR00710"/>
        <s v="USR00711"/>
        <s v="USR00712"/>
        <s v="USR00713"/>
        <s v="USR00714"/>
        <s v="USR00715"/>
        <s v="USR00716"/>
        <s v="USR00717"/>
        <s v="USR00718"/>
        <s v="USR00719"/>
        <s v="USR00720"/>
        <s v="USR00721"/>
        <s v="USR00722"/>
        <s v="USR00723"/>
        <s v="USR00724"/>
        <s v="USR00725"/>
        <s v="USR00726"/>
        <s v="USR00727"/>
        <s v="USR00728"/>
        <s v="USR00729"/>
        <s v="USR00730"/>
        <s v="USR00731"/>
        <s v="USR00732"/>
        <s v="USR00733"/>
        <s v="USR00734"/>
        <s v="USR00735"/>
        <s v="USR00736"/>
        <s v="USR00737"/>
        <s v="USR00738"/>
        <s v="USR00739"/>
        <s v="USR00740"/>
        <s v="USR00741"/>
        <s v="USR00742"/>
        <s v="USR00743"/>
        <s v="USR00744"/>
        <s v="USR00745"/>
        <s v="USR00746"/>
        <s v="USR00747"/>
        <s v="USR00748"/>
        <s v="USR00749"/>
        <s v="USR00750"/>
        <s v="USR00751"/>
        <s v="USR00752"/>
        <s v="USR00753"/>
        <s v="USR00754"/>
        <s v="USR00755"/>
        <s v="USR00756"/>
        <s v="USR00757"/>
        <s v="USR00758"/>
        <s v="USR00759"/>
        <s v="USR00760"/>
        <s v="USR00761"/>
        <s v="USR00762"/>
        <s v="USR00763"/>
        <s v="USR00764"/>
        <s v="USR00765"/>
        <s v="USR00766"/>
        <s v="USR00767"/>
        <s v="USR00768"/>
        <s v="USR00769"/>
        <s v="USR00770"/>
        <s v="USR00771"/>
        <s v="USR00772"/>
        <s v="USR00773"/>
        <s v="USR00774"/>
        <s v="USR00775"/>
        <s v="USR00776"/>
        <s v="USR00777"/>
        <s v="USR00778"/>
        <s v="USR00779"/>
        <s v="USR00780"/>
        <s v="USR00781"/>
        <s v="USR00782"/>
        <s v="USR00783"/>
        <s v="USR00784"/>
        <s v="USR00785"/>
        <s v="USR00786"/>
        <s v="USR00787"/>
        <s v="USR00788"/>
        <s v="USR00789"/>
        <s v="USR00790"/>
        <s v="USR00791"/>
        <s v="USR00792"/>
        <s v="USR00793"/>
        <s v="USR00794"/>
        <s v="USR00795"/>
        <s v="USR00796"/>
        <s v="USR00797"/>
        <s v="USR00798"/>
        <s v="USR00799"/>
        <s v="USR00800"/>
        <s v="USR00801"/>
        <s v="USR00802"/>
        <s v="USR00803"/>
        <s v="USR00804"/>
        <s v="USR00805"/>
        <s v="USR00806"/>
        <s v="USR00807"/>
        <s v="USR00808"/>
        <s v="USR00809"/>
        <s v="USR00810"/>
        <s v="USR00811"/>
        <s v="USR00812"/>
        <s v="USR00813"/>
        <s v="USR00814"/>
        <s v="USR00815"/>
        <s v="USR00816"/>
        <s v="USR00817"/>
        <s v="USR00818"/>
        <s v="USR00819"/>
        <s v="USR00820"/>
        <s v="USR00821"/>
        <s v="USR00822"/>
        <s v="USR00823"/>
        <s v="USR00824"/>
        <s v="USR00825"/>
        <s v="USR00826"/>
        <s v="USR00827"/>
        <s v="USR00828"/>
        <s v="USR00829"/>
        <s v="USR00830"/>
        <s v="USR00831"/>
        <s v="USR00832"/>
        <s v="USR00833"/>
        <s v="USR00834"/>
        <s v="USR00835"/>
        <s v="USR00836"/>
        <s v="USR00837"/>
        <s v="USR00838"/>
        <s v="USR00839"/>
        <s v="USR00840"/>
        <s v="USR00841"/>
        <s v="USR00842"/>
        <s v="USR00843"/>
        <s v="USR00844"/>
        <s v="USR00845"/>
        <s v="USR00846"/>
        <s v="USR00847"/>
        <s v="USR00848"/>
        <s v="USR00849"/>
        <s v="USR00850"/>
        <s v="USR00851"/>
        <s v="USR00852"/>
        <s v="USR00853"/>
        <s v="USR00854"/>
        <s v="USR00855"/>
        <s v="USR00856"/>
        <s v="USR00857"/>
        <s v="USR00858"/>
        <s v="USR00859"/>
        <s v="USR00860"/>
        <s v="USR00861"/>
        <s v="USR00862"/>
        <s v="USR00863"/>
        <s v="USR00864"/>
        <s v="USR00865"/>
        <s v="USR00866"/>
        <s v="USR00867"/>
        <s v="USR00868"/>
        <s v="USR00869"/>
        <s v="USR00870"/>
        <s v="USR00871"/>
        <s v="USR00872"/>
        <s v="USR00873"/>
        <s v="USR00874"/>
        <s v="USR00875"/>
        <s v="USR00876"/>
        <s v="USR00877"/>
        <s v="USR00878"/>
        <s v="USR00879"/>
        <s v="USR00880"/>
        <s v="USR00881"/>
        <s v="USR00882"/>
        <s v="USR00883"/>
        <s v="USR00884"/>
        <s v="USR00885"/>
        <s v="USR00886"/>
        <s v="USR00887"/>
        <s v="USR00888"/>
        <s v="USR00889"/>
        <s v="USR00890"/>
        <s v="USR00891"/>
        <s v="USR00892"/>
        <s v="USR00893"/>
        <s v="USR00894"/>
        <s v="USR00895"/>
        <s v="USR00896"/>
        <s v="USR00897"/>
        <s v="USR00898"/>
        <s v="USR00899"/>
        <s v="USR00900"/>
        <s v="USR00901"/>
        <s v="USR00902"/>
        <s v="USR00903"/>
        <s v="USR00904"/>
        <s v="USR00905"/>
        <s v="USR00906"/>
        <s v="USR00907"/>
        <s v="USR00908"/>
        <s v="USR00909"/>
        <s v="USR00910"/>
        <s v="USR00911"/>
        <s v="USR00912"/>
        <s v="USR00913"/>
        <s v="USR00914"/>
        <s v="USR00915"/>
        <s v="USR00916"/>
        <s v="USR00917"/>
        <s v="USR00918"/>
        <s v="USR00919"/>
        <s v="USR00920"/>
        <s v="USR00921"/>
        <s v="USR00922"/>
        <s v="USR00923"/>
        <s v="USR00924"/>
        <s v="USR00925"/>
        <s v="USR00926"/>
        <s v="USR00927"/>
        <s v="USR00928"/>
        <s v="USR00929"/>
        <s v="USR00930"/>
        <s v="USR00931"/>
        <s v="USR00932"/>
        <s v="USR00933"/>
        <s v="USR00934"/>
        <s v="USR00935"/>
        <s v="USR00936"/>
        <s v="USR00937"/>
        <s v="USR00938"/>
        <s v="USR00939"/>
        <s v="USR00940"/>
        <s v="USR00941"/>
        <s v="USR00942"/>
        <s v="USR00943"/>
        <s v="USR00944"/>
        <s v="USR00945"/>
        <s v="USR00946"/>
        <s v="USR00947"/>
        <s v="USR00948"/>
        <s v="USR00949"/>
        <s v="USR00950"/>
        <s v="USR00951"/>
        <s v="USR00952"/>
        <s v="USR00953"/>
        <s v="USR00954"/>
        <s v="USR00955"/>
        <s v="USR00956"/>
        <s v="USR00957"/>
        <s v="USR00958"/>
        <s v="USR00959"/>
        <s v="USR00960"/>
        <s v="USR00961"/>
        <s v="USR00962"/>
        <s v="USR00963"/>
        <s v="USR00964"/>
        <s v="USR00965"/>
        <s v="USR00966"/>
        <s v="USR00967"/>
        <s v="USR00968"/>
        <s v="USR00969"/>
        <s v="USR00970"/>
        <s v="USR00971"/>
        <s v="USR00972"/>
        <s v="USR00973"/>
        <s v="USR00974"/>
        <s v="USR00975"/>
        <s v="USR00976"/>
        <s v="USR00977"/>
        <s v="USR00978"/>
        <s v="USR00979"/>
        <s v="USR00980"/>
        <s v="USR00981"/>
        <s v="USR00982"/>
        <s v="USR00983"/>
        <s v="USR00984"/>
        <s v="USR00985"/>
        <s v="USR00986"/>
        <s v="USR00987"/>
        <s v="USR00988"/>
        <s v="USR00989"/>
        <s v="USR00990"/>
        <s v="USR00991"/>
        <s v="USR00992"/>
        <s v="USR00993"/>
        <s v="USR00994"/>
        <s v="USR00995"/>
        <s v="USR00996"/>
        <s v="USR00997"/>
        <s v="USR00998"/>
        <s v="USR00999"/>
        <s v="USR01000"/>
        <s v="USR01001"/>
        <s v="USR01002"/>
        <s v="USR01003"/>
        <s v="USR01004"/>
        <s v="USR01005"/>
        <s v="USR01006"/>
        <s v="USR01007"/>
        <s v="USR01008"/>
        <s v="USR01009"/>
        <s v="USR01010"/>
        <s v="USR01011"/>
        <s v="USR01012"/>
        <s v="USR01013"/>
        <s v="USR01014"/>
        <s v="USR01015"/>
        <s v="USR01016"/>
        <s v="USR01017"/>
        <s v="USR01018"/>
        <s v="USR01019"/>
        <s v="USR01020"/>
        <s v="USR01021"/>
        <s v="USR01022"/>
        <s v="USR01023"/>
        <s v="USR01024"/>
        <s v="USR01025"/>
        <s v="USR01026"/>
        <s v="USR01027"/>
        <s v="USR01028"/>
        <s v="USR01029"/>
        <s v="USR01030"/>
        <s v="USR01031"/>
        <s v="USR01032"/>
        <s v="USR01033"/>
        <s v="USR01034"/>
        <s v="USR01035"/>
        <s v="USR01036"/>
        <s v="USR01037"/>
        <s v="USR01038"/>
        <s v="USR01039"/>
        <s v="USR01040"/>
        <s v="USR01041"/>
        <s v="USR01042"/>
        <s v="USR01043"/>
        <s v="USR01044"/>
        <s v="USR01045"/>
        <s v="USR01046"/>
        <s v="USR01047"/>
        <s v="USR01048"/>
        <s v="USR01049"/>
        <s v="USR01050"/>
        <s v="USR01051"/>
        <s v="USR01052"/>
        <s v="USR01053"/>
        <s v="USR01054"/>
        <s v="USR01055"/>
        <s v="USR01056"/>
        <s v="USR01057"/>
        <s v="USR01058"/>
        <s v="USR01059"/>
        <s v="USR01060"/>
        <s v="USR01061"/>
        <s v="USR01062"/>
        <s v="USR01063"/>
        <s v="USR01064"/>
        <s v="USR01065"/>
        <s v="USR01066"/>
        <s v="USR01067"/>
        <s v="USR01068"/>
        <s v="USR01069"/>
        <s v="USR01070"/>
        <s v="USR01071"/>
        <s v="USR01072"/>
        <s v="USR01073"/>
        <s v="USR01074"/>
        <s v="USR01075"/>
        <s v="USR01076"/>
        <s v="USR01077"/>
        <s v="USR01078"/>
        <s v="USR01079"/>
        <s v="USR01080"/>
        <s v="USR01081"/>
        <s v="USR01082"/>
        <s v="USR01083"/>
        <s v="USR01084"/>
        <s v="USR01085"/>
        <s v="USR01086"/>
        <s v="USR01087"/>
        <s v="USR01088"/>
        <s v="USR01089"/>
        <s v="USR01090"/>
        <s v="USR01091"/>
        <s v="USR01092"/>
        <s v="USR01093"/>
        <s v="USR01094"/>
        <s v="USR01095"/>
        <s v="USR01096"/>
        <s v="USR01097"/>
        <s v="USR01098"/>
        <s v="USR01099"/>
        <s v="USR01100"/>
        <s v="USR01101"/>
        <s v="USR01102"/>
        <s v="USR01103"/>
        <s v="USR01104"/>
        <s v="USR01105"/>
        <s v="USR01106"/>
        <s v="USR01107"/>
        <s v="USR01108"/>
        <s v="USR01109"/>
        <s v="USR01110"/>
        <s v="USR01111"/>
        <s v="USR01112"/>
        <s v="USR01113"/>
        <s v="USR01114"/>
        <s v="USR01115"/>
        <s v="USR01116"/>
        <s v="USR01117"/>
        <s v="USR01118"/>
        <s v="USR01119"/>
        <s v="USR01120"/>
        <s v="USR01121"/>
        <s v="USR01122"/>
        <s v="USR01123"/>
        <s v="USR01124"/>
        <s v="USR01125"/>
        <s v="USR01126"/>
        <s v="USR01127"/>
        <s v="USR01128"/>
        <s v="USR01129"/>
        <s v="USR01130"/>
        <s v="USR01131"/>
        <s v="USR01132"/>
        <s v="USR01133"/>
        <s v="USR01134"/>
        <s v="USR01135"/>
        <s v="USR01136"/>
        <s v="USR01137"/>
        <s v="USR01138"/>
        <s v="USR01139"/>
        <s v="USR01140"/>
        <s v="USR01141"/>
        <s v="USR01142"/>
        <s v="USR01143"/>
        <s v="USR01144"/>
        <s v="USR01145"/>
        <s v="USR01146"/>
        <s v="USR01147"/>
        <s v="USR01148"/>
        <s v="USR01149"/>
        <s v="USR01150"/>
        <s v="USR01151"/>
        <s v="USR01152"/>
        <s v="USR01153"/>
        <s v="USR01154"/>
        <s v="USR01155"/>
        <s v="USR01156"/>
        <s v="USR01157"/>
        <s v="USR01158"/>
        <s v="USR01159"/>
        <s v="USR01160"/>
        <s v="USR01161"/>
        <s v="USR01162"/>
        <s v="USR01163"/>
        <s v="USR01164"/>
        <s v="USR01165"/>
        <s v="USR01166"/>
        <s v="USR01167"/>
        <s v="USR01168"/>
        <s v="USR01169"/>
        <s v="USR01170"/>
        <s v="USR01171"/>
        <s v="USR01172"/>
        <s v="USR01173"/>
        <s v="USR01174"/>
        <s v="USR01175"/>
        <s v="USR01176"/>
        <s v="USR01177"/>
        <s v="USR01178"/>
        <s v="USR01179"/>
        <s v="USR01180"/>
        <s v="USR01181"/>
        <s v="USR01182"/>
        <s v="USR01183"/>
        <s v="USR01184"/>
        <s v="USR01185"/>
        <s v="USR01186"/>
        <s v="USR01187"/>
        <s v="USR01188"/>
        <s v="USR01189"/>
        <s v="USR01190"/>
        <s v="USR01191"/>
        <s v="USR01192"/>
        <s v="USR01193"/>
        <s v="USR01194"/>
        <s v="USR01195"/>
        <s v="USR01196"/>
        <s v="USR01197"/>
        <s v="USR01198"/>
        <s v="USR01199"/>
        <s v="USR01200"/>
        <s v="USR01201"/>
        <s v="USR01202"/>
        <s v="USR01203"/>
        <s v="USR01204"/>
        <s v="USR01205"/>
        <s v="USR01206"/>
        <s v="USR01207"/>
        <s v="USR01208"/>
        <s v="USR01209"/>
        <s v="USR01210"/>
        <s v="USR01211"/>
        <s v="USR01212"/>
        <s v="USR01213"/>
        <s v="USR01214"/>
        <s v="USR01215"/>
        <s v="USR01216"/>
        <s v="USR01217"/>
        <s v="USR01218"/>
        <s v="USR01219"/>
        <s v="USR01220"/>
        <s v="USR01221"/>
        <s v="USR01222"/>
        <s v="USR01223"/>
        <s v="USR01224"/>
        <s v="USR01225"/>
        <s v="USR01226"/>
        <s v="USR01227"/>
        <s v="USR01228"/>
        <s v="USR01229"/>
        <s v="USR01230"/>
        <s v="USR01231"/>
        <s v="USR01232"/>
        <s v="USR01233"/>
        <s v="USR01234"/>
        <s v="USR01235"/>
        <s v="USR01236"/>
        <s v="USR01237"/>
        <s v="USR01238"/>
        <s v="USR01239"/>
        <s v="USR01240"/>
        <s v="USR01241"/>
        <s v="USR01242"/>
        <s v="USR01243"/>
        <s v="USR01244"/>
        <s v="USR01245"/>
        <s v="USR01246"/>
        <s v="USR01247"/>
        <s v="USR01248"/>
        <s v="USR01249"/>
        <s v="USR01250"/>
        <s v="USR01251"/>
        <s v="USR01252"/>
        <s v="USR01253"/>
        <s v="USR01254"/>
        <s v="USR01255"/>
        <s v="USR01256"/>
        <s v="USR01257"/>
        <s v="USR01258"/>
        <s v="USR01259"/>
        <s v="USR01260"/>
        <s v="USR01261"/>
        <s v="USR01262"/>
        <s v="USR01263"/>
        <s v="USR01264"/>
        <s v="USR01265"/>
        <s v="USR01266"/>
        <s v="USR01267"/>
        <s v="USR01268"/>
        <s v="USR01269"/>
        <s v="USR01270"/>
        <s v="USR01271"/>
        <s v="USR01272"/>
        <s v="USR01273"/>
        <s v="USR01274"/>
        <s v="USR01275"/>
        <s v="USR01276"/>
        <s v="USR01277"/>
        <s v="USR01278"/>
        <s v="USR01279"/>
        <s v="USR01280"/>
        <s v="USR01281"/>
        <s v="USR01282"/>
        <s v="USR01283"/>
        <s v="USR01284"/>
        <s v="USR01285"/>
        <s v="USR01286"/>
        <s v="USR01287"/>
        <s v="USR01288"/>
        <s v="USR01289"/>
        <s v="USR01290"/>
        <s v="USR01291"/>
        <s v="USR01292"/>
        <s v="USR01293"/>
        <s v="USR01294"/>
        <s v="USR01295"/>
        <s v="USR01296"/>
        <s v="USR01297"/>
        <s v="USR01298"/>
        <s v="USR01299"/>
        <s v="USR01300"/>
        <s v="USR01301"/>
        <s v="USR01302"/>
        <s v="USR01303"/>
        <s v="USR01304"/>
        <s v="USR01305"/>
        <s v="USR01306"/>
        <s v="USR01307"/>
        <s v="USR01308"/>
        <s v="USR01309"/>
        <s v="USR01310"/>
        <s v="USR01311"/>
        <s v="USR01312"/>
        <s v="USR01313"/>
        <s v="USR01314"/>
        <s v="USR01315"/>
        <s v="USR01316"/>
        <s v="USR01317"/>
        <s v="USR01318"/>
        <s v="USR01319"/>
        <s v="USR01320"/>
        <s v="USR01321"/>
        <s v="USR01322"/>
        <s v="USR01323"/>
        <s v="USR01324"/>
        <s v="USR01325"/>
        <s v="USR01326"/>
        <s v="USR01327"/>
        <s v="USR01328"/>
        <s v="USR01329"/>
        <s v="USR01330"/>
        <s v="USR01331"/>
        <s v="USR01332"/>
        <s v="USR01333"/>
        <s v="USR01334"/>
        <s v="USR01335"/>
        <s v="USR01336"/>
        <s v="USR01337"/>
        <s v="USR01338"/>
        <s v="USR01339"/>
        <s v="USR01340"/>
        <s v="USR01341"/>
        <s v="USR01342"/>
        <s v="USR01343"/>
        <s v="USR01344"/>
        <s v="USR01345"/>
        <s v="USR01346"/>
        <s v="USR01347"/>
        <s v="USR01348"/>
        <s v="USR01349"/>
        <s v="USR01350"/>
        <s v="USR01351"/>
        <s v="USR01352"/>
        <s v="USR01353"/>
        <s v="USR01354"/>
        <s v="USR01355"/>
        <s v="USR01356"/>
        <s v="USR01357"/>
        <s v="USR01358"/>
        <s v="USR01359"/>
        <s v="USR01360"/>
        <s v="USR01361"/>
        <s v="USR01362"/>
        <s v="USR01363"/>
        <s v="USR01364"/>
        <s v="USR01365"/>
        <s v="USR01366"/>
        <s v="USR01367"/>
        <s v="USR01368"/>
        <s v="USR01369"/>
        <s v="USR01370"/>
        <s v="USR01371"/>
        <s v="USR01372"/>
        <s v="USR01373"/>
        <s v="USR01374"/>
        <s v="USR01375"/>
        <s v="USR01376"/>
        <s v="USR01377"/>
        <s v="USR01378"/>
        <s v="USR01379"/>
        <s v="USR01380"/>
        <s v="USR01381"/>
        <s v="USR01382"/>
        <s v="USR01383"/>
        <s v="USR01384"/>
        <s v="USR01385"/>
        <s v="USR01386"/>
        <s v="USR01387"/>
        <s v="USR01388"/>
        <s v="USR01389"/>
        <s v="USR01390"/>
        <s v="USR01391"/>
        <s v="USR01392"/>
        <s v="USR01393"/>
        <s v="USR01394"/>
        <s v="USR01395"/>
        <s v="USR01396"/>
        <s v="USR01397"/>
        <s v="USR01398"/>
        <s v="USR01399"/>
        <s v="USR01400"/>
        <s v="USR01401"/>
        <s v="USR01402"/>
        <s v="USR01403"/>
        <s v="USR01404"/>
        <s v="USR01405"/>
        <s v="USR01406"/>
        <s v="USR01407"/>
        <s v="USR01408"/>
        <s v="USR01409"/>
        <s v="USR01410"/>
        <s v="USR01411"/>
        <s v="USR01412"/>
        <s v="USR01413"/>
        <s v="USR01414"/>
        <s v="USR01415"/>
        <s v="USR01416"/>
        <s v="USR01417"/>
        <s v="USR01418"/>
        <s v="USR01419"/>
        <s v="USR01420"/>
        <s v="USR01421"/>
        <s v="USR01422"/>
        <s v="USR01423"/>
        <s v="USR01424"/>
        <s v="USR01425"/>
        <s v="USR01426"/>
        <s v="USR01427"/>
        <s v="USR01428"/>
        <s v="USR01429"/>
        <s v="USR01430"/>
        <s v="USR01431"/>
        <s v="USR01432"/>
        <s v="USR01433"/>
        <s v="USR01434"/>
        <s v="USR01435"/>
        <s v="USR01436"/>
        <s v="USR01437"/>
        <s v="USR01438"/>
        <s v="USR01439"/>
        <s v="USR01440"/>
        <s v="USR01441"/>
        <s v="USR01442"/>
        <s v="USR01443"/>
        <s v="USR01444"/>
        <s v="USR01445"/>
        <s v="USR01446"/>
        <s v="USR01447"/>
        <s v="USR01448"/>
        <s v="USR01449"/>
        <s v="USR01450"/>
        <s v="USR01451"/>
        <s v="USR01452"/>
        <s v="USR01453"/>
        <s v="USR01454"/>
        <s v="USR01455"/>
        <s v="USR01456"/>
        <s v="USR01457"/>
        <s v="USR01458"/>
        <s v="USR01459"/>
        <s v="USR01460"/>
        <s v="USR01461"/>
        <s v="USR01462"/>
        <s v="USR01463"/>
        <s v="USR01464"/>
        <s v="USR01465"/>
        <s v="USR01466"/>
        <s v="USR01467"/>
        <s v="USR01468"/>
        <s v="USR01469"/>
        <s v="USR01470"/>
        <s v="USR01471"/>
        <s v="USR01472"/>
        <s v="USR01473"/>
        <s v="USR01474"/>
        <s v="USR01475"/>
        <s v="USR01476"/>
        <s v="USR01477"/>
        <s v="USR01478"/>
        <s v="USR01479"/>
        <s v="USR01480"/>
        <s v="USR01481"/>
        <s v="USR01482"/>
        <s v="USR01483"/>
        <s v="USR01484"/>
        <s v="USR01485"/>
        <s v="USR01486"/>
        <s v="USR01487"/>
        <s v="USR01488"/>
        <s v="USR01489"/>
        <s v="USR01490"/>
        <s v="USR01491"/>
        <s v="USR01492"/>
        <s v="USR01493"/>
        <s v="USR01494"/>
        <s v="USR01495"/>
        <s v="USR01496"/>
        <s v="USR01497"/>
        <s v="USR01498"/>
        <s v="USR01499"/>
        <s v="USR01500"/>
      </sharedItems>
    </cacheField>
    <cacheField name="Age" numFmtId="0">
      <sharedItems containsSemiMixedTypes="0" containsString="0" containsNumber="1" containsInteger="1" minValue="15" maxValue="44"/>
    </cacheField>
    <cacheField name="Gender" numFmtId="0">
      <sharedItems containsBlank="1" count="4">
        <s v="Male"/>
        <s v="Female"/>
        <s v="Non-binary"/>
        <m/>
      </sharedItems>
    </cacheField>
    <cacheField name="Occupation" numFmtId="0">
      <sharedItems containsBlank="1" count="5">
        <s v="Working Professional"/>
        <s v="Student"/>
        <s v="Unemployed"/>
        <s v="Freelancer"/>
        <m/>
      </sharedItems>
    </cacheField>
    <cacheField name="Relationship_Status" numFmtId="0">
      <sharedItems containsBlank="1"/>
    </cacheField>
    <cacheField name="Primary_Platform" numFmtId="0">
      <sharedItems containsBlank="1" count="7">
        <s v="YouTube"/>
        <s v="Instagram"/>
        <s v="Facebook"/>
        <s v="TikTok"/>
        <s v="Twitter/X"/>
        <s v="Snapchat"/>
        <m u="1"/>
      </sharedItems>
    </cacheField>
    <cacheField name="Daily_Usage_Hours" numFmtId="0">
      <sharedItems containsString="0" containsBlank="1" containsNumber="1" minValue="0.5" maxValue="12"/>
    </cacheField>
    <cacheField name="Platforms_Used_Count" numFmtId="0">
      <sharedItems containsSemiMixedTypes="0" containsString="0" containsNumber="1" containsInteger="1" minValue="1" maxValue="8"/>
    </cacheField>
    <cacheField name="Posts_Per_Week" numFmtId="0">
      <sharedItems containsSemiMixedTypes="0" containsString="0" containsNumber="1" containsInteger="1" minValue="0" maxValue="12"/>
    </cacheField>
    <cacheField name="Late_Night_Usage" numFmtId="0">
      <sharedItems containsBlank="1"/>
    </cacheField>
    <cacheField name="First_Check_Morning" numFmtId="0">
      <sharedItems/>
    </cacheField>
    <cacheField name="Notifications_Per_Day" numFmtId="0">
      <sharedItems containsSemiMixedTypes="0" containsString="0" containsNumber="1" containsInteger="1" minValue="5" maxValue="165"/>
    </cacheField>
    <cacheField name="FOMO_Score" numFmtId="0">
      <sharedItems containsString="0" containsBlank="1" containsNumber="1" minValue="0" maxValue="10"/>
    </cacheField>
    <cacheField name="Social_Comparison_Score" numFmtId="0">
      <sharedItems containsSemiMixedTypes="0" containsString="0" containsNumber="1" minValue="0" maxValue="10"/>
    </cacheField>
    <cacheField name="Validation_Seeking_Score" numFmtId="0">
      <sharedItems containsString="0" containsBlank="1" containsNumber="1" minValue="0" maxValue="10"/>
    </cacheField>
    <cacheField name="Scroll_Without_Purpose" numFmtId="0">
      <sharedItems containsSemiMixedTypes="0" containsString="0" containsNumber="1" minValue="0" maxValue="10"/>
    </cacheField>
    <cacheField name="Tried_To_Cut_Back" numFmtId="0">
      <sharedItems containsBlank="1"/>
    </cacheField>
    <cacheField name="Failed_To_Cut_Back" numFmtId="0">
      <sharedItems/>
    </cacheField>
    <cacheField name="Anxiety_Score" numFmtId="0">
      <sharedItems containsString="0" containsBlank="1" containsNumber="1" minValue="0" maxValue="10"/>
    </cacheField>
    <cacheField name="Depression_Score" numFmtId="0">
      <sharedItems containsString="0" containsBlank="1" containsNumber="1" minValue="0" maxValue="10"/>
    </cacheField>
    <cacheField name="Loneliness_Score" numFmtId="0">
      <sharedItems containsString="0" containsBlank="1" containsNumber="1" minValue="0" maxValue="10"/>
    </cacheField>
    <cacheField name="Self_Esteem_Score" numFmtId="0">
      <sharedItems containsString="0" containsBlank="1" containsNumber="1" minValue="0" maxValue="10"/>
    </cacheField>
    <cacheField name="Sleep_Quality_Score" numFmtId="0">
      <sharedItems containsString="0" containsBlank="1" containsNumber="1" minValue="0" maxValue="10"/>
    </cacheField>
    <cacheField name="Sleep_Hours" numFmtId="0">
      <sharedItems containsString="0" containsBlank="1" containsNumber="1" minValue="3" maxValue="10"/>
    </cacheField>
    <cacheField name="Productivity_Loss_Score" numFmtId="0">
      <sharedItems containsString="0" containsBlank="1" containsNumber="1" minValue="0" maxValue="10"/>
    </cacheField>
    <cacheField name="Offline_Relationship_Quality" numFmtId="0">
      <sharedItems containsString="0" containsBlank="1" containsNumber="1" minValue="0" maxValue="10"/>
    </cacheField>
    <cacheField name="Physical_Activity_Hrs_Week" numFmtId="0">
      <sharedItems containsString="0" containsBlank="1" containsNumber="1" minValue="0" maxValue="8.9"/>
    </cacheField>
    <cacheField name="Screen_Free_Time_Hrs" numFmtId="0">
      <sharedItems containsString="0" containsBlank="1" containsNumber="1" minValue="0" maxValue="10.3"/>
    </cacheField>
    <cacheField name="Mental_Wellbeing_Score" numFmtId="0">
      <sharedItems containsSemiMixedTypes="0" containsString="0" containsNumber="1" minValue="1.5" maxValue="10"/>
    </cacheField>
    <cacheField name="Addiction_Level" numFmtId="0">
      <sharedItems/>
    </cacheField>
    <cacheField name="age group" numFmtId="0">
      <sharedItems count="5">
        <s v="25-34"/>
        <s v="18-24"/>
        <s v="35-44"/>
        <s v="below 18 "/>
        <b v="0"/>
      </sharedItems>
    </cacheField>
  </cacheFields>
  <extLst>
    <ext xmlns:x14="http://schemas.microsoft.com/office/spreadsheetml/2009/9/main" uri="{725AE2AE-9491-48be-B2B4-4EB974FC3084}">
      <x14:pivotCacheDefinition pivotCacheId="26437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n v="30"/>
    <x v="0"/>
    <x v="0"/>
    <s v="In a Relationship"/>
    <x v="0"/>
    <n v="2.9"/>
    <n v="4"/>
    <n v="3"/>
    <s v="No"/>
    <s v="Within 5 min"/>
    <n v="62"/>
    <n v="4.9000000000000004"/>
    <n v="7.4"/>
    <n v="2.1"/>
    <n v="10"/>
    <s v="No"/>
    <s v="No"/>
    <n v="2.5"/>
    <n v="3.8"/>
    <n v="1.7"/>
    <n v="6.5"/>
    <n v="8.5"/>
    <n v="5.3"/>
    <n v="3.7"/>
    <n v="3.8"/>
    <n v="5.8"/>
    <n v="3.1"/>
    <n v="7.3"/>
    <s v="Low"/>
    <x v="0"/>
  </r>
  <r>
    <x v="1"/>
    <n v="19"/>
    <x v="0"/>
    <x v="1"/>
    <s v="Married"/>
    <x v="1"/>
    <n v="4.8"/>
    <n v="1"/>
    <n v="0"/>
    <m/>
    <s v="Within 5 min"/>
    <n v="111"/>
    <n v="4.2"/>
    <n v="5.4"/>
    <n v="7.2"/>
    <n v="9"/>
    <s v="Yes"/>
    <s v="Yes"/>
    <n v="4"/>
    <n v="3.2"/>
    <n v="7"/>
    <n v="7.5"/>
    <n v="7.8"/>
    <n v="5.5"/>
    <n v="4"/>
    <n v="1.8"/>
    <n v="0.9"/>
    <n v="3.3"/>
    <n v="4.0999999999999996"/>
    <s v="Severe"/>
    <x v="1"/>
  </r>
  <r>
    <x v="2"/>
    <n v="40"/>
    <x v="0"/>
    <x v="1"/>
    <s v="In a Relationship"/>
    <x v="0"/>
    <m/>
    <n v="4"/>
    <n v="5"/>
    <s v="No"/>
    <s v="Within 5 min"/>
    <n v="122"/>
    <n v="2.7"/>
    <n v="5.4"/>
    <n v="5.9"/>
    <n v="6.1"/>
    <s v="No"/>
    <s v="Yes"/>
    <n v="7.6"/>
    <n v="0"/>
    <n v="5.6"/>
    <n v="5.3"/>
    <n v="6.3"/>
    <m/>
    <n v="5.8"/>
    <n v="2.8"/>
    <n v="0"/>
    <n v="1.5"/>
    <n v="5.6"/>
    <s v="High"/>
    <x v="2"/>
  </r>
  <r>
    <x v="3"/>
    <n v="37"/>
    <x v="1"/>
    <x v="1"/>
    <s v="Married"/>
    <x v="2"/>
    <n v="7.7"/>
    <n v="2"/>
    <n v="3"/>
    <s v="Yes"/>
    <s v="Within 5 min"/>
    <n v="48"/>
    <n v="3.9"/>
    <n v="8.3000000000000007"/>
    <n v="4.9000000000000004"/>
    <n v="4.0999999999999996"/>
    <m/>
    <s v="No"/>
    <n v="3.3"/>
    <n v="3.5"/>
    <n v="5.6"/>
    <n v="1.4"/>
    <n v="3.9"/>
    <n v="6.1"/>
    <n v="5.5"/>
    <n v="3.6"/>
    <n v="1"/>
    <n v="3.9"/>
    <n v="4.3"/>
    <s v="Severe"/>
    <x v="2"/>
  </r>
  <r>
    <x v="4"/>
    <n v="18"/>
    <x v="2"/>
    <x v="1"/>
    <s v="In a Relationship"/>
    <x v="3"/>
    <n v="4.5999999999999996"/>
    <n v="3"/>
    <n v="0"/>
    <s v="No"/>
    <s v="5-30 min"/>
    <n v="58"/>
    <n v="6"/>
    <n v="8.6"/>
    <n v="2.8"/>
    <n v="7.3"/>
    <s v="Yes"/>
    <s v="Yes"/>
    <n v="6.5"/>
    <n v="0"/>
    <n v="4"/>
    <m/>
    <n v="5.7"/>
    <n v="5"/>
    <n v="3.8"/>
    <n v="3.2"/>
    <n v="0.6"/>
    <n v="1"/>
    <n v="6.6"/>
    <s v="Moderate"/>
    <x v="1"/>
  </r>
  <r>
    <x v="5"/>
    <n v="34"/>
    <x v="0"/>
    <x v="0"/>
    <s v="Married"/>
    <x v="0"/>
    <n v="1.2"/>
    <n v="1"/>
    <n v="3"/>
    <s v="No"/>
    <s v="5-30 min"/>
    <n v="37"/>
    <n v="5.5"/>
    <n v="5.0999999999999996"/>
    <n v="7.1"/>
    <n v="6"/>
    <s v="Yes"/>
    <s v="Yes"/>
    <n v="5.2"/>
    <n v="5.3"/>
    <n v="5"/>
    <n v="7.9"/>
    <m/>
    <n v="5.6"/>
    <n v="2.8"/>
    <n v="5.6"/>
    <n v="4.0999999999999996"/>
    <n v="1.5"/>
    <n v="7.7"/>
    <s v="Low"/>
    <x v="0"/>
  </r>
  <r>
    <x v="6"/>
    <n v="38"/>
    <x v="1"/>
    <x v="1"/>
    <s v="In a Relationship"/>
    <x v="2"/>
    <n v="5"/>
    <n v="4"/>
    <n v="4"/>
    <s v="Yes"/>
    <s v="Within 5 min"/>
    <n v="24"/>
    <n v="4"/>
    <n v="4.8"/>
    <n v="6"/>
    <n v="2.6"/>
    <s v="No"/>
    <s v="Yes"/>
    <n v="5.3"/>
    <n v="3.8"/>
    <n v="7.2"/>
    <n v="0.5"/>
    <n v="4.8"/>
    <n v="8.1999999999999993"/>
    <n v="6.8"/>
    <n v="5.4"/>
    <n v="3.2"/>
    <n v="3.7"/>
    <n v="5.5"/>
    <s v="High"/>
    <x v="2"/>
  </r>
  <r>
    <x v="7"/>
    <n v="22"/>
    <x v="1"/>
    <x v="2"/>
    <s v="Single"/>
    <x v="4"/>
    <n v="3.4"/>
    <n v="5"/>
    <n v="2"/>
    <s v="No"/>
    <s v="Within 5 min"/>
    <n v="64"/>
    <n v="6.5"/>
    <n v="7.5"/>
    <n v="4"/>
    <n v="4"/>
    <s v="Yes"/>
    <s v="No"/>
    <n v="3.4"/>
    <n v="6.1"/>
    <n v="3.1"/>
    <n v="2.9"/>
    <n v="3.8"/>
    <n v="10"/>
    <n v="6.8"/>
    <n v="6.7"/>
    <m/>
    <n v="6.6"/>
    <n v="6.2"/>
    <s v="Moderate"/>
    <x v="1"/>
  </r>
  <r>
    <x v="8"/>
    <n v="43"/>
    <x v="1"/>
    <x v="1"/>
    <s v="Single"/>
    <x v="0"/>
    <n v="9.1999999999999993"/>
    <n v="4"/>
    <n v="2"/>
    <s v="No"/>
    <s v="5-30 min"/>
    <n v="115"/>
    <n v="6.5"/>
    <n v="8.1999999999999993"/>
    <n v="4.4000000000000004"/>
    <n v="8.5"/>
    <s v="No"/>
    <s v="Yes"/>
    <n v="3.9"/>
    <n v="2.8"/>
    <n v="3.8"/>
    <n v="5.0999999999999996"/>
    <n v="3.2"/>
    <n v="5.7"/>
    <n v="3.2"/>
    <n v="5.4"/>
    <n v="4.8"/>
    <n v="0.6"/>
    <n v="3.4"/>
    <s v="Severe"/>
    <x v="2"/>
  </r>
  <r>
    <x v="9"/>
    <n v="40"/>
    <x v="0"/>
    <x v="1"/>
    <s v="Single"/>
    <x v="1"/>
    <n v="6.9"/>
    <n v="2"/>
    <n v="5"/>
    <s v="Yes"/>
    <s v="After 30 min"/>
    <n v="62"/>
    <n v="0.9"/>
    <n v="6.9"/>
    <n v="3.8"/>
    <n v="7.8"/>
    <s v="No"/>
    <s v="No"/>
    <n v="3.7"/>
    <n v="2.5"/>
    <n v="3.9"/>
    <n v="8.1"/>
    <n v="7.4"/>
    <n v="5.8"/>
    <n v="6.4"/>
    <n v="7.2"/>
    <n v="4.5999999999999996"/>
    <n v="0"/>
    <n v="7.7"/>
    <s v="Low"/>
    <x v="2"/>
  </r>
  <r>
    <x v="10"/>
    <n v="29"/>
    <x v="0"/>
    <x v="3"/>
    <s v="Single"/>
    <x v="1"/>
    <n v="2.8"/>
    <n v="1"/>
    <n v="3"/>
    <s v="Yes"/>
    <s v="After 30 min"/>
    <n v="119"/>
    <n v="5.3"/>
    <n v="4.5"/>
    <n v="6.3"/>
    <n v="2.2000000000000002"/>
    <s v="Yes"/>
    <s v="No"/>
    <n v="6.8"/>
    <n v="4.5"/>
    <n v="8.1"/>
    <n v="0.2"/>
    <n v="8.1"/>
    <n v="6"/>
    <n v="6.6"/>
    <n v="7"/>
    <n v="1"/>
    <n v="2.6"/>
    <n v="7"/>
    <s v="Low"/>
    <x v="0"/>
  </r>
  <r>
    <x v="11"/>
    <n v="38"/>
    <x v="1"/>
    <x v="0"/>
    <s v="Single"/>
    <x v="3"/>
    <n v="6"/>
    <n v="2"/>
    <n v="4"/>
    <s v="Yes"/>
    <s v="5-30 min"/>
    <n v="76"/>
    <n v="6"/>
    <n v="2.4"/>
    <n v="7.1"/>
    <n v="4.8"/>
    <s v="No"/>
    <s v="Yes"/>
    <n v="5"/>
    <n v="5.5"/>
    <n v="4.9000000000000004"/>
    <n v="7.9"/>
    <n v="2.2999999999999998"/>
    <n v="7.3"/>
    <n v="6.2"/>
    <n v="7.5"/>
    <n v="3.1"/>
    <n v="6.9"/>
    <n v="5.7"/>
    <s v="High"/>
    <x v="2"/>
  </r>
  <r>
    <x v="12"/>
    <n v="23"/>
    <x v="1"/>
    <x v="0"/>
    <m/>
    <x v="0"/>
    <n v="5.5"/>
    <n v="3"/>
    <n v="8"/>
    <s v="No"/>
    <s v="5-30 min"/>
    <n v="26"/>
    <n v="2.2999999999999998"/>
    <n v="5.6"/>
    <n v="6.2"/>
    <n v="8"/>
    <s v="No"/>
    <s v="No"/>
    <n v="6.2"/>
    <m/>
    <n v="2.6"/>
    <n v="3.5"/>
    <n v="4.7"/>
    <n v="6"/>
    <n v="7.7"/>
    <n v="5.6"/>
    <n v="2"/>
    <n v="0.3"/>
    <n v="7.1"/>
    <s v="Moderate"/>
    <x v="1"/>
  </r>
  <r>
    <x v="13"/>
    <n v="40"/>
    <x v="0"/>
    <x v="0"/>
    <s v="In a Relationship"/>
    <x v="1"/>
    <n v="3.7"/>
    <n v="3"/>
    <n v="1"/>
    <s v="Yes"/>
    <s v="Within 5 min"/>
    <n v="14"/>
    <n v="6.8"/>
    <n v="2.5"/>
    <n v="3"/>
    <n v="4.9000000000000004"/>
    <s v="Yes"/>
    <s v="No"/>
    <n v="5.6"/>
    <n v="7.8"/>
    <n v="5"/>
    <n v="2.8"/>
    <n v="5.2"/>
    <n v="7.4"/>
    <n v="6.4"/>
    <n v="4.2"/>
    <n v="0.3"/>
    <n v="3"/>
    <n v="5.0999999999999996"/>
    <s v="High"/>
    <x v="2"/>
  </r>
  <r>
    <x v="14"/>
    <n v="29"/>
    <x v="0"/>
    <x v="0"/>
    <s v="In a Relationship"/>
    <x v="1"/>
    <n v="3.8"/>
    <n v="1"/>
    <n v="3"/>
    <m/>
    <s v="After 30 min"/>
    <n v="79"/>
    <n v="6.1"/>
    <n v="9.3000000000000007"/>
    <n v="1.7"/>
    <n v="5.7"/>
    <s v="Yes"/>
    <s v="No"/>
    <n v="3.4"/>
    <n v="6.1"/>
    <n v="4.4000000000000004"/>
    <n v="6.3"/>
    <n v="7"/>
    <n v="6.4"/>
    <n v="4"/>
    <n v="5.5"/>
    <n v="6.1"/>
    <n v="1.5"/>
    <n v="9.1999999999999993"/>
    <s v="Low"/>
    <x v="0"/>
  </r>
  <r>
    <x v="15"/>
    <n v="25"/>
    <x v="0"/>
    <x v="1"/>
    <s v="Married"/>
    <x v="5"/>
    <n v="3.9"/>
    <n v="5"/>
    <n v="1"/>
    <s v="No"/>
    <s v="Within 5 min"/>
    <n v="91"/>
    <n v="8.4"/>
    <n v="2.7"/>
    <n v="8.1999999999999993"/>
    <n v="8.9"/>
    <s v="No"/>
    <s v="No"/>
    <n v="4.3"/>
    <n v="6.5"/>
    <n v="2.5"/>
    <m/>
    <n v="5.7"/>
    <m/>
    <n v="10"/>
    <n v="0.3"/>
    <n v="5.8"/>
    <n v="1.6"/>
    <n v="4.7"/>
    <s v="Severe"/>
    <x v="0"/>
  </r>
  <r>
    <x v="16"/>
    <n v="41"/>
    <x v="2"/>
    <x v="2"/>
    <s v="Married"/>
    <x v="1"/>
    <n v="2.4"/>
    <n v="2"/>
    <n v="2"/>
    <s v="No"/>
    <s v="5-30 min"/>
    <n v="78"/>
    <n v="7.7"/>
    <n v="3.7"/>
    <n v="6"/>
    <n v="5.6"/>
    <s v="Yes"/>
    <s v="Yes"/>
    <n v="10"/>
    <n v="0.4"/>
    <n v="3.7"/>
    <n v="6.2"/>
    <n v="5.4"/>
    <n v="5.3"/>
    <n v="4.8"/>
    <n v="7.7"/>
    <n v="6"/>
    <n v="0.7"/>
    <n v="6.6"/>
    <s v="Moderate"/>
    <x v="2"/>
  </r>
  <r>
    <x v="17"/>
    <n v="23"/>
    <x v="1"/>
    <x v="3"/>
    <s v="In a Relationship"/>
    <x v="0"/>
    <n v="5.0999999999999996"/>
    <n v="2"/>
    <n v="4"/>
    <s v="Yes"/>
    <s v="Within 5 min"/>
    <n v="36"/>
    <n v="5.5"/>
    <n v="6.7"/>
    <n v="5.4"/>
    <n v="6.8"/>
    <s v="No"/>
    <s v="No"/>
    <n v="7.9"/>
    <n v="9.6999999999999993"/>
    <m/>
    <n v="2.6"/>
    <n v="3.4"/>
    <n v="7.7"/>
    <n v="3.2"/>
    <n v="5.5"/>
    <n v="5.3"/>
    <n v="7.1"/>
    <n v="6"/>
    <s v="High"/>
    <x v="1"/>
  </r>
  <r>
    <x v="18"/>
    <n v="22"/>
    <x v="2"/>
    <x v="0"/>
    <s v="In a Relationship"/>
    <x v="4"/>
    <n v="3.4"/>
    <n v="1"/>
    <n v="4"/>
    <s v="Yes"/>
    <s v="Within 5 min"/>
    <n v="41"/>
    <n v="5"/>
    <n v="5"/>
    <n v="4.5999999999999996"/>
    <n v="7"/>
    <s v="No"/>
    <s v="No"/>
    <n v="2.7"/>
    <n v="5.6"/>
    <n v="4.5"/>
    <n v="4.2"/>
    <n v="3.1"/>
    <n v="5.2"/>
    <n v="5.0999999999999996"/>
    <n v="3.6"/>
    <n v="1.1000000000000001"/>
    <n v="6.2"/>
    <n v="6.4"/>
    <s v="Moderate"/>
    <x v="1"/>
  </r>
  <r>
    <x v="19"/>
    <n v="21"/>
    <x v="1"/>
    <x v="1"/>
    <s v="Single"/>
    <x v="2"/>
    <n v="4.3"/>
    <n v="4"/>
    <n v="5"/>
    <s v="No"/>
    <s v="5-30 min"/>
    <n v="99"/>
    <n v="6.7"/>
    <n v="1.9"/>
    <n v="6.1"/>
    <n v="8.4"/>
    <s v="No"/>
    <s v="Yes"/>
    <n v="5.0999999999999996"/>
    <n v="1.2"/>
    <n v="6.5"/>
    <n v="4.3"/>
    <n v="6.4"/>
    <n v="6.7"/>
    <m/>
    <n v="4.3"/>
    <n v="1.5"/>
    <n v="2.6"/>
    <n v="5.6"/>
    <s v="High"/>
    <x v="1"/>
  </r>
  <r>
    <x v="20"/>
    <n v="19"/>
    <x v="1"/>
    <x v="0"/>
    <s v="Single"/>
    <x v="2"/>
    <n v="3.7"/>
    <n v="3"/>
    <n v="4"/>
    <m/>
    <s v="After 30 min"/>
    <n v="56"/>
    <n v="1.4"/>
    <n v="3"/>
    <n v="4.0999999999999996"/>
    <n v="0.5"/>
    <s v="No"/>
    <s v="Yes"/>
    <n v="4.4000000000000004"/>
    <n v="3.6"/>
    <n v="7.3"/>
    <n v="6.1"/>
    <n v="6.1"/>
    <n v="5.2"/>
    <n v="5.8"/>
    <n v="8.4"/>
    <n v="2.4"/>
    <n v="0"/>
    <n v="9.3000000000000007"/>
    <s v="Low"/>
    <x v="1"/>
  </r>
  <r>
    <x v="21"/>
    <n v="31"/>
    <x v="1"/>
    <x v="1"/>
    <s v="In a Relationship"/>
    <x v="1"/>
    <n v="2.9"/>
    <n v="3"/>
    <n v="3"/>
    <s v="No"/>
    <s v="After 30 min"/>
    <n v="58"/>
    <n v="5.2"/>
    <n v="5.6"/>
    <n v="4.0999999999999996"/>
    <n v="5.9"/>
    <s v="Yes"/>
    <s v="Yes"/>
    <n v="4.2"/>
    <n v="2"/>
    <n v="6.3"/>
    <n v="3.8"/>
    <n v="6.1"/>
    <n v="4.8"/>
    <n v="2.4"/>
    <n v="6"/>
    <n v="2.4"/>
    <n v="4.8"/>
    <n v="6.7"/>
    <s v="Low"/>
    <x v="0"/>
  </r>
  <r>
    <x v="22"/>
    <n v="22"/>
    <x v="0"/>
    <x v="1"/>
    <s v="Single"/>
    <x v="1"/>
    <n v="8.6999999999999993"/>
    <n v="2"/>
    <n v="3"/>
    <s v="Yes"/>
    <s v="Within 5 min"/>
    <n v="108"/>
    <n v="5.6"/>
    <n v="3.4"/>
    <n v="3.1"/>
    <n v="4.8"/>
    <s v="No"/>
    <s v="Yes"/>
    <n v="4.9000000000000004"/>
    <n v="5.8"/>
    <n v="4.7"/>
    <n v="7.5"/>
    <n v="5.2"/>
    <n v="5.9"/>
    <n v="4.5"/>
    <n v="5.0999999999999996"/>
    <n v="2.9"/>
    <n v="3.4"/>
    <n v="5.0999999999999996"/>
    <s v="Severe"/>
    <x v="1"/>
  </r>
  <r>
    <x v="23"/>
    <n v="27"/>
    <x v="1"/>
    <x v="2"/>
    <s v="Single"/>
    <x v="5"/>
    <n v="5.0999999999999996"/>
    <n v="4"/>
    <n v="6"/>
    <s v="Yes"/>
    <s v="After 30 min"/>
    <n v="71"/>
    <n v="4"/>
    <n v="4.7"/>
    <n v="6.8"/>
    <n v="6"/>
    <s v="Yes"/>
    <s v="No"/>
    <n v="4.3"/>
    <n v="3.5"/>
    <n v="4.9000000000000004"/>
    <n v="6.3"/>
    <n v="8.9"/>
    <n v="9.1"/>
    <n v="3.9"/>
    <n v="9.5"/>
    <n v="0.8"/>
    <n v="4.3"/>
    <n v="7.5"/>
    <s v="Low"/>
    <x v="0"/>
  </r>
  <r>
    <x v="24"/>
    <n v="15"/>
    <x v="0"/>
    <x v="4"/>
    <s v="Single"/>
    <x v="3"/>
    <n v="6"/>
    <n v="2"/>
    <n v="4"/>
    <s v="No"/>
    <s v="After 30 min"/>
    <n v="63"/>
    <n v="8.6"/>
    <n v="2.6"/>
    <n v="6.6"/>
    <n v="7.7"/>
    <s v="No"/>
    <s v="Yes"/>
    <n v="2.8"/>
    <n v="2"/>
    <n v="1.6"/>
    <n v="2.8"/>
    <n v="5.8"/>
    <n v="8.3000000000000007"/>
    <n v="3.3"/>
    <n v="8.8000000000000007"/>
    <n v="2.2000000000000002"/>
    <n v="6"/>
    <n v="6.5"/>
    <s v="Moderate"/>
    <x v="3"/>
  </r>
  <r>
    <x v="25"/>
    <n v="26"/>
    <x v="0"/>
    <x v="1"/>
    <s v="In a Relationship"/>
    <x v="1"/>
    <n v="10.4"/>
    <n v="4"/>
    <n v="8"/>
    <s v="Yes"/>
    <s v="5-30 min"/>
    <n v="85"/>
    <m/>
    <n v="7.1"/>
    <n v="3"/>
    <n v="3.6"/>
    <s v="Yes"/>
    <s v="No"/>
    <n v="4.7"/>
    <n v="6.2"/>
    <n v="3.2"/>
    <n v="7.5"/>
    <n v="3.7"/>
    <n v="5.0999999999999996"/>
    <n v="7.9"/>
    <n v="6"/>
    <n v="5.8"/>
    <n v="5"/>
    <n v="5.8"/>
    <s v="High"/>
    <x v="0"/>
  </r>
  <r>
    <x v="26"/>
    <n v="38"/>
    <x v="1"/>
    <x v="3"/>
    <s v="Married"/>
    <x v="0"/>
    <n v="4.4000000000000004"/>
    <n v="7"/>
    <n v="4"/>
    <s v="Yes"/>
    <s v="After 30 min"/>
    <n v="45"/>
    <n v="3.8"/>
    <n v="9.3000000000000007"/>
    <n v="3.2"/>
    <n v="8.6"/>
    <s v="No"/>
    <s v="Yes"/>
    <n v="0"/>
    <n v="0.8"/>
    <n v="1.4"/>
    <n v="5"/>
    <n v="4.9000000000000004"/>
    <n v="6"/>
    <n v="10"/>
    <n v="4.7"/>
    <n v="3.6"/>
    <n v="3.1"/>
    <n v="6.9"/>
    <s v="High"/>
    <x v="2"/>
  </r>
  <r>
    <x v="27"/>
    <n v="41"/>
    <x v="0"/>
    <x v="0"/>
    <s v="In a Relationship"/>
    <x v="3"/>
    <n v="3"/>
    <n v="2"/>
    <n v="3"/>
    <s v="No"/>
    <s v="Within 5 min"/>
    <n v="5"/>
    <n v="5.7"/>
    <n v="6.6"/>
    <n v="0"/>
    <n v="3.1"/>
    <s v="No"/>
    <s v="No"/>
    <n v="5.2"/>
    <n v="3.1"/>
    <n v="4.9000000000000004"/>
    <n v="8.9"/>
    <n v="6.3"/>
    <n v="7.6"/>
    <n v="1.4"/>
    <n v="7.1"/>
    <m/>
    <n v="3.7"/>
    <n v="8.5"/>
    <s v="Low"/>
    <x v="2"/>
  </r>
  <r>
    <x v="28"/>
    <n v="21"/>
    <x v="2"/>
    <x v="0"/>
    <s v="In a Relationship"/>
    <x v="1"/>
    <n v="0.8"/>
    <n v="1"/>
    <n v="5"/>
    <s v="No"/>
    <s v="Within 5 min"/>
    <n v="87"/>
    <n v="6.8"/>
    <n v="5.7"/>
    <n v="5.5"/>
    <n v="5.8"/>
    <s v="Yes"/>
    <s v="Yes"/>
    <n v="5.5"/>
    <n v="3.7"/>
    <n v="5.0999999999999996"/>
    <n v="9"/>
    <n v="7.7"/>
    <n v="6.7"/>
    <n v="10"/>
    <n v="2.7"/>
    <n v="4.5999999999999996"/>
    <n v="4"/>
    <n v="4.5999999999999996"/>
    <s v="Severe"/>
    <x v="1"/>
  </r>
  <r>
    <x v="29"/>
    <n v="34"/>
    <x v="1"/>
    <x v="1"/>
    <s v="Single"/>
    <x v="3"/>
    <n v="1.4"/>
    <n v="1"/>
    <n v="4"/>
    <s v="No"/>
    <s v="Within 5 min"/>
    <n v="82"/>
    <n v="4"/>
    <n v="5.4"/>
    <n v="2.8"/>
    <n v="4.5"/>
    <s v="Yes"/>
    <s v="No"/>
    <n v="8.4"/>
    <n v="4.2"/>
    <n v="5.4"/>
    <n v="5.5"/>
    <n v="6"/>
    <n v="6.9"/>
    <n v="6.1"/>
    <n v="5.2"/>
    <n v="3.6"/>
    <n v="4.3"/>
    <n v="7.6"/>
    <s v="Low"/>
    <x v="0"/>
  </r>
  <r>
    <x v="30"/>
    <n v="43"/>
    <x v="0"/>
    <x v="0"/>
    <s v="Single"/>
    <x v="4"/>
    <m/>
    <n v="7"/>
    <n v="4"/>
    <s v="No"/>
    <s v="Within 5 min"/>
    <n v="68"/>
    <n v="5.8"/>
    <n v="5.0999999999999996"/>
    <n v="4.7"/>
    <n v="7"/>
    <s v="Yes"/>
    <s v="Yes"/>
    <n v="6.2"/>
    <n v="2.7"/>
    <n v="1.9"/>
    <n v="4.4000000000000004"/>
    <n v="6"/>
    <n v="8.1999999999999993"/>
    <n v="8.9"/>
    <n v="5.8"/>
    <n v="5.2"/>
    <n v="5.3"/>
    <n v="5.8"/>
    <s v="High"/>
    <x v="2"/>
  </r>
  <r>
    <x v="31"/>
    <n v="27"/>
    <x v="0"/>
    <x v="0"/>
    <s v="In a Relationship"/>
    <x v="3"/>
    <n v="1.5"/>
    <n v="5"/>
    <n v="6"/>
    <s v="No"/>
    <s v="Within 5 min"/>
    <n v="5"/>
    <n v="3"/>
    <n v="8.6999999999999993"/>
    <n v="6.5"/>
    <n v="6.7"/>
    <s v="Yes"/>
    <s v="Yes"/>
    <n v="5.8"/>
    <n v="3.8"/>
    <n v="4"/>
    <n v="6"/>
    <n v="4.5999999999999996"/>
    <n v="7.5"/>
    <n v="5.4"/>
    <n v="5.7"/>
    <n v="2.7"/>
    <n v="0.4"/>
    <n v="5.6"/>
    <s v="High"/>
    <x v="0"/>
  </r>
  <r>
    <x v="32"/>
    <n v="20"/>
    <x v="0"/>
    <x v="1"/>
    <s v="In a Relationship"/>
    <x v="2"/>
    <n v="0.5"/>
    <n v="2"/>
    <n v="7"/>
    <s v="No"/>
    <s v="5-30 min"/>
    <n v="52"/>
    <n v="7.3"/>
    <n v="8.9"/>
    <n v="3"/>
    <n v="5.2"/>
    <s v="Yes"/>
    <s v="Yes"/>
    <n v="7.1"/>
    <n v="2.2999999999999998"/>
    <n v="5.6"/>
    <n v="6.7"/>
    <n v="5.9"/>
    <n v="8.6"/>
    <n v="2.8"/>
    <n v="4.2"/>
    <n v="3.6"/>
    <n v="3.9"/>
    <n v="5.8"/>
    <s v="Moderate"/>
    <x v="1"/>
  </r>
  <r>
    <x v="33"/>
    <n v="39"/>
    <x v="1"/>
    <x v="1"/>
    <s v="Single"/>
    <x v="1"/>
    <n v="4.5999999999999996"/>
    <n v="2"/>
    <n v="3"/>
    <s v="Yes"/>
    <s v="5-30 min"/>
    <n v="75"/>
    <n v="5.7"/>
    <n v="9.3000000000000007"/>
    <n v="1.6"/>
    <n v="8.1"/>
    <s v="No"/>
    <s v="Yes"/>
    <n v="0.6"/>
    <n v="3.3"/>
    <n v="3.4"/>
    <n v="4.9000000000000004"/>
    <n v="7.1"/>
    <n v="5.3"/>
    <n v="5.8"/>
    <n v="6.8"/>
    <n v="2.9"/>
    <n v="1.4"/>
    <n v="5.8"/>
    <s v="High"/>
    <x v="2"/>
  </r>
  <r>
    <x v="34"/>
    <n v="39"/>
    <x v="1"/>
    <x v="3"/>
    <s v="Married"/>
    <x v="4"/>
    <n v="4.3"/>
    <n v="2"/>
    <n v="2"/>
    <s v="Yes"/>
    <s v="Within 5 min"/>
    <n v="53"/>
    <n v="5.7"/>
    <n v="2.4"/>
    <n v="1.3"/>
    <n v="8.6"/>
    <s v="Yes"/>
    <s v="No"/>
    <n v="4.2"/>
    <n v="5.6"/>
    <n v="3.1"/>
    <n v="4.5"/>
    <n v="3"/>
    <n v="5.3"/>
    <n v="7.1"/>
    <n v="8.4"/>
    <n v="3.9"/>
    <n v="3.4"/>
    <n v="7.7"/>
    <s v="Low"/>
    <x v="2"/>
  </r>
  <r>
    <x v="35"/>
    <n v="38"/>
    <x v="0"/>
    <x v="0"/>
    <s v="Single"/>
    <x v="1"/>
    <n v="8.1999999999999993"/>
    <n v="4"/>
    <n v="8"/>
    <s v="No"/>
    <s v="5-30 min"/>
    <n v="64"/>
    <m/>
    <n v="2.9"/>
    <n v="6.4"/>
    <n v="3.4"/>
    <s v="Yes"/>
    <s v="Yes"/>
    <n v="6.8"/>
    <n v="3.7"/>
    <n v="4.2"/>
    <n v="7.6"/>
    <n v="8.1"/>
    <n v="4.8"/>
    <n v="7.3"/>
    <n v="7.8"/>
    <n v="2.5"/>
    <n v="4.3"/>
    <n v="6.2"/>
    <s v="High"/>
    <x v="2"/>
  </r>
  <r>
    <x v="36"/>
    <n v="36"/>
    <x v="1"/>
    <x v="0"/>
    <s v="In a Relationship"/>
    <x v="5"/>
    <n v="1.3"/>
    <n v="7"/>
    <n v="2"/>
    <s v="Yes"/>
    <s v="Within 5 min"/>
    <n v="95"/>
    <n v="4.5999999999999996"/>
    <n v="10"/>
    <n v="5.9"/>
    <n v="4.4000000000000004"/>
    <s v="Yes"/>
    <s v="Yes"/>
    <n v="9.6"/>
    <n v="5.8"/>
    <n v="6.4"/>
    <m/>
    <n v="7.2"/>
    <n v="6.7"/>
    <n v="3.9"/>
    <n v="4.8"/>
    <n v="1.7"/>
    <n v="6.2"/>
    <n v="3.5"/>
    <s v="Severe"/>
    <x v="2"/>
  </r>
  <r>
    <x v="37"/>
    <n v="31"/>
    <x v="2"/>
    <x v="1"/>
    <s v="In a Relationship"/>
    <x v="1"/>
    <n v="6.7"/>
    <n v="5"/>
    <n v="5"/>
    <s v="Yes"/>
    <s v="After 30 min"/>
    <n v="5"/>
    <n v="5.9"/>
    <n v="6.5"/>
    <n v="1.5"/>
    <n v="4.5"/>
    <m/>
    <s v="Yes"/>
    <n v="4"/>
    <n v="3.5"/>
    <m/>
    <n v="3.6"/>
    <n v="3.8"/>
    <n v="7.9"/>
    <n v="8.1999999999999993"/>
    <m/>
    <n v="0.8"/>
    <n v="2.6"/>
    <n v="5.4"/>
    <s v="Severe"/>
    <x v="0"/>
  </r>
  <r>
    <x v="38"/>
    <n v="42"/>
    <x v="0"/>
    <x v="0"/>
    <s v="Married"/>
    <x v="1"/>
    <n v="0.5"/>
    <n v="4"/>
    <n v="6"/>
    <s v="No"/>
    <s v="Within 5 min"/>
    <n v="57"/>
    <n v="1.3"/>
    <n v="2.9"/>
    <n v="4.3"/>
    <n v="0.4"/>
    <s v="No"/>
    <s v="Yes"/>
    <n v="5"/>
    <n v="2"/>
    <n v="5.2"/>
    <n v="9.4"/>
    <n v="5.4"/>
    <n v="6.6"/>
    <m/>
    <n v="3.2"/>
    <n v="2.7"/>
    <n v="1.3"/>
    <n v="7.7"/>
    <s v="Low"/>
    <x v="2"/>
  </r>
  <r>
    <x v="39"/>
    <n v="44"/>
    <x v="2"/>
    <x v="0"/>
    <s v="Single"/>
    <x v="1"/>
    <n v="7.3"/>
    <n v="4"/>
    <n v="5"/>
    <s v="No"/>
    <s v="Within 5 min"/>
    <n v="73"/>
    <n v="5.2"/>
    <n v="6.3"/>
    <n v="8.1"/>
    <n v="9.3000000000000007"/>
    <s v="No"/>
    <s v="No"/>
    <n v="8.4"/>
    <n v="5.4"/>
    <m/>
    <n v="10"/>
    <n v="6.6"/>
    <n v="4.2"/>
    <n v="4"/>
    <n v="2.8"/>
    <n v="4.2"/>
    <n v="3.1"/>
    <n v="4.3"/>
    <s v="Severe"/>
    <x v="2"/>
  </r>
  <r>
    <x v="40"/>
    <n v="15"/>
    <x v="1"/>
    <x v="1"/>
    <s v="In a Relationship"/>
    <x v="2"/>
    <n v="5.0999999999999996"/>
    <n v="4"/>
    <n v="7"/>
    <s v="No"/>
    <s v="After 30 min"/>
    <n v="97"/>
    <n v="4.8"/>
    <n v="5.3"/>
    <n v="4.5"/>
    <n v="5.2"/>
    <s v="No"/>
    <s v="Yes"/>
    <n v="3.7"/>
    <n v="1.4"/>
    <n v="5.9"/>
    <n v="5.2"/>
    <m/>
    <n v="8.6999999999999993"/>
    <n v="6.4"/>
    <n v="6.3"/>
    <n v="1.2"/>
    <n v="5.6"/>
    <n v="8"/>
    <s v="Low"/>
    <x v="3"/>
  </r>
  <r>
    <x v="41"/>
    <n v="17"/>
    <x v="1"/>
    <x v="0"/>
    <s v="Married"/>
    <x v="3"/>
    <n v="2.4"/>
    <n v="2"/>
    <n v="2"/>
    <s v="Yes"/>
    <s v="After 30 min"/>
    <n v="90"/>
    <n v="7.6"/>
    <n v="9.4"/>
    <n v="4.7"/>
    <n v="3.7"/>
    <s v="No"/>
    <s v="No"/>
    <n v="3.1"/>
    <m/>
    <n v="7.1"/>
    <n v="5.7"/>
    <n v="8.1"/>
    <n v="7.5"/>
    <n v="9.4"/>
    <n v="4.7"/>
    <n v="2.2000000000000002"/>
    <n v="2.8"/>
    <n v="6.6"/>
    <s v="Moderate"/>
    <x v="3"/>
  </r>
  <r>
    <x v="42"/>
    <n v="39"/>
    <x v="1"/>
    <x v="0"/>
    <s v="Married"/>
    <x v="3"/>
    <n v="7.2"/>
    <n v="1"/>
    <n v="6"/>
    <s v="No"/>
    <s v="Within 5 min"/>
    <n v="80"/>
    <n v="7.9"/>
    <n v="7.5"/>
    <n v="1.2"/>
    <n v="8.6999999999999993"/>
    <s v="No"/>
    <s v="No"/>
    <n v="3.2"/>
    <n v="3.2"/>
    <n v="1.2"/>
    <n v="6.4"/>
    <n v="6.8"/>
    <n v="6.4"/>
    <n v="7.4"/>
    <n v="5.2"/>
    <n v="3.1"/>
    <n v="5.4"/>
    <n v="6.6"/>
    <s v="Moderate"/>
    <x v="2"/>
  </r>
  <r>
    <x v="43"/>
    <n v="24"/>
    <x v="0"/>
    <x v="2"/>
    <s v="Single"/>
    <x v="1"/>
    <n v="4.9000000000000004"/>
    <n v="4"/>
    <n v="5"/>
    <s v="No"/>
    <s v="5-30 min"/>
    <n v="89"/>
    <n v="9.1999999999999993"/>
    <n v="3.7"/>
    <n v="6.5"/>
    <n v="7.9"/>
    <s v="No"/>
    <s v="Yes"/>
    <n v="6.7"/>
    <n v="3.4"/>
    <n v="0.1"/>
    <n v="4.4000000000000004"/>
    <n v="6.2"/>
    <n v="6.8"/>
    <n v="4"/>
    <m/>
    <n v="4.8"/>
    <n v="2.8"/>
    <n v="5.5"/>
    <s v="High"/>
    <x v="1"/>
  </r>
  <r>
    <x v="44"/>
    <n v="29"/>
    <x v="1"/>
    <x v="3"/>
    <s v="Single"/>
    <x v="3"/>
    <n v="5.8"/>
    <n v="2"/>
    <n v="1"/>
    <s v="No"/>
    <s v="After 30 min"/>
    <n v="124"/>
    <n v="7.5"/>
    <n v="2.2999999999999998"/>
    <n v="5.8"/>
    <n v="5.3"/>
    <s v="No"/>
    <s v="No"/>
    <n v="4.3"/>
    <n v="6.3"/>
    <n v="6.6"/>
    <n v="5.2"/>
    <n v="6.8"/>
    <n v="7.2"/>
    <n v="6.9"/>
    <n v="7.2"/>
    <n v="1.1000000000000001"/>
    <n v="4.4000000000000004"/>
    <n v="6.1"/>
    <s v="Moderate"/>
    <x v="0"/>
  </r>
  <r>
    <x v="45"/>
    <n v="21"/>
    <x v="1"/>
    <x v="1"/>
    <s v="In a Relationship"/>
    <x v="2"/>
    <n v="4.5999999999999996"/>
    <n v="1"/>
    <n v="2"/>
    <s v="Yes"/>
    <s v="5-30 min"/>
    <n v="114"/>
    <n v="1.2"/>
    <n v="8.9"/>
    <n v="7.8"/>
    <n v="8"/>
    <s v="Yes"/>
    <s v="No"/>
    <n v="4.5"/>
    <n v="4.2"/>
    <n v="5.9"/>
    <n v="10"/>
    <n v="1"/>
    <n v="4.5"/>
    <n v="5.3"/>
    <n v="5.0999999999999996"/>
    <n v="3.8"/>
    <n v="1.8"/>
    <n v="6.9"/>
    <s v="Moderate"/>
    <x v="1"/>
  </r>
  <r>
    <x v="46"/>
    <n v="19"/>
    <x v="3"/>
    <x v="1"/>
    <s v="Single"/>
    <x v="4"/>
    <n v="7"/>
    <n v="4"/>
    <n v="2"/>
    <s v="No"/>
    <s v="After 30 min"/>
    <n v="27"/>
    <n v="6.5"/>
    <n v="6.3"/>
    <n v="4.5"/>
    <n v="5.0999999999999996"/>
    <s v="Yes"/>
    <s v="No"/>
    <m/>
    <n v="3.9"/>
    <n v="4.3"/>
    <n v="3.7"/>
    <n v="10"/>
    <n v="5"/>
    <m/>
    <n v="4.4000000000000004"/>
    <n v="4.8"/>
    <n v="3.7"/>
    <n v="8.1999999999999993"/>
    <s v="Low"/>
    <x v="1"/>
  </r>
  <r>
    <x v="47"/>
    <n v="29"/>
    <x v="0"/>
    <x v="1"/>
    <s v="Single"/>
    <x v="3"/>
    <m/>
    <n v="4"/>
    <n v="4"/>
    <s v="Yes"/>
    <s v="After 30 min"/>
    <n v="38"/>
    <n v="4"/>
    <n v="6.6"/>
    <n v="4.3"/>
    <n v="5.0999999999999996"/>
    <s v="No"/>
    <s v="Yes"/>
    <n v="1.7"/>
    <n v="1.2"/>
    <n v="3.6"/>
    <n v="4.7"/>
    <n v="3.3"/>
    <n v="5.3"/>
    <n v="0"/>
    <n v="6"/>
    <n v="2.1"/>
    <n v="3.9"/>
    <n v="7.1"/>
    <s v="Moderate"/>
    <x v="0"/>
  </r>
  <r>
    <x v="48"/>
    <n v="24"/>
    <x v="0"/>
    <x v="1"/>
    <s v="Single"/>
    <x v="1"/>
    <m/>
    <n v="1"/>
    <n v="4"/>
    <s v="No"/>
    <s v="Within 5 min"/>
    <n v="17"/>
    <n v="5.2"/>
    <n v="5.9"/>
    <n v="7.5"/>
    <n v="7.7"/>
    <s v="Yes"/>
    <s v="No"/>
    <n v="5.9"/>
    <n v="3.8"/>
    <n v="4.5999999999999996"/>
    <n v="8"/>
    <n v="6.7"/>
    <n v="6.5"/>
    <n v="4.7"/>
    <n v="7.8"/>
    <n v="4.8"/>
    <n v="3.9"/>
    <n v="6.7"/>
    <s v="Moderate"/>
    <x v="1"/>
  </r>
  <r>
    <x v="49"/>
    <n v="38"/>
    <x v="3"/>
    <x v="0"/>
    <s v="In a Relationship"/>
    <x v="1"/>
    <n v="2.6"/>
    <n v="6"/>
    <n v="3"/>
    <s v="No"/>
    <s v="Within 5 min"/>
    <n v="62"/>
    <n v="2.4"/>
    <n v="6.2"/>
    <n v="6.8"/>
    <n v="5.6"/>
    <s v="Yes"/>
    <s v="Yes"/>
    <n v="1.5"/>
    <n v="6.7"/>
    <n v="0.1"/>
    <m/>
    <m/>
    <n v="9.6999999999999993"/>
    <n v="4.8"/>
    <n v="4.9000000000000004"/>
    <n v="1.8"/>
    <n v="0.8"/>
    <n v="5.5"/>
    <s v="High"/>
    <x v="2"/>
  </r>
  <r>
    <x v="50"/>
    <n v="18"/>
    <x v="0"/>
    <x v="1"/>
    <s v="Married"/>
    <x v="3"/>
    <n v="2.7"/>
    <n v="2"/>
    <n v="3"/>
    <s v="No"/>
    <s v="Within 5 min"/>
    <n v="104"/>
    <n v="3.1"/>
    <n v="2.4"/>
    <n v="7.4"/>
    <n v="8.9"/>
    <s v="Yes"/>
    <s v="Yes"/>
    <n v="0.4"/>
    <n v="6.7"/>
    <n v="1.6"/>
    <n v="6.5"/>
    <n v="6"/>
    <n v="8"/>
    <n v="6.5"/>
    <n v="6.5"/>
    <n v="1.8"/>
    <n v="1"/>
    <n v="6.6"/>
    <s v="Moderate"/>
    <x v="1"/>
  </r>
  <r>
    <x v="51"/>
    <n v="18"/>
    <x v="1"/>
    <x v="1"/>
    <s v="In a Relationship"/>
    <x v="3"/>
    <n v="6.2"/>
    <n v="4"/>
    <n v="1"/>
    <s v="No"/>
    <s v="Within 5 min"/>
    <n v="18"/>
    <n v="6.3"/>
    <n v="4"/>
    <n v="4"/>
    <n v="8.1"/>
    <s v="No"/>
    <s v="No"/>
    <n v="5.3"/>
    <n v="0"/>
    <n v="5.8"/>
    <n v="3.1"/>
    <n v="7.7"/>
    <n v="6.7"/>
    <n v="4.4000000000000004"/>
    <n v="3.9"/>
    <n v="2.4"/>
    <n v="2.8"/>
    <n v="6.6"/>
    <s v="Moderate"/>
    <x v="1"/>
  </r>
  <r>
    <x v="52"/>
    <n v="23"/>
    <x v="1"/>
    <x v="0"/>
    <s v="Single"/>
    <x v="0"/>
    <n v="5.8"/>
    <n v="4"/>
    <n v="5"/>
    <s v="Yes"/>
    <s v="Within 5 min"/>
    <n v="32"/>
    <n v="6.1"/>
    <n v="6.3"/>
    <n v="5.5"/>
    <n v="8.4"/>
    <s v="No"/>
    <s v="Yes"/>
    <n v="8.3000000000000007"/>
    <n v="10"/>
    <m/>
    <n v="1.2"/>
    <n v="7.6"/>
    <n v="3.3"/>
    <n v="6.1"/>
    <n v="7.7"/>
    <n v="4.9000000000000004"/>
    <n v="2.1"/>
    <n v="3"/>
    <s v="Severe"/>
    <x v="1"/>
  </r>
  <r>
    <x v="53"/>
    <n v="34"/>
    <x v="1"/>
    <x v="2"/>
    <s v="Single"/>
    <x v="0"/>
    <n v="5.0999999999999996"/>
    <n v="5"/>
    <n v="2"/>
    <s v="Yes"/>
    <s v="After 30 min"/>
    <n v="74"/>
    <n v="8"/>
    <n v="6.1"/>
    <n v="2.9"/>
    <n v="2.9"/>
    <s v="Yes"/>
    <s v="No"/>
    <n v="3.5"/>
    <n v="1.1000000000000001"/>
    <n v="4"/>
    <n v="3"/>
    <n v="3.7"/>
    <n v="5.4"/>
    <n v="7.6"/>
    <n v="5.9"/>
    <n v="0"/>
    <n v="2.8"/>
    <n v="7.1"/>
    <s v="Moderate"/>
    <x v="0"/>
  </r>
  <r>
    <x v="54"/>
    <n v="31"/>
    <x v="0"/>
    <x v="3"/>
    <s v="Married"/>
    <x v="1"/>
    <n v="4"/>
    <n v="4"/>
    <n v="7"/>
    <s v="Yes"/>
    <s v="Within 5 min"/>
    <n v="64"/>
    <n v="6"/>
    <n v="5.9"/>
    <n v="6.3"/>
    <n v="3.8"/>
    <s v="No"/>
    <s v="Yes"/>
    <n v="1.8"/>
    <n v="2.5"/>
    <n v="3.5"/>
    <n v="4.5"/>
    <n v="6.3"/>
    <n v="9.5"/>
    <n v="5.7"/>
    <n v="3.6"/>
    <n v="4.5999999999999996"/>
    <n v="0.5"/>
    <n v="7.3"/>
    <s v="Moderate"/>
    <x v="0"/>
  </r>
  <r>
    <x v="55"/>
    <n v="16"/>
    <x v="0"/>
    <x v="1"/>
    <s v="Married"/>
    <x v="3"/>
    <n v="3.3"/>
    <n v="2"/>
    <n v="4"/>
    <s v="Yes"/>
    <s v="Within 5 min"/>
    <n v="60"/>
    <n v="2.4"/>
    <n v="2.2000000000000002"/>
    <n v="5.2"/>
    <n v="6.3"/>
    <s v="Yes"/>
    <s v="No"/>
    <n v="4.9000000000000004"/>
    <n v="2.5"/>
    <n v="4.8"/>
    <n v="5.5"/>
    <n v="7.4"/>
    <n v="6.5"/>
    <n v="3.6"/>
    <n v="4.2"/>
    <n v="2.2999999999999998"/>
    <n v="5.4"/>
    <n v="7.1"/>
    <s v="Moderate"/>
    <x v="3"/>
  </r>
  <r>
    <x v="56"/>
    <n v="15"/>
    <x v="1"/>
    <x v="1"/>
    <s v="Single"/>
    <x v="4"/>
    <n v="5.3"/>
    <n v="4"/>
    <n v="6"/>
    <s v="Yes"/>
    <s v="Within 5 min"/>
    <n v="8"/>
    <n v="8.4"/>
    <n v="6.8"/>
    <n v="4.5999999999999996"/>
    <n v="2.2000000000000002"/>
    <s v="No"/>
    <s v="Yes"/>
    <n v="3.1"/>
    <n v="3.1"/>
    <n v="3.5"/>
    <n v="5.9"/>
    <n v="4.5999999999999996"/>
    <n v="5.8"/>
    <n v="9.1"/>
    <n v="7.2"/>
    <n v="3.7"/>
    <n v="0.7"/>
    <n v="5.4"/>
    <s v="High"/>
    <x v="3"/>
  </r>
  <r>
    <x v="57"/>
    <n v="31"/>
    <x v="1"/>
    <x v="1"/>
    <s v="Married"/>
    <x v="1"/>
    <n v="6.3"/>
    <n v="5"/>
    <n v="6"/>
    <s v="Yes"/>
    <s v="5-30 min"/>
    <n v="36"/>
    <n v="3.6"/>
    <n v="5.2"/>
    <n v="6.4"/>
    <n v="6.3"/>
    <s v="No"/>
    <s v="Yes"/>
    <n v="6.5"/>
    <n v="3.7"/>
    <m/>
    <n v="0.7"/>
    <n v="5"/>
    <n v="6.9"/>
    <n v="5.5"/>
    <n v="3.5"/>
    <n v="1.2"/>
    <n v="3.8"/>
    <n v="4"/>
    <s v="Severe"/>
    <x v="0"/>
  </r>
  <r>
    <x v="58"/>
    <n v="37"/>
    <x v="0"/>
    <x v="0"/>
    <s v="In a Relationship"/>
    <x v="3"/>
    <n v="6.2"/>
    <n v="3"/>
    <n v="4"/>
    <s v="Yes"/>
    <s v="5-30 min"/>
    <n v="58"/>
    <n v="7.3"/>
    <n v="4.4000000000000004"/>
    <n v="3.2"/>
    <n v="6.5"/>
    <s v="Yes"/>
    <s v="No"/>
    <n v="5"/>
    <n v="2.9"/>
    <n v="6.2"/>
    <n v="8.3000000000000007"/>
    <n v="3.9"/>
    <n v="6.2"/>
    <n v="5.6"/>
    <n v="4.2"/>
    <n v="2.7"/>
    <n v="1.9"/>
    <n v="5.8"/>
    <s v="High"/>
    <x v="2"/>
  </r>
  <r>
    <x v="59"/>
    <n v="44"/>
    <x v="0"/>
    <x v="2"/>
    <s v="Single"/>
    <x v="1"/>
    <n v="8.1"/>
    <n v="4"/>
    <n v="3"/>
    <s v="Yes"/>
    <s v="Within 5 min"/>
    <n v="71"/>
    <m/>
    <n v="6.5"/>
    <n v="6.3"/>
    <n v="6.9"/>
    <s v="Yes"/>
    <s v="No"/>
    <n v="6.6"/>
    <m/>
    <n v="6.2"/>
    <n v="6.5"/>
    <n v="6.1"/>
    <n v="7.8"/>
    <n v="2.2999999999999998"/>
    <n v="4.0999999999999996"/>
    <n v="0"/>
    <n v="6.1"/>
    <n v="6.1"/>
    <s v="High"/>
    <x v="2"/>
  </r>
  <r>
    <x v="60"/>
    <n v="27"/>
    <x v="1"/>
    <x v="1"/>
    <s v="In a Relationship"/>
    <x v="2"/>
    <n v="8.3000000000000007"/>
    <n v="3"/>
    <n v="1"/>
    <s v="Yes"/>
    <s v="Within 5 min"/>
    <n v="48"/>
    <n v="6.4"/>
    <n v="1.7"/>
    <n v="5.8"/>
    <n v="8.3000000000000007"/>
    <s v="Yes"/>
    <s v="Yes"/>
    <n v="3"/>
    <n v="4.5"/>
    <n v="5.2"/>
    <n v="4.2"/>
    <n v="6.3"/>
    <n v="5.4"/>
    <n v="1.8"/>
    <n v="6.6"/>
    <n v="4.8"/>
    <n v="4.7"/>
    <n v="6"/>
    <s v="High"/>
    <x v="0"/>
  </r>
  <r>
    <x v="61"/>
    <n v="43"/>
    <x v="2"/>
    <x v="0"/>
    <s v="Single"/>
    <x v="3"/>
    <n v="3.7"/>
    <n v="1"/>
    <n v="6"/>
    <s v="Yes"/>
    <s v="5-30 min"/>
    <n v="5"/>
    <n v="7.6"/>
    <n v="3.4"/>
    <n v="7.8"/>
    <n v="3.6"/>
    <s v="No"/>
    <s v="Yes"/>
    <n v="8.1999999999999993"/>
    <n v="3.8"/>
    <n v="2"/>
    <n v="7.3"/>
    <n v="5.5"/>
    <n v="7.2"/>
    <n v="3.3"/>
    <m/>
    <n v="1.1000000000000001"/>
    <n v="2.7"/>
    <n v="5.3"/>
    <s v="High"/>
    <x v="2"/>
  </r>
  <r>
    <x v="62"/>
    <n v="43"/>
    <x v="0"/>
    <x v="0"/>
    <s v="Single"/>
    <x v="4"/>
    <n v="10"/>
    <n v="4"/>
    <n v="7"/>
    <s v="No"/>
    <s v="Within 5 min"/>
    <n v="30"/>
    <n v="1.6"/>
    <n v="4.4000000000000004"/>
    <n v="4.8"/>
    <n v="8.1"/>
    <m/>
    <s v="Yes"/>
    <n v="4.9000000000000004"/>
    <n v="1.4"/>
    <n v="4"/>
    <n v="6.1"/>
    <n v="3.2"/>
    <n v="7.6"/>
    <n v="3.2"/>
    <n v="9.4"/>
    <n v="1.7"/>
    <n v="3"/>
    <n v="6.9"/>
    <s v="Moderate"/>
    <x v="2"/>
  </r>
  <r>
    <x v="63"/>
    <n v="22"/>
    <x v="0"/>
    <x v="0"/>
    <s v="In a Relationship"/>
    <x v="4"/>
    <n v="7.8"/>
    <n v="2"/>
    <n v="6"/>
    <s v="Yes"/>
    <s v="After 30 min"/>
    <n v="19"/>
    <n v="6.5"/>
    <n v="4.9000000000000004"/>
    <n v="3.9"/>
    <n v="6.4"/>
    <s v="No"/>
    <s v="Yes"/>
    <m/>
    <n v="7.5"/>
    <n v="2.2999999999999998"/>
    <n v="3.4"/>
    <n v="3.6"/>
    <n v="7.8"/>
    <n v="1.3"/>
    <n v="5.5"/>
    <n v="5"/>
    <n v="2.6"/>
    <n v="7.4"/>
    <s v="Moderate"/>
    <x v="1"/>
  </r>
  <r>
    <x v="64"/>
    <n v="38"/>
    <x v="1"/>
    <x v="3"/>
    <s v="Married"/>
    <x v="2"/>
    <n v="5.2"/>
    <n v="3"/>
    <n v="5"/>
    <s v="Yes"/>
    <s v="Within 5 min"/>
    <n v="121"/>
    <n v="10"/>
    <n v="7.6"/>
    <n v="5.8"/>
    <n v="6.1"/>
    <s v="Yes"/>
    <s v="Yes"/>
    <n v="5.7"/>
    <n v="2"/>
    <n v="4.2"/>
    <m/>
    <n v="4.7"/>
    <n v="7.2"/>
    <n v="9.5"/>
    <n v="7.4"/>
    <n v="4.4000000000000004"/>
    <n v="2.2999999999999998"/>
    <n v="3.7"/>
    <s v="Severe"/>
    <x v="2"/>
  </r>
  <r>
    <x v="65"/>
    <n v="25"/>
    <x v="0"/>
    <x v="1"/>
    <s v="Single"/>
    <x v="1"/>
    <n v="5.3"/>
    <n v="6"/>
    <n v="3"/>
    <s v="Yes"/>
    <s v="Within 5 min"/>
    <n v="70"/>
    <n v="5.6"/>
    <n v="8.9"/>
    <n v="7.3"/>
    <n v="3.3"/>
    <s v="No"/>
    <s v="No"/>
    <n v="0.3"/>
    <n v="6.3"/>
    <n v="8.3000000000000007"/>
    <n v="7.1"/>
    <m/>
    <n v="6.3"/>
    <n v="8.6999999999999993"/>
    <n v="3.3"/>
    <n v="0.9"/>
    <n v="2"/>
    <n v="4.9000000000000004"/>
    <s v="Severe"/>
    <x v="0"/>
  </r>
  <r>
    <x v="66"/>
    <n v="24"/>
    <x v="1"/>
    <x v="1"/>
    <s v="Single"/>
    <x v="4"/>
    <n v="5.7"/>
    <n v="6"/>
    <n v="5"/>
    <s v="Yes"/>
    <s v="After 30 min"/>
    <n v="108"/>
    <m/>
    <n v="7"/>
    <n v="3.3"/>
    <n v="7"/>
    <s v="Yes"/>
    <s v="No"/>
    <n v="7.7"/>
    <n v="7.1"/>
    <n v="4.9000000000000004"/>
    <n v="9.3000000000000007"/>
    <n v="5.3"/>
    <n v="5.6"/>
    <n v="3.4"/>
    <n v="3"/>
    <n v="2.8"/>
    <n v="4.5999999999999996"/>
    <n v="6.4"/>
    <s v="Moderate"/>
    <x v="1"/>
  </r>
  <r>
    <x v="67"/>
    <n v="18"/>
    <x v="2"/>
    <x v="0"/>
    <s v="Married"/>
    <x v="4"/>
    <n v="3.4"/>
    <n v="1"/>
    <n v="4"/>
    <s v="Yes"/>
    <s v="Within 5 min"/>
    <n v="5"/>
    <n v="6.9"/>
    <n v="6.8"/>
    <n v="5.0999999999999996"/>
    <n v="5.2"/>
    <s v="Yes"/>
    <s v="Yes"/>
    <n v="4.8"/>
    <n v="3"/>
    <n v="7"/>
    <n v="2.9"/>
    <n v="4.0999999999999996"/>
    <n v="6.1"/>
    <n v="3.5"/>
    <n v="3.8"/>
    <n v="8"/>
    <n v="1.2"/>
    <n v="6"/>
    <s v="Moderate"/>
    <x v="1"/>
  </r>
  <r>
    <x v="68"/>
    <n v="15"/>
    <x v="0"/>
    <x v="1"/>
    <s v="Single"/>
    <x v="1"/>
    <n v="3.1"/>
    <n v="2"/>
    <n v="4"/>
    <s v="Yes"/>
    <s v="Within 5 min"/>
    <n v="5"/>
    <m/>
    <n v="4.2"/>
    <n v="3.1"/>
    <n v="6.2"/>
    <s v="No"/>
    <s v="Yes"/>
    <n v="3.4"/>
    <n v="6.3"/>
    <n v="5.7"/>
    <n v="5.9"/>
    <n v="6.2"/>
    <n v="7.5"/>
    <n v="2"/>
    <n v="10"/>
    <n v="4.2"/>
    <n v="1.4"/>
    <n v="7.7"/>
    <s v="Moderate"/>
    <x v="3"/>
  </r>
  <r>
    <x v="69"/>
    <n v="44"/>
    <x v="1"/>
    <x v="1"/>
    <s v="Single"/>
    <x v="3"/>
    <n v="4.5999999999999996"/>
    <n v="1"/>
    <n v="5"/>
    <s v="Yes"/>
    <s v="Within 5 min"/>
    <n v="48"/>
    <n v="4.5"/>
    <n v="5.3"/>
    <n v="4.4000000000000004"/>
    <n v="4"/>
    <s v="Yes"/>
    <s v="Yes"/>
    <n v="6.6"/>
    <n v="6.6"/>
    <n v="3.1"/>
    <n v="5.0999999999999996"/>
    <n v="9.6"/>
    <n v="9.4"/>
    <n v="5.3"/>
    <n v="4.0999999999999996"/>
    <n v="1.3"/>
    <n v="3.1"/>
    <n v="6.6"/>
    <s v="Moderate"/>
    <x v="2"/>
  </r>
  <r>
    <x v="70"/>
    <n v="22"/>
    <x v="0"/>
    <x v="0"/>
    <s v="Married"/>
    <x v="0"/>
    <n v="3.7"/>
    <n v="4"/>
    <n v="4"/>
    <s v="Yes"/>
    <s v="5-30 min"/>
    <n v="126"/>
    <n v="9.1999999999999993"/>
    <n v="6.5"/>
    <m/>
    <n v="4.5999999999999996"/>
    <s v="No"/>
    <s v="Yes"/>
    <n v="6"/>
    <n v="2"/>
    <n v="3.5"/>
    <n v="4.5"/>
    <n v="5.5"/>
    <n v="5.9"/>
    <n v="3.5"/>
    <n v="8"/>
    <n v="4.4000000000000004"/>
    <n v="3.8"/>
    <n v="5.0999999999999996"/>
    <s v="Severe"/>
    <x v="1"/>
  </r>
  <r>
    <x v="71"/>
    <n v="38"/>
    <x v="1"/>
    <x v="1"/>
    <s v="In a Relationship"/>
    <x v="0"/>
    <n v="0.5"/>
    <n v="5"/>
    <n v="6"/>
    <s v="Yes"/>
    <s v="After 30 min"/>
    <n v="31"/>
    <n v="4.2"/>
    <n v="8.8000000000000007"/>
    <n v="1"/>
    <n v="4.5"/>
    <s v="Yes"/>
    <s v="Yes"/>
    <n v="5.7"/>
    <n v="3.4"/>
    <n v="4.2"/>
    <n v="3"/>
    <n v="3.5"/>
    <n v="7.8"/>
    <n v="6.7"/>
    <n v="3.6"/>
    <n v="7.8"/>
    <n v="4.3"/>
    <n v="7.1"/>
    <s v="Moderate"/>
    <x v="2"/>
  </r>
  <r>
    <x v="72"/>
    <n v="43"/>
    <x v="2"/>
    <x v="1"/>
    <s v="Married"/>
    <x v="2"/>
    <n v="5.9"/>
    <n v="3"/>
    <n v="2"/>
    <s v="No"/>
    <s v="After 30 min"/>
    <n v="87"/>
    <n v="5.0999999999999996"/>
    <n v="2.4"/>
    <n v="0.5"/>
    <n v="3.3"/>
    <s v="Yes"/>
    <s v="Yes"/>
    <n v="6.3"/>
    <n v="0.9"/>
    <n v="3.2"/>
    <m/>
    <n v="4.7"/>
    <n v="7.6"/>
    <n v="7.4"/>
    <n v="6"/>
    <n v="3.8"/>
    <n v="0.7"/>
    <n v="8.1"/>
    <s v="Low"/>
    <x v="2"/>
  </r>
  <r>
    <x v="73"/>
    <n v="38"/>
    <x v="1"/>
    <x v="4"/>
    <s v="Married"/>
    <x v="1"/>
    <n v="0.5"/>
    <n v="7"/>
    <n v="7"/>
    <s v="Yes"/>
    <s v="After 30 min"/>
    <n v="74"/>
    <n v="8.8000000000000007"/>
    <n v="9.6999999999999993"/>
    <n v="6.9"/>
    <n v="6.9"/>
    <s v="No"/>
    <s v="No"/>
    <n v="7.2"/>
    <n v="8.1999999999999993"/>
    <n v="6.2"/>
    <n v="8"/>
    <n v="6.6"/>
    <n v="6.2"/>
    <n v="3.5"/>
    <n v="6.9"/>
    <n v="5.3"/>
    <n v="4.8"/>
    <n v="6.6"/>
    <s v="Moderate"/>
    <x v="2"/>
  </r>
  <r>
    <x v="74"/>
    <n v="15"/>
    <x v="0"/>
    <x v="3"/>
    <s v="Single"/>
    <x v="0"/>
    <n v="5.3"/>
    <n v="6"/>
    <n v="1"/>
    <s v="Yes"/>
    <s v="After 30 min"/>
    <n v="83"/>
    <n v="3.7"/>
    <n v="6.6"/>
    <n v="5.0999999999999996"/>
    <n v="6.2"/>
    <s v="Yes"/>
    <s v="Yes"/>
    <n v="6.1"/>
    <n v="4.9000000000000004"/>
    <n v="5"/>
    <m/>
    <n v="6.3"/>
    <n v="5.2"/>
    <n v="6.4"/>
    <n v="5.5"/>
    <n v="3.1"/>
    <n v="6.8"/>
    <n v="6.3"/>
    <s v="High"/>
    <x v="3"/>
  </r>
  <r>
    <x v="75"/>
    <n v="36"/>
    <x v="0"/>
    <x v="0"/>
    <s v="In a Relationship"/>
    <x v="0"/>
    <n v="3.8"/>
    <n v="5"/>
    <n v="6"/>
    <s v="Yes"/>
    <s v="Within 5 min"/>
    <n v="40"/>
    <n v="8.1999999999999993"/>
    <n v="7.5"/>
    <n v="9"/>
    <n v="7.3"/>
    <s v="No"/>
    <s v="No"/>
    <m/>
    <n v="5.0999999999999996"/>
    <n v="4.5999999999999996"/>
    <n v="5.4"/>
    <n v="5.7"/>
    <n v="7.9"/>
    <n v="6.6"/>
    <n v="8.1"/>
    <n v="4.9000000000000004"/>
    <n v="2.2000000000000002"/>
    <n v="4.0999999999999996"/>
    <s v="Severe"/>
    <x v="2"/>
  </r>
  <r>
    <x v="76"/>
    <n v="19"/>
    <x v="1"/>
    <x v="1"/>
    <s v="Single"/>
    <x v="0"/>
    <n v="3.2"/>
    <n v="2"/>
    <n v="2"/>
    <s v="No"/>
    <s v="5-30 min"/>
    <n v="86"/>
    <n v="5.5"/>
    <n v="5.5"/>
    <n v="6.3"/>
    <n v="3.8"/>
    <s v="Yes"/>
    <s v="Yes"/>
    <n v="4.9000000000000004"/>
    <n v="3.7"/>
    <n v="3.1"/>
    <n v="5.8"/>
    <n v="5.9"/>
    <n v="5.0999999999999996"/>
    <n v="5.5"/>
    <n v="5.5"/>
    <n v="3.7"/>
    <n v="2.8"/>
    <n v="6.1"/>
    <s v="Moderate"/>
    <x v="1"/>
  </r>
  <r>
    <x v="77"/>
    <n v="18"/>
    <x v="1"/>
    <x v="3"/>
    <s v="Single"/>
    <x v="4"/>
    <n v="6.2"/>
    <n v="2"/>
    <n v="4"/>
    <s v="Yes"/>
    <s v="After 30 min"/>
    <n v="118"/>
    <n v="2.6"/>
    <n v="8.5"/>
    <n v="9"/>
    <n v="3.9"/>
    <s v="Yes"/>
    <s v="Yes"/>
    <n v="8.1"/>
    <n v="1"/>
    <n v="4.8"/>
    <n v="2.8"/>
    <m/>
    <n v="5"/>
    <n v="4.2"/>
    <n v="4.9000000000000004"/>
    <n v="4.7"/>
    <n v="1"/>
    <n v="5.2"/>
    <s v="High"/>
    <x v="1"/>
  </r>
  <r>
    <x v="78"/>
    <n v="16"/>
    <x v="1"/>
    <x v="3"/>
    <s v="Single"/>
    <x v="3"/>
    <n v="2.8"/>
    <n v="6"/>
    <n v="3"/>
    <s v="No"/>
    <s v="Within 5 min"/>
    <n v="32"/>
    <n v="7.5"/>
    <n v="3.1"/>
    <m/>
    <n v="2.1"/>
    <s v="No"/>
    <s v="Yes"/>
    <n v="6.4"/>
    <m/>
    <n v="7"/>
    <n v="5.0999999999999996"/>
    <n v="3.2"/>
    <n v="7.3"/>
    <n v="6.8"/>
    <n v="4.4000000000000004"/>
    <n v="4.7"/>
    <n v="3.5"/>
    <n v="6.2"/>
    <s v="High"/>
    <x v="3"/>
  </r>
  <r>
    <x v="79"/>
    <n v="18"/>
    <x v="1"/>
    <x v="0"/>
    <s v="In a Relationship"/>
    <x v="0"/>
    <n v="2.4"/>
    <n v="3"/>
    <n v="3"/>
    <m/>
    <s v="After 30 min"/>
    <n v="73"/>
    <n v="4.5"/>
    <n v="6.5"/>
    <n v="5.9"/>
    <n v="7.2"/>
    <s v="Yes"/>
    <s v="Yes"/>
    <n v="6.3"/>
    <n v="3.8"/>
    <n v="2.7"/>
    <n v="10"/>
    <n v="7.3"/>
    <n v="4.2"/>
    <n v="7.9"/>
    <n v="10"/>
    <n v="1.8"/>
    <n v="1.9"/>
    <n v="8.4"/>
    <s v="Low"/>
    <x v="1"/>
  </r>
  <r>
    <x v="80"/>
    <n v="42"/>
    <x v="1"/>
    <x v="2"/>
    <s v="In a Relationship"/>
    <x v="3"/>
    <n v="5.2"/>
    <n v="6"/>
    <n v="2"/>
    <s v="Yes"/>
    <s v="Within 5 min"/>
    <n v="19"/>
    <n v="7"/>
    <n v="5.0999999999999996"/>
    <n v="6.6"/>
    <n v="8.1999999999999993"/>
    <s v="No"/>
    <s v="No"/>
    <n v="4.0999999999999996"/>
    <n v="8.6999999999999993"/>
    <n v="3.1"/>
    <n v="8.3000000000000007"/>
    <n v="4.7"/>
    <n v="6.1"/>
    <n v="5.0999999999999996"/>
    <n v="8.5"/>
    <m/>
    <n v="3.1"/>
    <n v="6.1"/>
    <s v="High"/>
    <x v="2"/>
  </r>
  <r>
    <x v="81"/>
    <n v="42"/>
    <x v="0"/>
    <x v="1"/>
    <s v="Single"/>
    <x v="3"/>
    <n v="5"/>
    <n v="2"/>
    <n v="3"/>
    <s v="Yes"/>
    <s v="Within 5 min"/>
    <n v="88"/>
    <n v="3.1"/>
    <n v="7.1"/>
    <m/>
    <n v="7.6"/>
    <s v="No"/>
    <s v="Yes"/>
    <n v="9"/>
    <n v="3.8"/>
    <n v="3"/>
    <n v="6.4"/>
    <n v="6.8"/>
    <n v="6.4"/>
    <n v="3.1"/>
    <n v="4.7"/>
    <n v="0.7"/>
    <n v="4.7"/>
    <n v="4.4000000000000004"/>
    <s v="Severe"/>
    <x v="2"/>
  </r>
  <r>
    <x v="82"/>
    <n v="16"/>
    <x v="2"/>
    <x v="0"/>
    <s v="Single"/>
    <x v="1"/>
    <n v="3"/>
    <n v="2"/>
    <n v="3"/>
    <s v="Yes"/>
    <s v="Within 5 min"/>
    <n v="32"/>
    <n v="7"/>
    <n v="3.5"/>
    <m/>
    <n v="1.2"/>
    <s v="No"/>
    <s v="Yes"/>
    <n v="2.5"/>
    <n v="3.1"/>
    <n v="1.6"/>
    <n v="5"/>
    <n v="3.3"/>
    <n v="3"/>
    <n v="1.9"/>
    <n v="8.8000000000000007"/>
    <n v="3.8"/>
    <n v="0"/>
    <n v="6.9"/>
    <s v="Moderate"/>
    <x v="3"/>
  </r>
  <r>
    <x v="83"/>
    <n v="34"/>
    <x v="1"/>
    <x v="3"/>
    <s v="Single"/>
    <x v="0"/>
    <n v="2.9"/>
    <n v="1"/>
    <n v="6"/>
    <s v="No"/>
    <s v="After 30 min"/>
    <n v="130"/>
    <n v="7.1"/>
    <n v="7.7"/>
    <n v="7.9"/>
    <n v="6.6"/>
    <s v="Yes"/>
    <s v="No"/>
    <n v="5.8"/>
    <n v="2.9"/>
    <n v="3.4"/>
    <n v="8.3000000000000007"/>
    <n v="7.9"/>
    <n v="5.5"/>
    <n v="6"/>
    <n v="7.2"/>
    <n v="3.3"/>
    <n v="0"/>
    <n v="7.5"/>
    <s v="Low"/>
    <x v="0"/>
  </r>
  <r>
    <x v="84"/>
    <n v="42"/>
    <x v="0"/>
    <x v="2"/>
    <s v="Single"/>
    <x v="2"/>
    <n v="2.9"/>
    <n v="4"/>
    <n v="3"/>
    <s v="No"/>
    <s v="Within 5 min"/>
    <n v="15"/>
    <n v="6.4"/>
    <n v="4.5"/>
    <n v="5.8"/>
    <n v="6.2"/>
    <s v="No"/>
    <s v="Yes"/>
    <n v="2.9"/>
    <n v="1.5"/>
    <n v="6.1"/>
    <n v="5.2"/>
    <n v="3.2"/>
    <n v="6.4"/>
    <n v="9"/>
    <n v="8.1999999999999993"/>
    <n v="0"/>
    <n v="4"/>
    <n v="5.6"/>
    <s v="High"/>
    <x v="2"/>
  </r>
  <r>
    <x v="85"/>
    <n v="19"/>
    <x v="1"/>
    <x v="1"/>
    <s v="Single"/>
    <x v="1"/>
    <n v="5.2"/>
    <n v="3"/>
    <n v="2"/>
    <s v="Yes"/>
    <s v="After 30 min"/>
    <n v="24"/>
    <n v="10"/>
    <n v="6.7"/>
    <n v="4.5999999999999996"/>
    <n v="4.0999999999999996"/>
    <s v="Yes"/>
    <s v="Yes"/>
    <n v="5.6"/>
    <n v="1.7"/>
    <n v="0.6"/>
    <n v="4.8"/>
    <n v="4.3"/>
    <n v="7.1"/>
    <n v="6.6"/>
    <n v="7.9"/>
    <n v="1.9"/>
    <n v="5.2"/>
    <n v="6.6"/>
    <s v="Moderate"/>
    <x v="1"/>
  </r>
  <r>
    <x v="86"/>
    <n v="34"/>
    <x v="0"/>
    <x v="0"/>
    <s v="Married"/>
    <x v="2"/>
    <n v="5.5"/>
    <n v="3"/>
    <n v="2"/>
    <s v="No"/>
    <s v="5-30 min"/>
    <n v="33"/>
    <n v="2.8"/>
    <n v="5.2"/>
    <n v="6"/>
    <n v="2.5"/>
    <s v="Yes"/>
    <s v="Yes"/>
    <n v="3.8"/>
    <n v="5.7"/>
    <n v="2.4"/>
    <n v="5.8"/>
    <n v="8.4"/>
    <n v="6.4"/>
    <n v="3"/>
    <n v="9.4"/>
    <n v="1.5"/>
    <n v="3.3"/>
    <n v="10"/>
    <s v="Low"/>
    <x v="0"/>
  </r>
  <r>
    <x v="87"/>
    <n v="16"/>
    <x v="0"/>
    <x v="1"/>
    <s v="Single"/>
    <x v="1"/>
    <n v="6.3"/>
    <n v="2"/>
    <n v="6"/>
    <s v="Yes"/>
    <s v="5-30 min"/>
    <n v="72"/>
    <n v="6.4"/>
    <n v="5.6"/>
    <n v="4.4000000000000004"/>
    <n v="7.5"/>
    <s v="Yes"/>
    <s v="Yes"/>
    <n v="7.4"/>
    <n v="7.4"/>
    <n v="3.4"/>
    <n v="4.7"/>
    <n v="3.4"/>
    <n v="8.4"/>
    <n v="5.6"/>
    <n v="6.3"/>
    <n v="3"/>
    <n v="2.9"/>
    <n v="4.4000000000000004"/>
    <s v="Severe"/>
    <x v="3"/>
  </r>
  <r>
    <x v="88"/>
    <n v="42"/>
    <x v="0"/>
    <x v="1"/>
    <s v="In a Relationship"/>
    <x v="5"/>
    <n v="4.3"/>
    <n v="6"/>
    <n v="8"/>
    <s v="Yes"/>
    <s v="Within 5 min"/>
    <n v="77"/>
    <n v="5.0999999999999996"/>
    <n v="8.6999999999999993"/>
    <n v="8.4"/>
    <n v="7.8"/>
    <s v="Yes"/>
    <s v="Yes"/>
    <n v="7"/>
    <n v="5"/>
    <n v="1.2"/>
    <n v="6.1"/>
    <n v="6.1"/>
    <n v="7.4"/>
    <n v="4.8"/>
    <m/>
    <n v="0"/>
    <n v="4.5"/>
    <n v="4.3"/>
    <s v="Severe"/>
    <x v="2"/>
  </r>
  <r>
    <x v="89"/>
    <n v="40"/>
    <x v="1"/>
    <x v="0"/>
    <s v="Single"/>
    <x v="3"/>
    <n v="2.6"/>
    <n v="1"/>
    <n v="4"/>
    <s v="No"/>
    <s v="After 30 min"/>
    <n v="5"/>
    <n v="3.8"/>
    <n v="4.8"/>
    <n v="10"/>
    <n v="2.2999999999999998"/>
    <s v="Yes"/>
    <s v="No"/>
    <n v="7.7"/>
    <n v="5.0999999999999996"/>
    <m/>
    <n v="7"/>
    <n v="8"/>
    <n v="6.3"/>
    <n v="6.7"/>
    <n v="5"/>
    <n v="2.1"/>
    <m/>
    <n v="8.8000000000000007"/>
    <s v="Low"/>
    <x v="2"/>
  </r>
  <r>
    <x v="90"/>
    <n v="20"/>
    <x v="0"/>
    <x v="0"/>
    <s v="In a Relationship"/>
    <x v="3"/>
    <n v="6.1"/>
    <n v="3"/>
    <n v="5"/>
    <s v="No"/>
    <s v="Within 5 min"/>
    <n v="17"/>
    <n v="7.5"/>
    <n v="7.4"/>
    <n v="4.5"/>
    <n v="4.3"/>
    <s v="Yes"/>
    <s v="Yes"/>
    <n v="2.8"/>
    <n v="3.3"/>
    <n v="6.9"/>
    <n v="5.8"/>
    <n v="1.7"/>
    <n v="5.9"/>
    <n v="5.2"/>
    <n v="7.8"/>
    <n v="0.8"/>
    <n v="2.8"/>
    <n v="4.7"/>
    <s v="Severe"/>
    <x v="1"/>
  </r>
  <r>
    <x v="91"/>
    <n v="24"/>
    <x v="1"/>
    <x v="1"/>
    <s v="Single"/>
    <x v="2"/>
    <n v="10.199999999999999"/>
    <n v="6"/>
    <n v="2"/>
    <s v="Yes"/>
    <s v="Within 5 min"/>
    <n v="31"/>
    <n v="6.3"/>
    <n v="6.7"/>
    <n v="5"/>
    <n v="4.4000000000000004"/>
    <s v="No"/>
    <s v="No"/>
    <n v="4.8"/>
    <n v="6.4"/>
    <n v="1.8"/>
    <n v="6.2"/>
    <n v="5.5"/>
    <n v="6.2"/>
    <n v="6.2"/>
    <n v="5.8"/>
    <n v="2.5"/>
    <n v="0.5"/>
    <n v="5"/>
    <s v="High"/>
    <x v="1"/>
  </r>
  <r>
    <x v="92"/>
    <n v="44"/>
    <x v="0"/>
    <x v="1"/>
    <s v="In a Relationship"/>
    <x v="1"/>
    <n v="8"/>
    <n v="3"/>
    <n v="5"/>
    <s v="Yes"/>
    <s v="5-30 min"/>
    <n v="121"/>
    <n v="5.4"/>
    <n v="2.7"/>
    <n v="9.5"/>
    <n v="5.9"/>
    <s v="No"/>
    <s v="No"/>
    <n v="6.5"/>
    <n v="4.3"/>
    <n v="3.5"/>
    <n v="5.2"/>
    <n v="8.9"/>
    <n v="5.0999999999999996"/>
    <n v="1.5"/>
    <n v="7.2"/>
    <n v="4"/>
    <n v="2.9"/>
    <n v="5.6"/>
    <s v="Moderate"/>
    <x v="2"/>
  </r>
  <r>
    <x v="93"/>
    <n v="32"/>
    <x v="1"/>
    <x v="2"/>
    <s v="Single"/>
    <x v="1"/>
    <n v="2.2999999999999998"/>
    <n v="1"/>
    <n v="3"/>
    <s v="Yes"/>
    <s v="Within 5 min"/>
    <n v="62"/>
    <n v="6.2"/>
    <n v="10"/>
    <n v="5.0999999999999996"/>
    <n v="10"/>
    <s v="Yes"/>
    <s v="Yes"/>
    <n v="4.0999999999999996"/>
    <n v="6.6"/>
    <n v="1.2"/>
    <n v="6.8"/>
    <n v="8.6999999999999993"/>
    <n v="7.3"/>
    <n v="1.4"/>
    <n v="5.3"/>
    <n v="1.9"/>
    <n v="2.7"/>
    <n v="5.3"/>
    <s v="High"/>
    <x v="0"/>
  </r>
  <r>
    <x v="94"/>
    <n v="17"/>
    <x v="0"/>
    <x v="0"/>
    <s v="Single"/>
    <x v="2"/>
    <n v="6.2"/>
    <n v="1"/>
    <n v="3"/>
    <s v="No"/>
    <s v="After 30 min"/>
    <n v="9"/>
    <n v="9"/>
    <n v="4.8"/>
    <n v="4.8"/>
    <n v="0"/>
    <s v="No"/>
    <s v="Yes"/>
    <n v="5.9"/>
    <n v="5.8"/>
    <n v="7.1"/>
    <n v="7.9"/>
    <n v="3.9"/>
    <n v="5.8"/>
    <n v="2.1"/>
    <n v="2.7"/>
    <n v="2"/>
    <n v="2.5"/>
    <n v="8"/>
    <s v="Low"/>
    <x v="3"/>
  </r>
  <r>
    <x v="95"/>
    <n v="34"/>
    <x v="1"/>
    <x v="0"/>
    <s v="Single"/>
    <x v="1"/>
    <n v="4.3"/>
    <n v="7"/>
    <n v="3"/>
    <s v="Yes"/>
    <s v="Within 5 min"/>
    <n v="83"/>
    <n v="4.0999999999999996"/>
    <n v="2.6"/>
    <n v="5.4"/>
    <n v="3"/>
    <s v="Yes"/>
    <s v="Yes"/>
    <n v="8.1999999999999993"/>
    <n v="0.3"/>
    <n v="6.9"/>
    <n v="4"/>
    <n v="5.0999999999999996"/>
    <n v="6.2"/>
    <n v="3.3"/>
    <n v="6.9"/>
    <n v="1.6"/>
    <n v="5.2"/>
    <n v="4.8"/>
    <s v="Severe"/>
    <x v="0"/>
  </r>
  <r>
    <x v="96"/>
    <n v="33"/>
    <x v="2"/>
    <x v="1"/>
    <s v="In a Relationship"/>
    <x v="3"/>
    <n v="4.3"/>
    <n v="3"/>
    <n v="1"/>
    <s v="Yes"/>
    <s v="Within 5 min"/>
    <n v="69"/>
    <n v="6.3"/>
    <n v="5.4"/>
    <n v="6.5"/>
    <n v="7.9"/>
    <s v="No"/>
    <s v="Yes"/>
    <n v="8"/>
    <n v="3.7"/>
    <n v="4.3"/>
    <n v="5.4"/>
    <n v="5.8"/>
    <n v="3.9"/>
    <n v="3.3"/>
    <n v="6.7"/>
    <n v="5.5"/>
    <n v="1.9"/>
    <n v="4.5"/>
    <s v="Severe"/>
    <x v="0"/>
  </r>
  <r>
    <x v="97"/>
    <n v="33"/>
    <x v="0"/>
    <x v="0"/>
    <s v="Single"/>
    <x v="2"/>
    <n v="3.9"/>
    <n v="1"/>
    <n v="4"/>
    <s v="Yes"/>
    <s v="5-30 min"/>
    <n v="47"/>
    <n v="0.5"/>
    <n v="2.5"/>
    <n v="5.0999999999999996"/>
    <n v="7.8"/>
    <s v="No"/>
    <s v="Yes"/>
    <n v="7.3"/>
    <n v="3.8"/>
    <n v="6"/>
    <n v="4.5999999999999996"/>
    <n v="4.0999999999999996"/>
    <n v="9.3000000000000007"/>
    <n v="5.4"/>
    <n v="7"/>
    <n v="3.9"/>
    <n v="5.2"/>
    <n v="7"/>
    <s v="Moderate"/>
    <x v="0"/>
  </r>
  <r>
    <x v="98"/>
    <n v="36"/>
    <x v="0"/>
    <x v="1"/>
    <s v="Single"/>
    <x v="1"/>
    <n v="2.7"/>
    <n v="4"/>
    <n v="4"/>
    <s v="Yes"/>
    <s v="5-30 min"/>
    <n v="124"/>
    <n v="7.7"/>
    <n v="0.9"/>
    <n v="6.4"/>
    <n v="2.6"/>
    <s v="No"/>
    <s v="No"/>
    <n v="6.9"/>
    <n v="0.9"/>
    <n v="3.4"/>
    <n v="5.5"/>
    <n v="2.8"/>
    <n v="8.1999999999999993"/>
    <n v="5.2"/>
    <n v="4.8"/>
    <n v="1.6"/>
    <m/>
    <n v="6.8"/>
    <s v="Moderate"/>
    <x v="2"/>
  </r>
  <r>
    <x v="99"/>
    <n v="38"/>
    <x v="1"/>
    <x v="4"/>
    <s v="Married"/>
    <x v="4"/>
    <n v="1.2"/>
    <n v="3"/>
    <n v="6"/>
    <s v="Yes"/>
    <s v="After 30 min"/>
    <n v="66"/>
    <n v="4.0999999999999996"/>
    <n v="5.2"/>
    <n v="7"/>
    <n v="5.4"/>
    <s v="Yes"/>
    <s v="No"/>
    <n v="5.8"/>
    <n v="7.6"/>
    <n v="5.8"/>
    <n v="6.6"/>
    <n v="4.7"/>
    <n v="4.3"/>
    <n v="6.7"/>
    <n v="3.3"/>
    <n v="4.3"/>
    <n v="1.2"/>
    <n v="7.6"/>
    <s v="Low"/>
    <x v="2"/>
  </r>
  <r>
    <x v="100"/>
    <n v="18"/>
    <x v="1"/>
    <x v="1"/>
    <s v="In a Relationship"/>
    <x v="5"/>
    <n v="5.5"/>
    <n v="3"/>
    <n v="3"/>
    <s v="No"/>
    <s v="5-30 min"/>
    <n v="63"/>
    <n v="3.8"/>
    <n v="4.9000000000000004"/>
    <n v="4.2"/>
    <n v="7.1"/>
    <s v="Yes"/>
    <s v="Yes"/>
    <n v="5.5"/>
    <n v="7.8"/>
    <n v="3.6"/>
    <n v="9"/>
    <n v="5.6"/>
    <n v="6"/>
    <n v="2.7"/>
    <n v="8.5"/>
    <n v="5.0999999999999996"/>
    <n v="0"/>
    <n v="7.4"/>
    <s v="Moderate"/>
    <x v="1"/>
  </r>
  <r>
    <x v="101"/>
    <n v="26"/>
    <x v="0"/>
    <x v="0"/>
    <s v="Single"/>
    <x v="1"/>
    <n v="2.2999999999999998"/>
    <n v="2"/>
    <n v="4"/>
    <s v="Yes"/>
    <s v="After 30 min"/>
    <n v="10"/>
    <n v="5.9"/>
    <n v="2.7"/>
    <n v="5.2"/>
    <n v="3.4"/>
    <s v="Yes"/>
    <s v="No"/>
    <n v="10"/>
    <n v="5"/>
    <n v="6.3"/>
    <n v="6.8"/>
    <n v="5.3"/>
    <n v="6.8"/>
    <n v="10"/>
    <n v="3.6"/>
    <n v="3.4"/>
    <n v="2.8"/>
    <n v="8"/>
    <s v="Low"/>
    <x v="0"/>
  </r>
  <r>
    <x v="102"/>
    <n v="41"/>
    <x v="1"/>
    <x v="0"/>
    <s v="In a Relationship"/>
    <x v="3"/>
    <n v="3.3"/>
    <n v="6"/>
    <n v="4"/>
    <m/>
    <s v="After 30 min"/>
    <n v="5"/>
    <n v="5.5"/>
    <n v="7.6"/>
    <n v="4"/>
    <n v="8.4"/>
    <s v="No"/>
    <s v="Yes"/>
    <n v="1"/>
    <n v="1.4"/>
    <n v="4.4000000000000004"/>
    <n v="5.7"/>
    <n v="3"/>
    <n v="6.1"/>
    <n v="4.3"/>
    <n v="9.6"/>
    <n v="2.7"/>
    <n v="4.5"/>
    <n v="6.8"/>
    <s v="Moderate"/>
    <x v="2"/>
  </r>
  <r>
    <x v="103"/>
    <n v="30"/>
    <x v="1"/>
    <x v="0"/>
    <s v="In a Relationship"/>
    <x v="1"/>
    <n v="3.7"/>
    <n v="1"/>
    <n v="2"/>
    <s v="No"/>
    <s v="5-30 min"/>
    <n v="42"/>
    <n v="6"/>
    <n v="2.8"/>
    <n v="3.3"/>
    <n v="9.1999999999999993"/>
    <s v="No"/>
    <s v="Yes"/>
    <n v="3.8"/>
    <n v="2.1"/>
    <n v="6"/>
    <n v="10"/>
    <n v="2.5"/>
    <n v="6.1"/>
    <n v="6.7"/>
    <n v="2.7"/>
    <n v="5"/>
    <n v="2.9"/>
    <n v="6.5"/>
    <s v="High"/>
    <x v="0"/>
  </r>
  <r>
    <x v="104"/>
    <n v="31"/>
    <x v="1"/>
    <x v="1"/>
    <s v="Single"/>
    <x v="2"/>
    <n v="4.7"/>
    <n v="3"/>
    <n v="5"/>
    <m/>
    <s v="Within 5 min"/>
    <n v="65"/>
    <n v="4.8"/>
    <n v="7.4"/>
    <n v="3.9"/>
    <n v="8.6"/>
    <s v="No"/>
    <s v="Yes"/>
    <n v="5.7"/>
    <n v="0.1"/>
    <n v="6.3"/>
    <n v="3.7"/>
    <m/>
    <n v="5.2"/>
    <n v="3.2"/>
    <m/>
    <n v="2.7"/>
    <n v="1.3"/>
    <n v="4.3"/>
    <s v="Severe"/>
    <x v="0"/>
  </r>
  <r>
    <x v="105"/>
    <n v="27"/>
    <x v="0"/>
    <x v="0"/>
    <s v="Single"/>
    <x v="2"/>
    <n v="3.6"/>
    <n v="1"/>
    <n v="7"/>
    <s v="No"/>
    <s v="Within 5 min"/>
    <n v="35"/>
    <n v="7.7"/>
    <n v="6.1"/>
    <n v="6.6"/>
    <n v="3.6"/>
    <s v="No"/>
    <s v="Yes"/>
    <n v="5.0999999999999996"/>
    <n v="4.3"/>
    <n v="8.8000000000000007"/>
    <n v="4.4000000000000004"/>
    <n v="3.8"/>
    <n v="7.1"/>
    <n v="4.2"/>
    <n v="6.1"/>
    <n v="3.8"/>
    <n v="3.7"/>
    <n v="5.9"/>
    <s v="High"/>
    <x v="0"/>
  </r>
  <r>
    <x v="106"/>
    <n v="44"/>
    <x v="1"/>
    <x v="3"/>
    <s v="Single"/>
    <x v="4"/>
    <n v="4.2"/>
    <n v="2"/>
    <n v="4"/>
    <s v="Yes"/>
    <s v="5-30 min"/>
    <n v="64"/>
    <n v="3.9"/>
    <n v="4.4000000000000004"/>
    <n v="1.9"/>
    <n v="3.9"/>
    <s v="Yes"/>
    <s v="No"/>
    <n v="4.8"/>
    <n v="3.9"/>
    <n v="1.7"/>
    <n v="4.5"/>
    <n v="4.5999999999999996"/>
    <n v="8.3000000000000007"/>
    <n v="3.6"/>
    <n v="4"/>
    <n v="4.9000000000000004"/>
    <n v="2.9"/>
    <n v="8.8000000000000007"/>
    <s v="Low"/>
    <x v="2"/>
  </r>
  <r>
    <x v="107"/>
    <n v="26"/>
    <x v="1"/>
    <x v="3"/>
    <s v="Married"/>
    <x v="1"/>
    <n v="3.6"/>
    <n v="1"/>
    <n v="2"/>
    <s v="Yes"/>
    <s v="5-30 min"/>
    <n v="16"/>
    <n v="1"/>
    <n v="6.6"/>
    <n v="8"/>
    <n v="5.3"/>
    <s v="No"/>
    <s v="Yes"/>
    <n v="7.6"/>
    <n v="2"/>
    <n v="5.4"/>
    <n v="7.1"/>
    <n v="6.3"/>
    <n v="6.5"/>
    <n v="0.8"/>
    <n v="5.2"/>
    <n v="4.3"/>
    <n v="4.3"/>
    <n v="6.2"/>
    <s v="Moderate"/>
    <x v="0"/>
  </r>
  <r>
    <x v="108"/>
    <n v="24"/>
    <x v="0"/>
    <x v="3"/>
    <s v="Single"/>
    <x v="0"/>
    <n v="5.0999999999999996"/>
    <n v="4"/>
    <n v="3"/>
    <s v="No"/>
    <s v="5-30 min"/>
    <n v="7"/>
    <n v="9.1"/>
    <n v="4.8"/>
    <n v="4.5999999999999996"/>
    <n v="1.9"/>
    <s v="No"/>
    <s v="No"/>
    <n v="4.5999999999999996"/>
    <n v="4.0999999999999996"/>
    <n v="3.9"/>
    <m/>
    <n v="7.9"/>
    <n v="8.5"/>
    <n v="5"/>
    <n v="6.5"/>
    <n v="6.1"/>
    <n v="5"/>
    <n v="7.6"/>
    <s v="Low"/>
    <x v="1"/>
  </r>
  <r>
    <x v="109"/>
    <n v="24"/>
    <x v="0"/>
    <x v="1"/>
    <s v="Single"/>
    <x v="0"/>
    <n v="5.3"/>
    <n v="2"/>
    <n v="5"/>
    <s v="No"/>
    <s v="5-30 min"/>
    <n v="124"/>
    <n v="5.4"/>
    <n v="8.6"/>
    <n v="4.3"/>
    <n v="7.9"/>
    <s v="Yes"/>
    <s v="No"/>
    <n v="4.2"/>
    <n v="5.5"/>
    <n v="2.8"/>
    <n v="10"/>
    <n v="7.2"/>
    <n v="9.1"/>
    <n v="8.4"/>
    <n v="3.7"/>
    <n v="1.9"/>
    <n v="0.3"/>
    <n v="7.3"/>
    <s v="Moderate"/>
    <x v="1"/>
  </r>
  <r>
    <x v="110"/>
    <n v="27"/>
    <x v="1"/>
    <x v="0"/>
    <s v="Married"/>
    <x v="3"/>
    <n v="7.7"/>
    <n v="1"/>
    <n v="9"/>
    <s v="Yes"/>
    <s v="Within 5 min"/>
    <n v="56"/>
    <n v="6.9"/>
    <n v="3"/>
    <n v="0"/>
    <n v="2.7"/>
    <s v="No"/>
    <s v="No"/>
    <n v="5.8"/>
    <n v="3.2"/>
    <n v="6.1"/>
    <n v="8.9"/>
    <n v="2.4"/>
    <n v="5.7"/>
    <n v="7.2"/>
    <n v="2.6"/>
    <n v="4"/>
    <n v="1.5"/>
    <n v="7.2"/>
    <s v="High"/>
    <x v="0"/>
  </r>
  <r>
    <x v="111"/>
    <n v="18"/>
    <x v="1"/>
    <x v="0"/>
    <s v="In a Relationship"/>
    <x v="3"/>
    <n v="5.8"/>
    <n v="4"/>
    <n v="4"/>
    <m/>
    <s v="After 30 min"/>
    <n v="53"/>
    <n v="3.4"/>
    <n v="3.9"/>
    <n v="7.2"/>
    <n v="6.4"/>
    <s v="No"/>
    <s v="No"/>
    <n v="0.5"/>
    <n v="5.3"/>
    <n v="3.9"/>
    <n v="3.8"/>
    <n v="6.4"/>
    <n v="5.9"/>
    <n v="1.7"/>
    <n v="5.6"/>
    <n v="2.6"/>
    <n v="5.0999999999999996"/>
    <n v="7.7"/>
    <s v="Low"/>
    <x v="1"/>
  </r>
  <r>
    <x v="112"/>
    <n v="29"/>
    <x v="1"/>
    <x v="1"/>
    <s v="Single"/>
    <x v="1"/>
    <n v="3.3"/>
    <n v="5"/>
    <n v="7"/>
    <s v="No"/>
    <s v="After 30 min"/>
    <n v="93"/>
    <n v="5.7"/>
    <n v="3.8"/>
    <n v="4"/>
    <n v="4"/>
    <s v="No"/>
    <s v="No"/>
    <m/>
    <n v="2.8"/>
    <n v="4.3"/>
    <n v="7.4"/>
    <n v="3"/>
    <n v="6.6"/>
    <n v="9.8000000000000007"/>
    <n v="6.7"/>
    <n v="1.2"/>
    <n v="4.5999999999999996"/>
    <n v="6.9"/>
    <s v="Low"/>
    <x v="0"/>
  </r>
  <r>
    <x v="113"/>
    <n v="29"/>
    <x v="1"/>
    <x v="0"/>
    <s v="Single"/>
    <x v="1"/>
    <n v="5.8"/>
    <n v="3"/>
    <n v="6"/>
    <s v="Yes"/>
    <s v="Within 5 min"/>
    <n v="54"/>
    <n v="1.4"/>
    <n v="8.3000000000000007"/>
    <n v="5.0999999999999996"/>
    <n v="5.4"/>
    <s v="No"/>
    <s v="Yes"/>
    <n v="2.2999999999999998"/>
    <n v="6"/>
    <n v="4.4000000000000004"/>
    <n v="3.5"/>
    <n v="4.9000000000000004"/>
    <n v="7.7"/>
    <n v="6.9"/>
    <n v="1.3"/>
    <n v="2.4"/>
    <n v="5.6"/>
    <n v="4.4000000000000004"/>
    <s v="Severe"/>
    <x v="0"/>
  </r>
  <r>
    <x v="114"/>
    <n v="43"/>
    <x v="0"/>
    <x v="3"/>
    <s v="Married"/>
    <x v="1"/>
    <n v="6.5"/>
    <n v="3"/>
    <n v="2"/>
    <s v="Yes"/>
    <s v="After 30 min"/>
    <n v="48"/>
    <n v="10"/>
    <n v="8.6"/>
    <n v="7.3"/>
    <n v="3.3"/>
    <s v="Yes"/>
    <s v="No"/>
    <n v="5.5"/>
    <n v="4.9000000000000004"/>
    <n v="0.3"/>
    <n v="4.2"/>
    <n v="5"/>
    <n v="7.4"/>
    <n v="6.6"/>
    <n v="10"/>
    <n v="3.2"/>
    <m/>
    <n v="6"/>
    <s v="Moderate"/>
    <x v="2"/>
  </r>
  <r>
    <x v="115"/>
    <n v="35"/>
    <x v="0"/>
    <x v="0"/>
    <s v="Single"/>
    <x v="4"/>
    <n v="3.3"/>
    <n v="2"/>
    <n v="4"/>
    <s v="No"/>
    <s v="Within 5 min"/>
    <n v="44"/>
    <n v="6.2"/>
    <n v="2.2999999999999998"/>
    <n v="6.6"/>
    <n v="4.5999999999999996"/>
    <s v="Yes"/>
    <s v="Yes"/>
    <n v="6.7"/>
    <n v="8.5"/>
    <n v="3.3"/>
    <n v="4.8"/>
    <n v="3.7"/>
    <n v="5.3"/>
    <n v="3"/>
    <m/>
    <n v="4.2"/>
    <n v="5.2"/>
    <n v="7.8"/>
    <s v="Low"/>
    <x v="4"/>
  </r>
  <r>
    <x v="116"/>
    <n v="36"/>
    <x v="1"/>
    <x v="0"/>
    <s v="Married"/>
    <x v="2"/>
    <n v="3.3"/>
    <n v="1"/>
    <n v="10"/>
    <s v="Yes"/>
    <s v="5-30 min"/>
    <n v="58"/>
    <n v="6.8"/>
    <n v="4.5"/>
    <n v="6.8"/>
    <n v="1.9"/>
    <s v="No"/>
    <s v="Yes"/>
    <n v="5.8"/>
    <n v="3"/>
    <n v="2.4"/>
    <n v="6.4"/>
    <n v="6.5"/>
    <n v="8"/>
    <n v="8.4"/>
    <n v="6"/>
    <n v="2"/>
    <n v="0.5"/>
    <n v="7.9"/>
    <s v="Low"/>
    <x v="2"/>
  </r>
  <r>
    <x v="117"/>
    <n v="43"/>
    <x v="1"/>
    <x v="1"/>
    <s v="In a Relationship"/>
    <x v="1"/>
    <n v="0.5"/>
    <n v="5"/>
    <n v="4"/>
    <s v="No"/>
    <s v="5-30 min"/>
    <n v="79"/>
    <n v="8.4"/>
    <n v="5.7"/>
    <n v="4.5999999999999996"/>
    <n v="2.8"/>
    <s v="No"/>
    <s v="Yes"/>
    <n v="5.8"/>
    <n v="3.4"/>
    <m/>
    <n v="2"/>
    <n v="6.2"/>
    <n v="8.1999999999999993"/>
    <n v="5.2"/>
    <m/>
    <n v="2.1"/>
    <n v="3.5"/>
    <n v="6.7"/>
    <s v="Moderate"/>
    <x v="2"/>
  </r>
  <r>
    <x v="118"/>
    <n v="30"/>
    <x v="0"/>
    <x v="1"/>
    <s v="Single"/>
    <x v="4"/>
    <n v="7.8"/>
    <n v="4"/>
    <n v="4"/>
    <s v="Yes"/>
    <s v="After 30 min"/>
    <n v="5"/>
    <n v="4.0999999999999996"/>
    <n v="4"/>
    <n v="7.5"/>
    <n v="7.5"/>
    <s v="Yes"/>
    <s v="No"/>
    <n v="6.5"/>
    <n v="4.9000000000000004"/>
    <m/>
    <n v="6.4"/>
    <n v="5"/>
    <n v="8.6999999999999993"/>
    <n v="9.1"/>
    <n v="6.9"/>
    <n v="2.7"/>
    <n v="1.8"/>
    <n v="6.6"/>
    <s v="Moderate"/>
    <x v="0"/>
  </r>
  <r>
    <x v="119"/>
    <n v="42"/>
    <x v="2"/>
    <x v="0"/>
    <s v="Single"/>
    <x v="1"/>
    <n v="4.9000000000000004"/>
    <n v="1"/>
    <n v="1"/>
    <s v="No"/>
    <s v="Within 5 min"/>
    <n v="66"/>
    <n v="5.6"/>
    <n v="8.6999999999999993"/>
    <n v="8.1999999999999993"/>
    <n v="10"/>
    <s v="No"/>
    <s v="No"/>
    <n v="7"/>
    <n v="3.7"/>
    <n v="5.2"/>
    <n v="4.0999999999999996"/>
    <n v="7.5"/>
    <n v="6.8"/>
    <n v="5.3"/>
    <n v="0.6"/>
    <n v="0.4"/>
    <n v="0.7"/>
    <n v="4.3"/>
    <s v="Severe"/>
    <x v="2"/>
  </r>
  <r>
    <x v="120"/>
    <n v="18"/>
    <x v="1"/>
    <x v="0"/>
    <s v="Single"/>
    <x v="1"/>
    <n v="7.5"/>
    <n v="3"/>
    <n v="3"/>
    <s v="No"/>
    <s v="5-30 min"/>
    <n v="95"/>
    <n v="5.3"/>
    <n v="3.4"/>
    <n v="4.2"/>
    <n v="5.2"/>
    <s v="No"/>
    <s v="No"/>
    <n v="6.1"/>
    <n v="8.6999999999999993"/>
    <n v="5"/>
    <n v="5.9"/>
    <n v="5.0999999999999996"/>
    <n v="5.8"/>
    <n v="7.9"/>
    <n v="8"/>
    <n v="0.3"/>
    <n v="4"/>
    <n v="7.1"/>
    <s v="Low"/>
    <x v="1"/>
  </r>
  <r>
    <x v="121"/>
    <n v="31"/>
    <x v="0"/>
    <x v="1"/>
    <s v="Single"/>
    <x v="3"/>
    <n v="1.2"/>
    <n v="1"/>
    <n v="4"/>
    <m/>
    <s v="After 30 min"/>
    <n v="33"/>
    <n v="4.3"/>
    <n v="2"/>
    <n v="5.0999999999999996"/>
    <n v="5"/>
    <s v="Yes"/>
    <s v="No"/>
    <n v="5.6"/>
    <n v="3.2"/>
    <n v="1.1000000000000001"/>
    <n v="3.8"/>
    <n v="4.5999999999999996"/>
    <n v="4.9000000000000004"/>
    <n v="6.3"/>
    <n v="8.5"/>
    <n v="2.2999999999999998"/>
    <n v="1.7"/>
    <n v="8.1"/>
    <s v="Low"/>
    <x v="0"/>
  </r>
  <r>
    <x v="122"/>
    <n v="19"/>
    <x v="1"/>
    <x v="1"/>
    <s v="Married"/>
    <x v="4"/>
    <n v="0.5"/>
    <n v="1"/>
    <n v="4"/>
    <s v="No"/>
    <s v="5-30 min"/>
    <n v="46"/>
    <n v="5.0999999999999996"/>
    <n v="5.9"/>
    <n v="4.7"/>
    <n v="4"/>
    <s v="No"/>
    <s v="Yes"/>
    <n v="6.5"/>
    <n v="4.7"/>
    <n v="8"/>
    <n v="7"/>
    <n v="6.9"/>
    <n v="6.4"/>
    <n v="6.1"/>
    <n v="6.7"/>
    <n v="5.0999999999999996"/>
    <n v="4.3"/>
    <n v="8"/>
    <s v="Low"/>
    <x v="1"/>
  </r>
  <r>
    <x v="123"/>
    <n v="26"/>
    <x v="0"/>
    <x v="1"/>
    <s v="Married"/>
    <x v="1"/>
    <n v="5.2"/>
    <n v="4"/>
    <n v="4"/>
    <s v="Yes"/>
    <s v="5-30 min"/>
    <n v="5"/>
    <n v="2.6"/>
    <n v="4.4000000000000004"/>
    <n v="6.7"/>
    <n v="4.7"/>
    <s v="Yes"/>
    <s v="Yes"/>
    <n v="4"/>
    <n v="5.8"/>
    <n v="1.4"/>
    <n v="6.8"/>
    <n v="5.6"/>
    <n v="4.7"/>
    <n v="5.2"/>
    <n v="1.7"/>
    <n v="4.5"/>
    <n v="3.9"/>
    <n v="6.3"/>
    <s v="Moderate"/>
    <x v="0"/>
  </r>
  <r>
    <x v="124"/>
    <n v="23"/>
    <x v="0"/>
    <x v="0"/>
    <s v="Married"/>
    <x v="1"/>
    <n v="2.7"/>
    <n v="3"/>
    <n v="4"/>
    <s v="No"/>
    <s v="Within 5 min"/>
    <n v="59"/>
    <n v="6.1"/>
    <n v="5.5"/>
    <n v="4.5999999999999996"/>
    <n v="4.3"/>
    <s v="Yes"/>
    <s v="No"/>
    <n v="6.1"/>
    <n v="5.0999999999999996"/>
    <n v="5.8"/>
    <n v="2.6"/>
    <n v="6.2"/>
    <n v="5.8"/>
    <n v="7.3"/>
    <n v="6.5"/>
    <n v="5.0999999999999996"/>
    <n v="2.8"/>
    <n v="6.2"/>
    <s v="Moderate"/>
    <x v="1"/>
  </r>
  <r>
    <x v="125"/>
    <n v="41"/>
    <x v="1"/>
    <x v="1"/>
    <s v="Married"/>
    <x v="2"/>
    <n v="4.9000000000000004"/>
    <n v="3"/>
    <n v="5"/>
    <s v="No"/>
    <s v="Within 5 min"/>
    <n v="70"/>
    <n v="2.6"/>
    <n v="4.0999999999999996"/>
    <n v="4.4000000000000004"/>
    <n v="1.2"/>
    <s v="No"/>
    <s v="Yes"/>
    <n v="4.9000000000000004"/>
    <n v="4.8"/>
    <n v="4.7"/>
    <n v="8.1999999999999993"/>
    <n v="5.3"/>
    <n v="7.8"/>
    <n v="3.1"/>
    <n v="5.5"/>
    <n v="1"/>
    <n v="4.4000000000000004"/>
    <n v="8.1999999999999993"/>
    <s v="Low"/>
    <x v="2"/>
  </r>
  <r>
    <x v="126"/>
    <n v="41"/>
    <x v="1"/>
    <x v="0"/>
    <s v="Single"/>
    <x v="1"/>
    <n v="2.9"/>
    <n v="1"/>
    <n v="3"/>
    <s v="Yes"/>
    <s v="5-30 min"/>
    <n v="103"/>
    <n v="5.3"/>
    <n v="1.4"/>
    <n v="9.6"/>
    <n v="6.7"/>
    <s v="Yes"/>
    <s v="Yes"/>
    <n v="8.5"/>
    <n v="4.4000000000000004"/>
    <n v="6.7"/>
    <n v="5.8"/>
    <n v="4.5"/>
    <n v="7"/>
    <n v="4"/>
    <n v="3.7"/>
    <n v="3.3"/>
    <n v="3.7"/>
    <n v="5.2"/>
    <s v="High"/>
    <x v="2"/>
  </r>
  <r>
    <x v="127"/>
    <n v="37"/>
    <x v="0"/>
    <x v="1"/>
    <s v="Single"/>
    <x v="2"/>
    <n v="6.3"/>
    <n v="4"/>
    <n v="4"/>
    <s v="Yes"/>
    <s v="5-30 min"/>
    <n v="6"/>
    <n v="4.3"/>
    <n v="6.9"/>
    <n v="4.3"/>
    <n v="6.3"/>
    <s v="Yes"/>
    <s v="No"/>
    <n v="6.5"/>
    <n v="3.4"/>
    <n v="6.1"/>
    <n v="0.3"/>
    <n v="6.2"/>
    <n v="6.5"/>
    <m/>
    <n v="2.2999999999999998"/>
    <n v="3.6"/>
    <n v="2.6"/>
    <n v="6.1"/>
    <s v="Moderate"/>
    <x v="2"/>
  </r>
  <r>
    <x v="128"/>
    <n v="26"/>
    <x v="0"/>
    <x v="0"/>
    <s v="Married"/>
    <x v="2"/>
    <n v="3.8"/>
    <n v="3"/>
    <n v="4"/>
    <s v="No"/>
    <s v="After 30 min"/>
    <n v="33"/>
    <n v="4.8"/>
    <n v="0.9"/>
    <n v="2.1"/>
    <n v="6.7"/>
    <s v="Yes"/>
    <s v="Yes"/>
    <n v="7.3"/>
    <n v="0"/>
    <m/>
    <n v="5.3"/>
    <n v="6.3"/>
    <n v="6.4"/>
    <n v="10"/>
    <n v="6.3"/>
    <n v="1"/>
    <n v="0"/>
    <n v="8.4"/>
    <s v="Low"/>
    <x v="0"/>
  </r>
  <r>
    <x v="129"/>
    <n v="30"/>
    <x v="1"/>
    <x v="1"/>
    <s v="Married"/>
    <x v="0"/>
    <n v="4.2"/>
    <n v="4"/>
    <n v="7"/>
    <s v="No"/>
    <s v="5-30 min"/>
    <n v="58"/>
    <n v="4.5999999999999996"/>
    <n v="5.0999999999999996"/>
    <n v="6.9"/>
    <n v="5.5"/>
    <s v="Yes"/>
    <s v="No"/>
    <n v="9.6"/>
    <n v="3.3"/>
    <n v="3"/>
    <n v="9.4"/>
    <n v="2.1"/>
    <n v="6.7"/>
    <n v="3.7"/>
    <n v="7.7"/>
    <n v="0.5"/>
    <n v="0.4"/>
    <n v="8.1"/>
    <s v="Low"/>
    <x v="0"/>
  </r>
  <r>
    <x v="130"/>
    <n v="38"/>
    <x v="0"/>
    <x v="3"/>
    <m/>
    <x v="3"/>
    <n v="5.6"/>
    <n v="4"/>
    <n v="2"/>
    <s v="Yes"/>
    <s v="Within 5 min"/>
    <n v="63"/>
    <n v="8.3000000000000007"/>
    <n v="3.3"/>
    <n v="4.9000000000000004"/>
    <n v="6.9"/>
    <s v="No"/>
    <s v="No"/>
    <m/>
    <n v="5.4"/>
    <n v="3"/>
    <n v="4.4000000000000004"/>
    <n v="10"/>
    <m/>
    <n v="2.2999999999999998"/>
    <n v="7"/>
    <n v="3.8"/>
    <n v="3.3"/>
    <n v="5.8"/>
    <s v="High"/>
    <x v="2"/>
  </r>
  <r>
    <x v="131"/>
    <n v="28"/>
    <x v="0"/>
    <x v="1"/>
    <s v="Single"/>
    <x v="0"/>
    <n v="3.6"/>
    <n v="1"/>
    <n v="6"/>
    <s v="No"/>
    <s v="After 30 min"/>
    <n v="80"/>
    <n v="4.2"/>
    <n v="6.6"/>
    <n v="4.8"/>
    <n v="2.1"/>
    <s v="Yes"/>
    <s v="Yes"/>
    <n v="10"/>
    <n v="5.2"/>
    <n v="4.8"/>
    <n v="7.1"/>
    <n v="5.9"/>
    <n v="8"/>
    <n v="6.5"/>
    <n v="4.3"/>
    <n v="0.7"/>
    <n v="3.4"/>
    <n v="6.8"/>
    <s v="Moderate"/>
    <x v="0"/>
  </r>
  <r>
    <x v="132"/>
    <n v="33"/>
    <x v="0"/>
    <x v="1"/>
    <s v="Married"/>
    <x v="4"/>
    <m/>
    <n v="4"/>
    <n v="4"/>
    <s v="No"/>
    <s v="After 30 min"/>
    <n v="116"/>
    <n v="0"/>
    <n v="5.5"/>
    <n v="3.5"/>
    <n v="3.4"/>
    <s v="Yes"/>
    <s v="Yes"/>
    <n v="8"/>
    <n v="3.7"/>
    <n v="2.7"/>
    <n v="6.4"/>
    <n v="9.3000000000000007"/>
    <n v="6.6"/>
    <n v="8.6"/>
    <n v="9"/>
    <n v="2.4"/>
    <n v="1.8"/>
    <n v="7.5"/>
    <s v="Low"/>
    <x v="0"/>
  </r>
  <r>
    <x v="133"/>
    <n v="22"/>
    <x v="1"/>
    <x v="3"/>
    <s v="Single"/>
    <x v="1"/>
    <n v="7.3"/>
    <n v="3"/>
    <n v="4"/>
    <s v="No"/>
    <s v="Within 5 min"/>
    <n v="60"/>
    <n v="7.8"/>
    <n v="3.5"/>
    <n v="5.3"/>
    <n v="3.2"/>
    <s v="No"/>
    <s v="Yes"/>
    <n v="3.7"/>
    <n v="3.6"/>
    <n v="2.4"/>
    <n v="5.4"/>
    <n v="5.5"/>
    <n v="6.6"/>
    <n v="7"/>
    <n v="6.1"/>
    <n v="4.5"/>
    <n v="6"/>
    <n v="6.6"/>
    <s v="High"/>
    <x v="1"/>
  </r>
  <r>
    <x v="134"/>
    <n v="18"/>
    <x v="0"/>
    <x v="1"/>
    <s v="Single"/>
    <x v="1"/>
    <n v="4.4000000000000004"/>
    <n v="2"/>
    <n v="1"/>
    <s v="No"/>
    <s v="After 30 min"/>
    <n v="88"/>
    <n v="3.3"/>
    <n v="4.9000000000000004"/>
    <n v="3.6"/>
    <n v="7.7"/>
    <s v="No"/>
    <s v="No"/>
    <n v="6.3"/>
    <n v="6.5"/>
    <n v="2.9"/>
    <n v="4.8"/>
    <n v="7.8"/>
    <n v="6"/>
    <n v="5.3"/>
    <n v="3.8"/>
    <n v="3.4"/>
    <n v="0.1"/>
    <n v="7.4"/>
    <s v="Low"/>
    <x v="1"/>
  </r>
  <r>
    <x v="135"/>
    <n v="44"/>
    <x v="0"/>
    <x v="0"/>
    <m/>
    <x v="3"/>
    <n v="5.0999999999999996"/>
    <n v="4"/>
    <n v="4"/>
    <s v="No"/>
    <s v="Within 5 min"/>
    <n v="28"/>
    <n v="5.3"/>
    <n v="7"/>
    <n v="5.4"/>
    <n v="4.4000000000000004"/>
    <s v="Yes"/>
    <s v="Yes"/>
    <n v="2.9"/>
    <n v="10"/>
    <n v="2.9"/>
    <n v="2.2000000000000002"/>
    <n v="5.2"/>
    <n v="8.3000000000000007"/>
    <n v="4.2"/>
    <n v="10"/>
    <m/>
    <n v="4.2"/>
    <n v="6.6"/>
    <s v="Moderate"/>
    <x v="2"/>
  </r>
  <r>
    <x v="136"/>
    <n v="27"/>
    <x v="1"/>
    <x v="1"/>
    <s v="In a Relationship"/>
    <x v="0"/>
    <n v="5.7"/>
    <n v="3"/>
    <n v="3"/>
    <s v="No"/>
    <s v="Within 5 min"/>
    <n v="81"/>
    <n v="6.5"/>
    <n v="4.9000000000000004"/>
    <n v="5.6"/>
    <n v="2.5"/>
    <s v="Yes"/>
    <s v="No"/>
    <n v="2.8"/>
    <n v="3.6"/>
    <n v="3.5"/>
    <n v="7"/>
    <n v="6.9"/>
    <n v="7.3"/>
    <n v="7.3"/>
    <n v="8.3000000000000007"/>
    <n v="3.3"/>
    <n v="3.6"/>
    <n v="7.4"/>
    <s v="Moderate"/>
    <x v="0"/>
  </r>
  <r>
    <x v="137"/>
    <n v="27"/>
    <x v="1"/>
    <x v="1"/>
    <s v="In a Relationship"/>
    <x v="5"/>
    <n v="4.8"/>
    <n v="3"/>
    <n v="2"/>
    <s v="Yes"/>
    <s v="Within 5 min"/>
    <n v="147"/>
    <n v="6.4"/>
    <n v="7.3"/>
    <n v="6.2"/>
    <n v="7.4"/>
    <s v="No"/>
    <s v="Yes"/>
    <n v="4.8"/>
    <n v="5.9"/>
    <m/>
    <n v="6.1"/>
    <n v="5.5"/>
    <n v="6.5"/>
    <n v="6.5"/>
    <n v="8.6"/>
    <n v="2.2000000000000002"/>
    <n v="1.5"/>
    <n v="4.0999999999999996"/>
    <s v="Severe"/>
    <x v="0"/>
  </r>
  <r>
    <x v="138"/>
    <n v="30"/>
    <x v="0"/>
    <x v="1"/>
    <s v="Single"/>
    <x v="2"/>
    <n v="5.7"/>
    <n v="6"/>
    <n v="4"/>
    <s v="Yes"/>
    <s v="Within 5 min"/>
    <n v="64"/>
    <n v="4.5999999999999996"/>
    <n v="3.7"/>
    <n v="6"/>
    <n v="2.1"/>
    <s v="Yes"/>
    <s v="No"/>
    <n v="9.1"/>
    <m/>
    <n v="4.7"/>
    <n v="7.9"/>
    <n v="6.6"/>
    <n v="5"/>
    <n v="5.4"/>
    <n v="6.3"/>
    <n v="2.5"/>
    <n v="3.2"/>
    <n v="6.6"/>
    <s v="Moderate"/>
    <x v="0"/>
  </r>
  <r>
    <x v="139"/>
    <n v="44"/>
    <x v="0"/>
    <x v="1"/>
    <m/>
    <x v="0"/>
    <n v="8.6999999999999993"/>
    <n v="2"/>
    <n v="3"/>
    <s v="Yes"/>
    <s v="5-30 min"/>
    <n v="39"/>
    <n v="4.0999999999999996"/>
    <n v="6.7"/>
    <n v="3.7"/>
    <n v="6.1"/>
    <s v="Yes"/>
    <s v="No"/>
    <n v="7.2"/>
    <n v="7.5"/>
    <n v="5"/>
    <n v="8.3000000000000007"/>
    <n v="4"/>
    <n v="7.9"/>
    <n v="7"/>
    <n v="5.2"/>
    <n v="4.5"/>
    <n v="2.2000000000000002"/>
    <n v="5.8"/>
    <s v="High"/>
    <x v="2"/>
  </r>
  <r>
    <x v="140"/>
    <n v="23"/>
    <x v="1"/>
    <x v="0"/>
    <s v="In a Relationship"/>
    <x v="2"/>
    <n v="6.9"/>
    <n v="5"/>
    <n v="5"/>
    <s v="No"/>
    <s v="After 30 min"/>
    <n v="80"/>
    <n v="3.8"/>
    <n v="5"/>
    <n v="4.2"/>
    <n v="5.3"/>
    <s v="Yes"/>
    <s v="Yes"/>
    <n v="3.9"/>
    <n v="5.7"/>
    <n v="6.2"/>
    <n v="5.2"/>
    <n v="3.8"/>
    <n v="5.4"/>
    <n v="4.7"/>
    <n v="4.5999999999999996"/>
    <n v="1.4"/>
    <n v="3.1"/>
    <n v="6"/>
    <s v="Moderate"/>
    <x v="1"/>
  </r>
  <r>
    <x v="141"/>
    <n v="37"/>
    <x v="2"/>
    <x v="1"/>
    <s v="In a Relationship"/>
    <x v="3"/>
    <n v="1.5"/>
    <n v="3"/>
    <n v="6"/>
    <s v="Yes"/>
    <s v="Within 5 min"/>
    <n v="20"/>
    <n v="3.9"/>
    <n v="7.4"/>
    <n v="7.1"/>
    <n v="4.7"/>
    <s v="No"/>
    <s v="Yes"/>
    <n v="7.7"/>
    <n v="6.7"/>
    <n v="4.0999999999999996"/>
    <n v="4.8"/>
    <n v="7.5"/>
    <n v="6.8"/>
    <n v="0.3"/>
    <n v="7.1"/>
    <n v="3.7"/>
    <n v="5.4"/>
    <n v="6.1"/>
    <s v="Moderate"/>
    <x v="2"/>
  </r>
  <r>
    <x v="142"/>
    <n v="21"/>
    <x v="0"/>
    <x v="0"/>
    <s v="Single"/>
    <x v="2"/>
    <n v="0.5"/>
    <n v="3"/>
    <n v="4"/>
    <s v="Yes"/>
    <s v="Within 5 min"/>
    <n v="147"/>
    <n v="1.2"/>
    <n v="3.8"/>
    <n v="4.5"/>
    <n v="7.3"/>
    <s v="No"/>
    <s v="No"/>
    <n v="5.8"/>
    <n v="6.2"/>
    <n v="4.7"/>
    <m/>
    <n v="8"/>
    <n v="5.8"/>
    <n v="9.6"/>
    <n v="4.9000000000000004"/>
    <n v="4"/>
    <n v="2.1"/>
    <n v="6.4"/>
    <s v="Moderate"/>
    <x v="1"/>
  </r>
  <r>
    <x v="143"/>
    <n v="36"/>
    <x v="1"/>
    <x v="1"/>
    <s v="Single"/>
    <x v="4"/>
    <n v="2.7"/>
    <n v="3"/>
    <n v="2"/>
    <s v="Yes"/>
    <s v="Within 5 min"/>
    <n v="58"/>
    <n v="5.7"/>
    <n v="2.4"/>
    <n v="7.4"/>
    <n v="4.7"/>
    <s v="Yes"/>
    <s v="No"/>
    <n v="4.8"/>
    <n v="3.7"/>
    <n v="5.7"/>
    <n v="5.9"/>
    <n v="6.4"/>
    <n v="8.6"/>
    <n v="4.4000000000000004"/>
    <n v="3.9"/>
    <n v="5.2"/>
    <n v="3.1"/>
    <n v="6.6"/>
    <s v="Moderate"/>
    <x v="2"/>
  </r>
  <r>
    <x v="144"/>
    <n v="21"/>
    <x v="0"/>
    <x v="0"/>
    <s v="Married"/>
    <x v="3"/>
    <n v="0.5"/>
    <n v="5"/>
    <n v="5"/>
    <s v="Yes"/>
    <s v="Within 5 min"/>
    <n v="24"/>
    <n v="6.7"/>
    <n v="3.9"/>
    <n v="5.0999999999999996"/>
    <n v="6.8"/>
    <s v="Yes"/>
    <s v="No"/>
    <n v="7.9"/>
    <n v="5.2"/>
    <n v="3.1"/>
    <n v="8"/>
    <n v="7.5"/>
    <n v="4.2"/>
    <n v="6.6"/>
    <n v="3.1"/>
    <n v="0.3"/>
    <m/>
    <n v="5.7"/>
    <s v="High"/>
    <x v="1"/>
  </r>
  <r>
    <x v="145"/>
    <n v="36"/>
    <x v="1"/>
    <x v="0"/>
    <s v="In a Relationship"/>
    <x v="0"/>
    <n v="0.5"/>
    <n v="1"/>
    <n v="4"/>
    <s v="No"/>
    <s v="After 30 min"/>
    <n v="86"/>
    <n v="4.0999999999999996"/>
    <n v="7.7"/>
    <n v="4.0999999999999996"/>
    <n v="3.5"/>
    <s v="No"/>
    <s v="Yes"/>
    <n v="4.7"/>
    <n v="4.9000000000000004"/>
    <n v="0.8"/>
    <n v="3.2"/>
    <n v="3.8"/>
    <n v="6.3"/>
    <n v="6.3"/>
    <n v="8.6"/>
    <n v="3.2"/>
    <m/>
    <n v="7.6"/>
    <s v="Low"/>
    <x v="2"/>
  </r>
  <r>
    <x v="146"/>
    <n v="27"/>
    <x v="1"/>
    <x v="3"/>
    <s v="Single"/>
    <x v="3"/>
    <n v="2.2999999999999998"/>
    <n v="2"/>
    <n v="3"/>
    <s v="No"/>
    <s v="After 30 min"/>
    <n v="22"/>
    <n v="3.6"/>
    <n v="6.8"/>
    <n v="6.5"/>
    <n v="5.7"/>
    <s v="No"/>
    <s v="No"/>
    <n v="0.9"/>
    <n v="6.7"/>
    <n v="4.3"/>
    <n v="2"/>
    <n v="2"/>
    <n v="6.4"/>
    <n v="3.4"/>
    <n v="4.9000000000000004"/>
    <n v="2.4"/>
    <n v="3.5"/>
    <n v="6.3"/>
    <s v="Moderate"/>
    <x v="0"/>
  </r>
  <r>
    <x v="147"/>
    <n v="42"/>
    <x v="0"/>
    <x v="0"/>
    <s v="Married"/>
    <x v="3"/>
    <n v="2.5"/>
    <n v="1"/>
    <n v="1"/>
    <s v="Yes"/>
    <s v="After 30 min"/>
    <n v="41"/>
    <n v="5.9"/>
    <n v="4.3"/>
    <n v="5.4"/>
    <n v="4.4000000000000004"/>
    <s v="Yes"/>
    <s v="No"/>
    <n v="3.3"/>
    <n v="0.2"/>
    <n v="5.8"/>
    <n v="6.7"/>
    <n v="3.5"/>
    <n v="7.2"/>
    <n v="7.9"/>
    <n v="5.8"/>
    <n v="2.2999999999999998"/>
    <n v="5.0999999999999996"/>
    <n v="7.8"/>
    <s v="Low"/>
    <x v="2"/>
  </r>
  <r>
    <x v="148"/>
    <n v="22"/>
    <x v="1"/>
    <x v="1"/>
    <s v="In a Relationship"/>
    <x v="5"/>
    <n v="5"/>
    <n v="2"/>
    <n v="5"/>
    <s v="No"/>
    <s v="5-30 min"/>
    <n v="97"/>
    <n v="3"/>
    <n v="4"/>
    <n v="8.4"/>
    <n v="6.1"/>
    <s v="No"/>
    <s v="Yes"/>
    <n v="3.6"/>
    <n v="2.5"/>
    <n v="5.7"/>
    <n v="4.9000000000000004"/>
    <n v="3.8"/>
    <n v="8.6"/>
    <n v="8.1999999999999993"/>
    <n v="9.3000000000000007"/>
    <n v="3.5"/>
    <n v="2"/>
    <n v="5.5"/>
    <s v="Moderate"/>
    <x v="1"/>
  </r>
  <r>
    <x v="149"/>
    <n v="32"/>
    <x v="1"/>
    <x v="1"/>
    <s v="In a Relationship"/>
    <x v="4"/>
    <n v="5.6"/>
    <n v="5"/>
    <n v="5"/>
    <s v="No"/>
    <s v="After 30 min"/>
    <n v="35"/>
    <n v="4.3"/>
    <n v="7.9"/>
    <n v="6.6"/>
    <n v="5.4"/>
    <s v="No"/>
    <s v="Yes"/>
    <n v="5.6"/>
    <n v="5.5"/>
    <n v="2.5"/>
    <n v="6.6"/>
    <n v="5.5"/>
    <m/>
    <n v="2.6"/>
    <n v="4.3"/>
    <n v="1.6"/>
    <n v="2.8"/>
    <n v="7.4"/>
    <s v="Moderate"/>
    <x v="0"/>
  </r>
  <r>
    <x v="150"/>
    <n v="25"/>
    <x v="0"/>
    <x v="0"/>
    <s v="In a Relationship"/>
    <x v="0"/>
    <n v="9.3000000000000007"/>
    <n v="3"/>
    <n v="4"/>
    <s v="Yes"/>
    <s v="5-30 min"/>
    <n v="113"/>
    <n v="1.8"/>
    <n v="7.7"/>
    <n v="7.6"/>
    <n v="6.7"/>
    <s v="No"/>
    <s v="No"/>
    <n v="5.7"/>
    <n v="1.7"/>
    <n v="2"/>
    <n v="5.7"/>
    <n v="6.7"/>
    <n v="5.5"/>
    <n v="4.8"/>
    <n v="7.1"/>
    <n v="0.2"/>
    <n v="4.5999999999999996"/>
    <n v="5.8"/>
    <s v="High"/>
    <x v="0"/>
  </r>
  <r>
    <x v="151"/>
    <n v="30"/>
    <x v="0"/>
    <x v="0"/>
    <s v="Single"/>
    <x v="2"/>
    <n v="3"/>
    <n v="1"/>
    <n v="5"/>
    <s v="No"/>
    <s v="5-30 min"/>
    <n v="5"/>
    <n v="8"/>
    <n v="7.8"/>
    <n v="4.3"/>
    <n v="7.4"/>
    <s v="Yes"/>
    <s v="No"/>
    <n v="2.2000000000000002"/>
    <n v="4.4000000000000004"/>
    <n v="0"/>
    <n v="7.2"/>
    <n v="5.5"/>
    <n v="7"/>
    <n v="4.8"/>
    <n v="4.7"/>
    <n v="0.9"/>
    <n v="3.7"/>
    <n v="7.9"/>
    <s v="Low"/>
    <x v="0"/>
  </r>
  <r>
    <x v="152"/>
    <n v="20"/>
    <x v="2"/>
    <x v="1"/>
    <s v="In a Relationship"/>
    <x v="5"/>
    <n v="3.2"/>
    <n v="5"/>
    <n v="6"/>
    <s v="No"/>
    <s v="Within 5 min"/>
    <n v="34"/>
    <n v="5.9"/>
    <n v="3.3"/>
    <m/>
    <n v="10"/>
    <s v="Yes"/>
    <s v="Yes"/>
    <n v="0"/>
    <n v="5.4"/>
    <n v="5.7"/>
    <n v="1.8"/>
    <n v="7.2"/>
    <n v="4.7"/>
    <n v="7.9"/>
    <n v="3.3"/>
    <n v="4.0999999999999996"/>
    <n v="1.9"/>
    <n v="5.3"/>
    <s v="High"/>
    <x v="1"/>
  </r>
  <r>
    <x v="153"/>
    <n v="19"/>
    <x v="1"/>
    <x v="1"/>
    <s v="Single"/>
    <x v="1"/>
    <n v="5"/>
    <n v="6"/>
    <n v="5"/>
    <s v="No"/>
    <s v="After 30 min"/>
    <n v="17"/>
    <n v="1.2"/>
    <n v="4.7"/>
    <n v="7.7"/>
    <n v="7.7"/>
    <s v="No"/>
    <s v="No"/>
    <n v="6.9"/>
    <n v="3.2"/>
    <n v="6.3"/>
    <n v="4.5999999999999996"/>
    <n v="5.4"/>
    <n v="5.6"/>
    <n v="6.9"/>
    <n v="6"/>
    <n v="1.7"/>
    <n v="2.4"/>
    <n v="6.9"/>
    <s v="Moderate"/>
    <x v="1"/>
  </r>
  <r>
    <x v="154"/>
    <n v="35"/>
    <x v="1"/>
    <x v="0"/>
    <s v="In a Relationship"/>
    <x v="1"/>
    <n v="6.9"/>
    <n v="2"/>
    <n v="3"/>
    <s v="No"/>
    <s v="Within 5 min"/>
    <n v="80"/>
    <n v="4.0999999999999996"/>
    <n v="5.2"/>
    <n v="6.2"/>
    <n v="6.2"/>
    <s v="Yes"/>
    <s v="No"/>
    <n v="1.3"/>
    <n v="4.2"/>
    <n v="2.9"/>
    <n v="6.1"/>
    <n v="1.8"/>
    <m/>
    <n v="5.6"/>
    <n v="5.6"/>
    <n v="4.2"/>
    <n v="2.6"/>
    <n v="7.3"/>
    <s v="Moderate"/>
    <x v="4"/>
  </r>
  <r>
    <x v="155"/>
    <n v="24"/>
    <x v="1"/>
    <x v="0"/>
    <s v="Single"/>
    <x v="5"/>
    <n v="4"/>
    <n v="2"/>
    <n v="2"/>
    <s v="Yes"/>
    <s v="5-30 min"/>
    <n v="85"/>
    <n v="4.8"/>
    <n v="5.6"/>
    <n v="5.3"/>
    <n v="6.5"/>
    <s v="No"/>
    <s v="No"/>
    <n v="4.5"/>
    <n v="4.4000000000000004"/>
    <n v="4"/>
    <m/>
    <n v="2.9"/>
    <n v="5.9"/>
    <n v="6.2"/>
    <n v="7.6"/>
    <n v="2.4"/>
    <n v="2.1"/>
    <n v="7.9"/>
    <s v="Moderate"/>
    <x v="1"/>
  </r>
  <r>
    <x v="156"/>
    <n v="24"/>
    <x v="0"/>
    <x v="1"/>
    <s v="Married"/>
    <x v="1"/>
    <n v="2.6"/>
    <n v="4"/>
    <n v="6"/>
    <s v="No"/>
    <s v="After 30 min"/>
    <n v="56"/>
    <n v="3.1"/>
    <n v="7.1"/>
    <m/>
    <n v="6.3"/>
    <s v="No"/>
    <s v="No"/>
    <n v="4.4000000000000004"/>
    <n v="6.8"/>
    <n v="8.1"/>
    <n v="6.4"/>
    <n v="7.6"/>
    <n v="6.5"/>
    <m/>
    <n v="7.6"/>
    <m/>
    <n v="4.2"/>
    <n v="7.4"/>
    <s v="Low"/>
    <x v="1"/>
  </r>
  <r>
    <x v="157"/>
    <n v="44"/>
    <x v="0"/>
    <x v="1"/>
    <s v="Married"/>
    <x v="3"/>
    <n v="0.5"/>
    <n v="1"/>
    <n v="4"/>
    <s v="No"/>
    <s v="5-30 min"/>
    <n v="113"/>
    <n v="8.9"/>
    <n v="6.9"/>
    <n v="2.6"/>
    <n v="5.9"/>
    <s v="No"/>
    <s v="Yes"/>
    <n v="4.8"/>
    <n v="8.6999999999999993"/>
    <n v="6.6"/>
    <n v="6.1"/>
    <n v="4.5999999999999996"/>
    <n v="4"/>
    <n v="3.1"/>
    <n v="4.2"/>
    <n v="4.5"/>
    <n v="3.5"/>
    <n v="5.8"/>
    <s v="High"/>
    <x v="2"/>
  </r>
  <r>
    <x v="158"/>
    <n v="41"/>
    <x v="2"/>
    <x v="1"/>
    <s v="In a Relationship"/>
    <x v="0"/>
    <n v="6.4"/>
    <n v="2"/>
    <n v="6"/>
    <s v="No"/>
    <s v="Within 5 min"/>
    <n v="22"/>
    <n v="3.6"/>
    <n v="3.4"/>
    <n v="6.6"/>
    <n v="5"/>
    <s v="Yes"/>
    <s v="No"/>
    <n v="6"/>
    <n v="7.9"/>
    <n v="3.9"/>
    <n v="5.4"/>
    <n v="3.2"/>
    <n v="4.9000000000000004"/>
    <n v="8.3000000000000007"/>
    <n v="6.4"/>
    <n v="0.4"/>
    <n v="1.7"/>
    <n v="6.8"/>
    <s v="Moderate"/>
    <x v="2"/>
  </r>
  <r>
    <x v="159"/>
    <n v="15"/>
    <x v="0"/>
    <x v="3"/>
    <s v="In a Relationship"/>
    <x v="1"/>
    <n v="4"/>
    <n v="3"/>
    <n v="5"/>
    <s v="No"/>
    <s v="Within 5 min"/>
    <n v="68"/>
    <n v="4.7"/>
    <n v="6.1"/>
    <n v="4.7"/>
    <n v="6"/>
    <s v="Yes"/>
    <s v="Yes"/>
    <n v="3.5"/>
    <n v="4.8"/>
    <n v="4.7"/>
    <n v="6.9"/>
    <n v="7.7"/>
    <n v="4.8"/>
    <n v="5.5"/>
    <n v="4.7"/>
    <n v="4.8"/>
    <n v="3.6"/>
    <n v="6"/>
    <s v="High"/>
    <x v="3"/>
  </r>
  <r>
    <x v="160"/>
    <n v="43"/>
    <x v="2"/>
    <x v="1"/>
    <s v="Married"/>
    <x v="5"/>
    <n v="7.9"/>
    <n v="2"/>
    <n v="3"/>
    <s v="No"/>
    <s v="After 30 min"/>
    <n v="33"/>
    <n v="3.9"/>
    <n v="5.4"/>
    <n v="3.4"/>
    <n v="7.5"/>
    <s v="Yes"/>
    <s v="Yes"/>
    <n v="4.9000000000000004"/>
    <n v="6.3"/>
    <n v="6.7"/>
    <n v="5.5"/>
    <n v="4.8"/>
    <n v="5.9"/>
    <n v="3.4"/>
    <n v="6.3"/>
    <n v="3.4"/>
    <n v="5.2"/>
    <n v="7.7"/>
    <s v="Low"/>
    <x v="2"/>
  </r>
  <r>
    <x v="161"/>
    <n v="37"/>
    <x v="1"/>
    <x v="3"/>
    <s v="In a Relationship"/>
    <x v="3"/>
    <n v="8.5"/>
    <n v="2"/>
    <n v="3"/>
    <s v="No"/>
    <s v="Within 5 min"/>
    <n v="10"/>
    <n v="5.9"/>
    <n v="3.2"/>
    <n v="2.9"/>
    <n v="5.2"/>
    <s v="Yes"/>
    <s v="Yes"/>
    <n v="5.2"/>
    <n v="4.9000000000000004"/>
    <n v="7.7"/>
    <n v="4.2"/>
    <n v="7.4"/>
    <n v="6.3"/>
    <n v="4.7"/>
    <n v="7.3"/>
    <m/>
    <n v="2.1"/>
    <n v="6.1"/>
    <s v="High"/>
    <x v="2"/>
  </r>
  <r>
    <x v="162"/>
    <n v="17"/>
    <x v="1"/>
    <x v="3"/>
    <s v="In a Relationship"/>
    <x v="0"/>
    <n v="8.6999999999999993"/>
    <n v="6"/>
    <n v="1"/>
    <s v="No"/>
    <s v="Within 5 min"/>
    <n v="20"/>
    <n v="4.5"/>
    <n v="5.6"/>
    <n v="4"/>
    <n v="3.5"/>
    <s v="Yes"/>
    <s v="No"/>
    <n v="5.4"/>
    <n v="1.9"/>
    <n v="2.2999999999999998"/>
    <m/>
    <n v="7.8"/>
    <n v="6"/>
    <n v="7.6"/>
    <n v="5.3"/>
    <n v="0"/>
    <n v="2"/>
    <n v="7.3"/>
    <s v="Moderate"/>
    <x v="3"/>
  </r>
  <r>
    <x v="163"/>
    <n v="27"/>
    <x v="0"/>
    <x v="1"/>
    <s v="Single"/>
    <x v="2"/>
    <n v="5.6"/>
    <n v="3"/>
    <n v="8"/>
    <s v="Yes"/>
    <s v="Within 5 min"/>
    <n v="102"/>
    <n v="5.6"/>
    <n v="4.5"/>
    <n v="3.9"/>
    <n v="3.4"/>
    <s v="Yes"/>
    <s v="No"/>
    <n v="7.8"/>
    <n v="3.3"/>
    <n v="4.8"/>
    <n v="7.1"/>
    <n v="6.7"/>
    <n v="7.2"/>
    <n v="7.6"/>
    <n v="1.3"/>
    <n v="3.8"/>
    <n v="2"/>
    <n v="5.6"/>
    <s v="High"/>
    <x v="0"/>
  </r>
  <r>
    <x v="164"/>
    <n v="21"/>
    <x v="0"/>
    <x v="3"/>
    <s v="In a Relationship"/>
    <x v="3"/>
    <n v="6.5"/>
    <n v="4"/>
    <n v="1"/>
    <s v="No"/>
    <s v="Within 5 min"/>
    <n v="91"/>
    <n v="8"/>
    <n v="7.8"/>
    <n v="5.3"/>
    <n v="6.3"/>
    <s v="Yes"/>
    <s v="Yes"/>
    <n v="6.6"/>
    <n v="1.2"/>
    <m/>
    <n v="6.6"/>
    <n v="3.1"/>
    <n v="8.1"/>
    <m/>
    <n v="5.6"/>
    <n v="5.6"/>
    <n v="4.0999999999999996"/>
    <n v="3.2"/>
    <s v="Severe"/>
    <x v="1"/>
  </r>
  <r>
    <x v="165"/>
    <n v="23"/>
    <x v="0"/>
    <x v="1"/>
    <s v="In a Relationship"/>
    <x v="4"/>
    <n v="1.6"/>
    <n v="1"/>
    <n v="1"/>
    <s v="No"/>
    <s v="Within 5 min"/>
    <n v="55"/>
    <n v="3.2"/>
    <n v="4.2"/>
    <n v="5.4"/>
    <n v="5.9"/>
    <s v="No"/>
    <s v="Yes"/>
    <n v="5.6"/>
    <n v="5.4"/>
    <n v="5.2"/>
    <n v="4"/>
    <n v="3.9"/>
    <n v="6.4"/>
    <n v="2.7"/>
    <n v="8.1"/>
    <n v="2.4"/>
    <n v="2.2000000000000002"/>
    <n v="7.2"/>
    <s v="Low"/>
    <x v="1"/>
  </r>
  <r>
    <x v="166"/>
    <n v="17"/>
    <x v="1"/>
    <x v="1"/>
    <s v="Married"/>
    <x v="5"/>
    <n v="5.5"/>
    <n v="3"/>
    <n v="4"/>
    <s v="No"/>
    <s v="After 30 min"/>
    <n v="80"/>
    <n v="5.2"/>
    <n v="1.9"/>
    <n v="6.3"/>
    <n v="4.3"/>
    <s v="Yes"/>
    <s v="Yes"/>
    <n v="7.1"/>
    <n v="5.8"/>
    <n v="4.9000000000000004"/>
    <n v="6.7"/>
    <n v="9.1999999999999993"/>
    <m/>
    <n v="6.4"/>
    <m/>
    <n v="1.9"/>
    <n v="0.1"/>
    <n v="7.7"/>
    <s v="Low"/>
    <x v="3"/>
  </r>
  <r>
    <x v="167"/>
    <n v="42"/>
    <x v="0"/>
    <x v="1"/>
    <s v="Married"/>
    <x v="4"/>
    <n v="3.8"/>
    <n v="1"/>
    <n v="0"/>
    <s v="No"/>
    <s v="Within 5 min"/>
    <n v="92"/>
    <m/>
    <n v="1.2"/>
    <n v="3.7"/>
    <n v="4.5999999999999996"/>
    <s v="No"/>
    <s v="No"/>
    <n v="7.2"/>
    <n v="4.0999999999999996"/>
    <n v="3.9"/>
    <n v="6.6"/>
    <n v="0"/>
    <n v="6"/>
    <n v="3.6"/>
    <n v="5.5"/>
    <n v="0"/>
    <n v="3.2"/>
    <n v="8.4"/>
    <s v="Low"/>
    <x v="2"/>
  </r>
  <r>
    <x v="168"/>
    <n v="25"/>
    <x v="1"/>
    <x v="1"/>
    <s v="In a Relationship"/>
    <x v="0"/>
    <n v="6.8"/>
    <n v="1"/>
    <n v="5"/>
    <s v="No"/>
    <s v="5-30 min"/>
    <n v="99"/>
    <n v="4.5999999999999996"/>
    <n v="4.5"/>
    <n v="7.6"/>
    <n v="5.7"/>
    <s v="Yes"/>
    <s v="Yes"/>
    <n v="5.8"/>
    <n v="6.6"/>
    <n v="3.8"/>
    <n v="1.7"/>
    <n v="5.8"/>
    <n v="5.4"/>
    <n v="4.9000000000000004"/>
    <n v="7.2"/>
    <n v="4.8"/>
    <n v="4"/>
    <n v="5.2"/>
    <s v="Severe"/>
    <x v="0"/>
  </r>
  <r>
    <x v="169"/>
    <n v="29"/>
    <x v="0"/>
    <x v="4"/>
    <s v="Married"/>
    <x v="4"/>
    <n v="3.4"/>
    <n v="2"/>
    <n v="2"/>
    <s v="Yes"/>
    <s v="After 30 min"/>
    <n v="36"/>
    <n v="2.5"/>
    <n v="3.9"/>
    <n v="5.4"/>
    <n v="2.1"/>
    <s v="No"/>
    <s v="No"/>
    <n v="2.1"/>
    <n v="0.2"/>
    <n v="2.2999999999999998"/>
    <n v="7"/>
    <n v="9.6999999999999993"/>
    <n v="6"/>
    <n v="9.1999999999999993"/>
    <n v="4.3"/>
    <n v="0.2"/>
    <n v="3"/>
    <n v="8.5"/>
    <s v="Low"/>
    <x v="0"/>
  </r>
  <r>
    <x v="170"/>
    <n v="35"/>
    <x v="1"/>
    <x v="0"/>
    <s v="In a Relationship"/>
    <x v="1"/>
    <n v="4"/>
    <n v="2"/>
    <n v="4"/>
    <s v="Yes"/>
    <s v="5-30 min"/>
    <n v="49"/>
    <n v="7.9"/>
    <n v="2.9"/>
    <n v="5.9"/>
    <n v="5.4"/>
    <s v="Yes"/>
    <s v="No"/>
    <n v="6.3"/>
    <n v="1.2"/>
    <n v="5.5"/>
    <n v="5.7"/>
    <n v="8.4"/>
    <n v="7.6"/>
    <n v="4.8"/>
    <n v="7.7"/>
    <n v="0"/>
    <n v="3.3"/>
    <n v="7.5"/>
    <s v="Moderate"/>
    <x v="4"/>
  </r>
  <r>
    <x v="171"/>
    <n v="32"/>
    <x v="1"/>
    <x v="3"/>
    <s v="In a Relationship"/>
    <x v="5"/>
    <n v="2.7"/>
    <n v="4"/>
    <n v="4"/>
    <s v="Yes"/>
    <s v="Within 5 min"/>
    <n v="5"/>
    <n v="3.1"/>
    <n v="4.5"/>
    <m/>
    <n v="8.1"/>
    <s v="Yes"/>
    <s v="Yes"/>
    <n v="2.8"/>
    <n v="7.9"/>
    <n v="4.9000000000000004"/>
    <n v="5.4"/>
    <n v="4.7"/>
    <n v="6.8"/>
    <n v="6.5"/>
    <n v="5.7"/>
    <m/>
    <n v="3.1"/>
    <n v="5.9"/>
    <s v="High"/>
    <x v="0"/>
  </r>
  <r>
    <x v="172"/>
    <n v="44"/>
    <x v="1"/>
    <x v="1"/>
    <s v="Single"/>
    <x v="0"/>
    <n v="8.5"/>
    <n v="3"/>
    <n v="6"/>
    <s v="Yes"/>
    <s v="5-30 min"/>
    <n v="37"/>
    <n v="2.5"/>
    <n v="5.0999999999999996"/>
    <n v="5.4"/>
    <n v="4.0999999999999996"/>
    <s v="Yes"/>
    <s v="Yes"/>
    <n v="5.3"/>
    <n v="5.0999999999999996"/>
    <n v="5.3"/>
    <n v="3.3"/>
    <n v="7"/>
    <n v="6.8"/>
    <n v="5.3"/>
    <n v="3.4"/>
    <n v="1.6"/>
    <n v="1.5"/>
    <n v="5.9"/>
    <s v="Severe"/>
    <x v="2"/>
  </r>
  <r>
    <x v="173"/>
    <n v="21"/>
    <x v="0"/>
    <x v="1"/>
    <s v="Married"/>
    <x v="1"/>
    <n v="4.8"/>
    <n v="4"/>
    <n v="2"/>
    <s v="Yes"/>
    <s v="Within 5 min"/>
    <n v="81"/>
    <n v="3.8"/>
    <n v="4.2"/>
    <n v="2.7"/>
    <n v="2.2999999999999998"/>
    <s v="No"/>
    <s v="No"/>
    <n v="3.7"/>
    <n v="5"/>
    <n v="3.1"/>
    <n v="5.3"/>
    <n v="0.2"/>
    <n v="4.5999999999999996"/>
    <n v="9.8000000000000007"/>
    <n v="7.2"/>
    <n v="5.3"/>
    <n v="2"/>
    <n v="6"/>
    <s v="Moderate"/>
    <x v="1"/>
  </r>
  <r>
    <x v="174"/>
    <n v="25"/>
    <x v="3"/>
    <x v="2"/>
    <s v="Single"/>
    <x v="3"/>
    <n v="2.4"/>
    <n v="3"/>
    <n v="8"/>
    <s v="No"/>
    <s v="5-30 min"/>
    <n v="52"/>
    <n v="5"/>
    <n v="3.8"/>
    <n v="5.2"/>
    <n v="6"/>
    <s v="Yes"/>
    <s v="No"/>
    <n v="5.2"/>
    <n v="5.5"/>
    <n v="5.0999999999999996"/>
    <n v="4.7"/>
    <n v="4.0999999999999996"/>
    <n v="4.7"/>
    <n v="4.9000000000000004"/>
    <n v="3.9"/>
    <n v="3.7"/>
    <n v="4.4000000000000004"/>
    <n v="6.2"/>
    <s v="Moderate"/>
    <x v="0"/>
  </r>
  <r>
    <x v="175"/>
    <n v="32"/>
    <x v="0"/>
    <x v="1"/>
    <s v="Single"/>
    <x v="0"/>
    <n v="3.7"/>
    <n v="4"/>
    <n v="4"/>
    <s v="Yes"/>
    <s v="Within 5 min"/>
    <n v="76"/>
    <n v="0.5"/>
    <n v="2.2999999999999998"/>
    <n v="3.8"/>
    <n v="5.8"/>
    <s v="No"/>
    <s v="No"/>
    <n v="5.3"/>
    <n v="3.5"/>
    <n v="4.8"/>
    <n v="3.5"/>
    <n v="7.1"/>
    <n v="6.5"/>
    <n v="2.5"/>
    <n v="9.3000000000000007"/>
    <n v="0.3"/>
    <n v="1.4"/>
    <n v="7.5"/>
    <s v="Low"/>
    <x v="0"/>
  </r>
  <r>
    <x v="176"/>
    <n v="20"/>
    <x v="0"/>
    <x v="0"/>
    <s v="In a Relationship"/>
    <x v="1"/>
    <n v="1.7"/>
    <n v="3"/>
    <n v="6"/>
    <s v="Yes"/>
    <s v="Within 5 min"/>
    <n v="117"/>
    <n v="2.4"/>
    <n v="4.9000000000000004"/>
    <n v="1.8"/>
    <n v="6.9"/>
    <s v="Yes"/>
    <s v="No"/>
    <m/>
    <n v="1.6"/>
    <n v="6"/>
    <n v="3.5"/>
    <m/>
    <n v="6.7"/>
    <n v="6.2"/>
    <n v="5.7"/>
    <n v="5.9"/>
    <n v="5.4"/>
    <n v="7.4"/>
    <s v="Moderate"/>
    <x v="1"/>
  </r>
  <r>
    <x v="177"/>
    <n v="30"/>
    <x v="1"/>
    <x v="0"/>
    <s v="In a Relationship"/>
    <x v="1"/>
    <n v="7.2"/>
    <n v="3"/>
    <n v="2"/>
    <s v="No"/>
    <s v="Within 5 min"/>
    <n v="43"/>
    <n v="4"/>
    <n v="5.9"/>
    <n v="4.7"/>
    <n v="7.4"/>
    <s v="Yes"/>
    <s v="No"/>
    <n v="2.2000000000000002"/>
    <n v="2"/>
    <n v="3.8"/>
    <n v="3.1"/>
    <n v="5.3"/>
    <n v="7.9"/>
    <n v="1.8"/>
    <n v="5.8"/>
    <n v="4.5999999999999996"/>
    <n v="1.6"/>
    <n v="5.4"/>
    <s v="High"/>
    <x v="0"/>
  </r>
  <r>
    <x v="178"/>
    <n v="32"/>
    <x v="1"/>
    <x v="0"/>
    <s v="In a Relationship"/>
    <x v="0"/>
    <n v="7.2"/>
    <n v="5"/>
    <n v="6"/>
    <s v="Yes"/>
    <s v="After 30 min"/>
    <n v="93"/>
    <n v="5.7"/>
    <n v="6.9"/>
    <n v="9.6"/>
    <n v="5.0999999999999996"/>
    <s v="No"/>
    <s v="No"/>
    <n v="10"/>
    <n v="6.1"/>
    <n v="3.2"/>
    <n v="6.7"/>
    <n v="7"/>
    <n v="6.9"/>
    <n v="4.9000000000000004"/>
    <n v="7.7"/>
    <n v="5.9"/>
    <n v="0.6"/>
    <n v="5.5"/>
    <s v="High"/>
    <x v="0"/>
  </r>
  <r>
    <x v="179"/>
    <n v="37"/>
    <x v="1"/>
    <x v="1"/>
    <s v="Single"/>
    <x v="5"/>
    <n v="4.9000000000000004"/>
    <n v="3"/>
    <n v="2"/>
    <s v="Yes"/>
    <s v="After 30 min"/>
    <n v="108"/>
    <n v="4.2"/>
    <n v="5.4"/>
    <n v="6.7"/>
    <n v="3"/>
    <s v="Yes"/>
    <s v="No"/>
    <n v="7.9"/>
    <n v="6"/>
    <m/>
    <n v="6.9"/>
    <n v="4.3"/>
    <n v="8.6999999999999993"/>
    <n v="2.2000000000000002"/>
    <n v="7.3"/>
    <n v="2.6"/>
    <n v="3.6"/>
    <n v="8"/>
    <s v="Low"/>
    <x v="2"/>
  </r>
  <r>
    <x v="180"/>
    <n v="27"/>
    <x v="0"/>
    <x v="1"/>
    <s v="Married"/>
    <x v="3"/>
    <n v="5.2"/>
    <n v="3"/>
    <n v="10"/>
    <s v="Yes"/>
    <s v="After 30 min"/>
    <n v="55"/>
    <n v="4.3"/>
    <n v="5.4"/>
    <n v="3.5"/>
    <n v="6.2"/>
    <s v="No"/>
    <s v="Yes"/>
    <m/>
    <m/>
    <n v="4.0999999999999996"/>
    <n v="5"/>
    <n v="3.5"/>
    <m/>
    <n v="3.5"/>
    <n v="5.3"/>
    <n v="3.6"/>
    <n v="4.2"/>
    <n v="5.0999999999999996"/>
    <s v="High"/>
    <x v="0"/>
  </r>
  <r>
    <x v="181"/>
    <n v="24"/>
    <x v="0"/>
    <x v="1"/>
    <s v="Single"/>
    <x v="4"/>
    <n v="1.4"/>
    <n v="5"/>
    <n v="7"/>
    <s v="No"/>
    <s v="Within 5 min"/>
    <n v="110"/>
    <n v="2.6"/>
    <n v="7.6"/>
    <n v="3.2"/>
    <n v="2.2000000000000002"/>
    <s v="Yes"/>
    <s v="Yes"/>
    <n v="4"/>
    <n v="4.5"/>
    <n v="6.4"/>
    <n v="5.7"/>
    <n v="3.9"/>
    <n v="4.0999999999999996"/>
    <n v="3.2"/>
    <n v="4.9000000000000004"/>
    <n v="5.0999999999999996"/>
    <n v="1.3"/>
    <n v="7"/>
    <s v="Moderate"/>
    <x v="1"/>
  </r>
  <r>
    <x v="182"/>
    <n v="23"/>
    <x v="2"/>
    <x v="0"/>
    <s v="Married"/>
    <x v="1"/>
    <n v="7.9"/>
    <n v="8"/>
    <n v="3"/>
    <s v="Yes"/>
    <s v="Within 5 min"/>
    <n v="98"/>
    <n v="1.1000000000000001"/>
    <n v="5.4"/>
    <m/>
    <n v="6.5"/>
    <s v="Yes"/>
    <s v="No"/>
    <n v="7.2"/>
    <n v="6.2"/>
    <n v="2.8"/>
    <n v="6.6"/>
    <n v="2.5"/>
    <n v="6.2"/>
    <n v="5.6"/>
    <n v="7.2"/>
    <n v="2.8"/>
    <n v="4.3"/>
    <n v="4.4000000000000004"/>
    <s v="Severe"/>
    <x v="1"/>
  </r>
  <r>
    <x v="183"/>
    <n v="43"/>
    <x v="2"/>
    <x v="0"/>
    <s v="Married"/>
    <x v="2"/>
    <n v="4.4000000000000004"/>
    <n v="3"/>
    <n v="3"/>
    <s v="No"/>
    <s v="After 30 min"/>
    <n v="103"/>
    <n v="0.8"/>
    <n v="6"/>
    <n v="5.3"/>
    <n v="6.4"/>
    <s v="Yes"/>
    <s v="Yes"/>
    <n v="6"/>
    <n v="9.5"/>
    <n v="5.5"/>
    <n v="1.6"/>
    <m/>
    <n v="8.1999999999999993"/>
    <n v="1.1000000000000001"/>
    <n v="3.4"/>
    <n v="4.5999999999999996"/>
    <n v="1.7"/>
    <n v="7.8"/>
    <s v="Moderate"/>
    <x v="2"/>
  </r>
  <r>
    <x v="184"/>
    <n v="37"/>
    <x v="0"/>
    <x v="3"/>
    <s v="Single"/>
    <x v="5"/>
    <n v="9"/>
    <n v="1"/>
    <n v="6"/>
    <s v="Yes"/>
    <s v="Within 5 min"/>
    <n v="97"/>
    <n v="6.4"/>
    <n v="7"/>
    <n v="7"/>
    <n v="10"/>
    <s v="Yes"/>
    <s v="No"/>
    <n v="5.9"/>
    <n v="8.3000000000000007"/>
    <n v="6"/>
    <n v="6.4"/>
    <n v="4"/>
    <n v="5.8"/>
    <n v="5.7"/>
    <n v="5.2"/>
    <n v="0.2"/>
    <n v="5"/>
    <n v="4.3"/>
    <s v="Severe"/>
    <x v="2"/>
  </r>
  <r>
    <x v="185"/>
    <n v="30"/>
    <x v="1"/>
    <x v="0"/>
    <s v="Single"/>
    <x v="0"/>
    <n v="3.3"/>
    <n v="2"/>
    <n v="5"/>
    <s v="No"/>
    <s v="Within 5 min"/>
    <n v="126"/>
    <n v="5.9"/>
    <n v="8"/>
    <n v="2"/>
    <n v="3.3"/>
    <s v="Yes"/>
    <s v="No"/>
    <n v="6.6"/>
    <n v="6"/>
    <n v="5.2"/>
    <n v="4.9000000000000004"/>
    <n v="5.0999999999999996"/>
    <n v="6.1"/>
    <n v="5.7"/>
    <n v="6.2"/>
    <n v="2.6"/>
    <n v="3.4"/>
    <n v="6.1"/>
    <s v="Moderate"/>
    <x v="0"/>
  </r>
  <r>
    <x v="186"/>
    <n v="20"/>
    <x v="1"/>
    <x v="1"/>
    <s v="Married"/>
    <x v="3"/>
    <n v="5.6"/>
    <n v="1"/>
    <n v="2"/>
    <s v="No"/>
    <s v="5-30 min"/>
    <n v="65"/>
    <n v="7"/>
    <n v="3.6"/>
    <n v="5.0999999999999996"/>
    <n v="2.4"/>
    <s v="Yes"/>
    <s v="Yes"/>
    <n v="5.9"/>
    <n v="6"/>
    <n v="6.5"/>
    <n v="3"/>
    <n v="0.8"/>
    <n v="6.1"/>
    <n v="4.2"/>
    <n v="2.8"/>
    <n v="3.1"/>
    <n v="2.4"/>
    <n v="6"/>
    <s v="High"/>
    <x v="1"/>
  </r>
  <r>
    <x v="187"/>
    <n v="24"/>
    <x v="0"/>
    <x v="3"/>
    <s v="Single"/>
    <x v="1"/>
    <n v="6.4"/>
    <n v="3"/>
    <n v="6"/>
    <s v="Yes"/>
    <s v="5-30 min"/>
    <n v="31"/>
    <n v="6"/>
    <n v="3.1"/>
    <n v="5.3"/>
    <n v="2.9"/>
    <s v="Yes"/>
    <s v="No"/>
    <m/>
    <n v="3.4"/>
    <n v="3.6"/>
    <n v="5.2"/>
    <n v="6.6"/>
    <n v="7.5"/>
    <n v="6.5"/>
    <n v="4.3"/>
    <n v="2.9"/>
    <n v="2.2999999999999998"/>
    <n v="6.9"/>
    <s v="Moderate"/>
    <x v="1"/>
  </r>
  <r>
    <x v="188"/>
    <n v="38"/>
    <x v="1"/>
    <x v="1"/>
    <s v="Single"/>
    <x v="2"/>
    <n v="6.3"/>
    <n v="5"/>
    <n v="6"/>
    <s v="No"/>
    <s v="Within 5 min"/>
    <n v="64"/>
    <n v="5.2"/>
    <n v="7.1"/>
    <n v="6.6"/>
    <n v="3.8"/>
    <s v="Yes"/>
    <s v="No"/>
    <n v="9.4"/>
    <n v="4.8"/>
    <n v="4.7"/>
    <n v="4.8"/>
    <m/>
    <n v="7"/>
    <n v="1.1000000000000001"/>
    <n v="4.7"/>
    <n v="4.3"/>
    <n v="3.4"/>
    <n v="6.7"/>
    <s v="Moderate"/>
    <x v="2"/>
  </r>
  <r>
    <x v="189"/>
    <n v="36"/>
    <x v="0"/>
    <x v="1"/>
    <s v="Single"/>
    <x v="3"/>
    <n v="4.3"/>
    <n v="2"/>
    <n v="4"/>
    <s v="No"/>
    <s v="Within 5 min"/>
    <n v="84"/>
    <n v="2.4"/>
    <n v="6.8"/>
    <n v="2.8"/>
    <n v="2.6"/>
    <s v="No"/>
    <s v="Yes"/>
    <n v="0.1"/>
    <n v="1.4"/>
    <n v="3.7"/>
    <n v="4"/>
    <n v="4.0999999999999996"/>
    <n v="6.7"/>
    <n v="7.5"/>
    <n v="7.2"/>
    <n v="5.7"/>
    <n v="4.2"/>
    <n v="6.5"/>
    <s v="Moderate"/>
    <x v="2"/>
  </r>
  <r>
    <x v="190"/>
    <n v="19"/>
    <x v="0"/>
    <x v="1"/>
    <s v="Single"/>
    <x v="2"/>
    <n v="6.9"/>
    <n v="3"/>
    <n v="4"/>
    <s v="No"/>
    <s v="Within 5 min"/>
    <n v="116"/>
    <n v="5.7"/>
    <n v="5.7"/>
    <n v="5.4"/>
    <n v="7"/>
    <s v="No"/>
    <s v="No"/>
    <n v="1.5"/>
    <n v="2.4"/>
    <n v="1"/>
    <n v="3"/>
    <n v="3.9"/>
    <n v="6.1"/>
    <n v="4.9000000000000004"/>
    <n v="4.5"/>
    <n v="2.6"/>
    <n v="4.2"/>
    <n v="5.2"/>
    <s v="Moderate"/>
    <x v="1"/>
  </r>
  <r>
    <x v="191"/>
    <n v="42"/>
    <x v="3"/>
    <x v="1"/>
    <s v="Single"/>
    <x v="1"/>
    <n v="5.4"/>
    <n v="5"/>
    <n v="4"/>
    <m/>
    <s v="After 30 min"/>
    <n v="76"/>
    <n v="8.6"/>
    <n v="5.9"/>
    <n v="8"/>
    <n v="6.5"/>
    <s v="Yes"/>
    <s v="No"/>
    <n v="6.8"/>
    <n v="2.4"/>
    <n v="3.1"/>
    <n v="7.5"/>
    <n v="7.3"/>
    <n v="5.8"/>
    <n v="4.0999999999999996"/>
    <n v="3.6"/>
    <n v="4.3"/>
    <n v="1.7"/>
    <n v="6.9"/>
    <s v="Moderate"/>
    <x v="2"/>
  </r>
  <r>
    <x v="192"/>
    <n v="27"/>
    <x v="1"/>
    <x v="0"/>
    <s v="Single"/>
    <x v="3"/>
    <n v="4.5999999999999996"/>
    <n v="3"/>
    <n v="3"/>
    <s v="Yes"/>
    <s v="Within 5 min"/>
    <n v="165"/>
    <n v="3"/>
    <n v="8.9"/>
    <n v="6"/>
    <n v="9"/>
    <s v="No"/>
    <s v="Yes"/>
    <n v="5.6"/>
    <n v="7.1"/>
    <n v="3.5"/>
    <n v="0.9"/>
    <n v="4.0999999999999996"/>
    <n v="7.2"/>
    <n v="4"/>
    <n v="4.3"/>
    <n v="1.1000000000000001"/>
    <n v="1.9"/>
    <n v="1.5"/>
    <s v="Severe"/>
    <x v="0"/>
  </r>
  <r>
    <x v="193"/>
    <n v="24"/>
    <x v="0"/>
    <x v="2"/>
    <s v="Married"/>
    <x v="4"/>
    <n v="2.2999999999999998"/>
    <n v="2"/>
    <n v="3"/>
    <s v="No"/>
    <s v="5-30 min"/>
    <n v="48"/>
    <n v="5.2"/>
    <n v="7"/>
    <n v="7.9"/>
    <n v="5.0999999999999996"/>
    <s v="Yes"/>
    <s v="No"/>
    <n v="1.1000000000000001"/>
    <m/>
    <n v="0.7"/>
    <n v="2.2999999999999998"/>
    <n v="8.6"/>
    <n v="5.3"/>
    <n v="6.2"/>
    <n v="7.7"/>
    <n v="2.2000000000000002"/>
    <n v="3.9"/>
    <n v="7.8"/>
    <s v="Low"/>
    <x v="1"/>
  </r>
  <r>
    <x v="194"/>
    <n v="26"/>
    <x v="1"/>
    <x v="0"/>
    <m/>
    <x v="1"/>
    <n v="7.3"/>
    <n v="3"/>
    <n v="4"/>
    <s v="Yes"/>
    <s v="5-30 min"/>
    <n v="5"/>
    <n v="2.5"/>
    <n v="10"/>
    <n v="5.4"/>
    <n v="7.7"/>
    <s v="No"/>
    <s v="No"/>
    <n v="2.7"/>
    <n v="5"/>
    <n v="5.7"/>
    <n v="4.3"/>
    <m/>
    <n v="6.6"/>
    <n v="3.1"/>
    <n v="4.5"/>
    <n v="3.7"/>
    <n v="2.8"/>
    <n v="5.9"/>
    <s v="Moderate"/>
    <x v="0"/>
  </r>
  <r>
    <x v="195"/>
    <n v="21"/>
    <x v="0"/>
    <x v="1"/>
    <s v="Single"/>
    <x v="1"/>
    <n v="4.5999999999999996"/>
    <n v="2"/>
    <n v="2"/>
    <s v="Yes"/>
    <s v="After 30 min"/>
    <n v="54"/>
    <n v="3.5"/>
    <n v="5.4"/>
    <n v="7"/>
    <n v="4.9000000000000004"/>
    <s v="Yes"/>
    <s v="No"/>
    <n v="4.0999999999999996"/>
    <m/>
    <n v="2.6"/>
    <n v="3.8"/>
    <n v="4.7"/>
    <n v="7"/>
    <n v="5.0999999999999996"/>
    <n v="4.4000000000000004"/>
    <n v="2.6"/>
    <n v="6.2"/>
    <n v="7.8"/>
    <s v="Low"/>
    <x v="1"/>
  </r>
  <r>
    <x v="196"/>
    <n v="39"/>
    <x v="2"/>
    <x v="3"/>
    <s v="Married"/>
    <x v="3"/>
    <n v="5.6"/>
    <n v="1"/>
    <n v="2"/>
    <s v="No"/>
    <s v="5-30 min"/>
    <n v="52"/>
    <n v="2.4"/>
    <n v="5.6"/>
    <n v="5.6"/>
    <n v="6.6"/>
    <s v="Yes"/>
    <s v="Yes"/>
    <n v="6.8"/>
    <n v="4.5"/>
    <n v="0.6"/>
    <n v="5.3"/>
    <n v="6.9"/>
    <n v="5.4"/>
    <n v="4.5999999999999996"/>
    <n v="6.8"/>
    <n v="4.7"/>
    <m/>
    <n v="7.6"/>
    <s v="Moderate"/>
    <x v="2"/>
  </r>
  <r>
    <x v="197"/>
    <n v="16"/>
    <x v="1"/>
    <x v="1"/>
    <s v="In a Relationship"/>
    <x v="4"/>
    <n v="4.4000000000000004"/>
    <n v="7"/>
    <n v="4"/>
    <s v="No"/>
    <s v="Within 5 min"/>
    <n v="94"/>
    <n v="6.4"/>
    <n v="7.2"/>
    <m/>
    <n v="4.5999999999999996"/>
    <s v="Yes"/>
    <s v="Yes"/>
    <n v="4.7"/>
    <m/>
    <n v="1.8"/>
    <n v="7.4"/>
    <n v="6.9"/>
    <n v="8.1999999999999993"/>
    <n v="4.4000000000000004"/>
    <n v="5.9"/>
    <n v="6.6"/>
    <n v="2.2999999999999998"/>
    <n v="6"/>
    <s v="Moderate"/>
    <x v="3"/>
  </r>
  <r>
    <x v="198"/>
    <n v="36"/>
    <x v="1"/>
    <x v="1"/>
    <s v="Single"/>
    <x v="3"/>
    <n v="5.3"/>
    <n v="2"/>
    <n v="7"/>
    <s v="No"/>
    <s v="Within 5 min"/>
    <n v="60"/>
    <m/>
    <n v="5.6"/>
    <n v="5.7"/>
    <n v="4.4000000000000004"/>
    <s v="No"/>
    <s v="No"/>
    <n v="1.4"/>
    <n v="2.8"/>
    <n v="7.9"/>
    <n v="3.2"/>
    <n v="4.2"/>
    <n v="6.2"/>
    <n v="3.6"/>
    <n v="5.8"/>
    <n v="2.2000000000000002"/>
    <n v="3.9"/>
    <n v="6.2"/>
    <s v="Moderate"/>
    <x v="2"/>
  </r>
  <r>
    <x v="199"/>
    <n v="36"/>
    <x v="0"/>
    <x v="1"/>
    <s v="In a Relationship"/>
    <x v="0"/>
    <n v="3.7"/>
    <n v="3"/>
    <n v="3"/>
    <s v="Yes"/>
    <s v="5-30 min"/>
    <n v="76"/>
    <n v="4.0999999999999996"/>
    <n v="4.0999999999999996"/>
    <n v="4.7"/>
    <n v="0.6"/>
    <s v="Yes"/>
    <s v="No"/>
    <n v="7.3"/>
    <n v="3.1"/>
    <n v="5.5"/>
    <n v="7.4"/>
    <n v="6.2"/>
    <n v="10"/>
    <n v="6.8"/>
    <n v="4.5"/>
    <n v="0"/>
    <n v="3.4"/>
    <n v="7.5"/>
    <s v="Low"/>
    <x v="2"/>
  </r>
  <r>
    <x v="200"/>
    <n v="26"/>
    <x v="0"/>
    <x v="3"/>
    <s v="Married"/>
    <x v="0"/>
    <n v="10.1"/>
    <n v="4"/>
    <n v="2"/>
    <s v="Yes"/>
    <s v="Within 5 min"/>
    <n v="75"/>
    <n v="4.0999999999999996"/>
    <n v="5"/>
    <n v="4.5"/>
    <n v="7"/>
    <s v="Yes"/>
    <s v="Yes"/>
    <n v="7.5"/>
    <n v="7.4"/>
    <n v="5.0999999999999996"/>
    <n v="4.0999999999999996"/>
    <n v="2.6"/>
    <n v="5.5"/>
    <n v="3.4"/>
    <n v="3.3"/>
    <n v="4.7"/>
    <n v="1"/>
    <n v="3.5"/>
    <s v="Severe"/>
    <x v="0"/>
  </r>
  <r>
    <x v="201"/>
    <n v="43"/>
    <x v="1"/>
    <x v="0"/>
    <s v="Single"/>
    <x v="1"/>
    <n v="8.5"/>
    <n v="3"/>
    <n v="1"/>
    <s v="Yes"/>
    <s v="Within 5 min"/>
    <n v="79"/>
    <n v="3.1"/>
    <n v="2.8"/>
    <n v="0"/>
    <n v="5.4"/>
    <s v="Yes"/>
    <s v="No"/>
    <n v="6.8"/>
    <n v="4.5"/>
    <n v="5.4"/>
    <n v="8.5"/>
    <n v="7.8"/>
    <n v="6.7"/>
    <n v="1.7"/>
    <n v="2.6"/>
    <n v="4"/>
    <n v="1.5"/>
    <n v="7.7"/>
    <s v="Low"/>
    <x v="2"/>
  </r>
  <r>
    <x v="202"/>
    <n v="39"/>
    <x v="0"/>
    <x v="3"/>
    <s v="Single"/>
    <x v="1"/>
    <n v="6"/>
    <n v="4"/>
    <n v="8"/>
    <s v="Yes"/>
    <s v="Within 5 min"/>
    <n v="24"/>
    <n v="6.8"/>
    <n v="4.0999999999999996"/>
    <n v="4.9000000000000004"/>
    <n v="6.8"/>
    <s v="Yes"/>
    <s v="Yes"/>
    <n v="6.8"/>
    <n v="5.8"/>
    <n v="5.5"/>
    <n v="9.6999999999999993"/>
    <n v="7.2"/>
    <n v="4"/>
    <n v="1.7"/>
    <n v="2.2999999999999998"/>
    <n v="1.3"/>
    <n v="1.7"/>
    <n v="3.7"/>
    <s v="Severe"/>
    <x v="2"/>
  </r>
  <r>
    <x v="203"/>
    <n v="34"/>
    <x v="1"/>
    <x v="0"/>
    <s v="Single"/>
    <x v="3"/>
    <n v="5.0999999999999996"/>
    <n v="5"/>
    <n v="2"/>
    <s v="No"/>
    <s v="After 30 min"/>
    <n v="20"/>
    <n v="4.9000000000000004"/>
    <n v="4.0999999999999996"/>
    <n v="4.5999999999999996"/>
    <n v="0.6"/>
    <s v="No"/>
    <s v="No"/>
    <n v="4"/>
    <n v="9.1"/>
    <n v="6.2"/>
    <n v="5.3"/>
    <n v="2.7"/>
    <n v="7.4"/>
    <n v="2.4"/>
    <n v="5.5"/>
    <n v="1.5"/>
    <n v="4.9000000000000004"/>
    <n v="8"/>
    <s v="Low"/>
    <x v="0"/>
  </r>
  <r>
    <x v="204"/>
    <n v="38"/>
    <x v="0"/>
    <x v="0"/>
    <s v="Married"/>
    <x v="1"/>
    <n v="6"/>
    <n v="3"/>
    <n v="5"/>
    <s v="Yes"/>
    <s v="5-30 min"/>
    <n v="72"/>
    <n v="5.2"/>
    <n v="4.9000000000000004"/>
    <n v="3.3"/>
    <n v="8.5"/>
    <s v="Yes"/>
    <s v="No"/>
    <n v="4.5999999999999996"/>
    <n v="0.8"/>
    <n v="4.0999999999999996"/>
    <n v="4.9000000000000004"/>
    <n v="5.3"/>
    <n v="6.6"/>
    <n v="5"/>
    <n v="5"/>
    <n v="3.4"/>
    <n v="2.8"/>
    <n v="5.4"/>
    <s v="High"/>
    <x v="2"/>
  </r>
  <r>
    <x v="205"/>
    <n v="38"/>
    <x v="0"/>
    <x v="3"/>
    <s v="Single"/>
    <x v="0"/>
    <n v="2.7"/>
    <n v="1"/>
    <n v="2"/>
    <s v="No"/>
    <s v="5-30 min"/>
    <n v="62"/>
    <n v="5.8"/>
    <n v="5.8"/>
    <n v="4.5"/>
    <n v="6.8"/>
    <s v="Yes"/>
    <s v="No"/>
    <n v="2.2999999999999998"/>
    <n v="4.5999999999999996"/>
    <n v="4.9000000000000004"/>
    <n v="6.5"/>
    <n v="8.5"/>
    <n v="6.5"/>
    <n v="5.9"/>
    <n v="9.9"/>
    <n v="3.1"/>
    <n v="1.9"/>
    <n v="7.7"/>
    <s v="Low"/>
    <x v="2"/>
  </r>
  <r>
    <x v="206"/>
    <n v="40"/>
    <x v="0"/>
    <x v="1"/>
    <s v="Married"/>
    <x v="3"/>
    <n v="5.8"/>
    <n v="7"/>
    <n v="6"/>
    <s v="Yes"/>
    <s v="Within 5 min"/>
    <n v="79"/>
    <n v="8.1"/>
    <n v="5.9"/>
    <n v="3.5"/>
    <n v="4.8"/>
    <s v="Yes"/>
    <s v="No"/>
    <n v="4.5"/>
    <n v="3.4"/>
    <n v="0.4"/>
    <n v="4.5"/>
    <n v="6.6"/>
    <n v="4.0999999999999996"/>
    <n v="3.1"/>
    <n v="5.0999999999999996"/>
    <n v="2.7"/>
    <n v="4.7"/>
    <n v="5"/>
    <s v="Severe"/>
    <x v="2"/>
  </r>
  <r>
    <x v="207"/>
    <n v="27"/>
    <x v="1"/>
    <x v="1"/>
    <s v="Single"/>
    <x v="0"/>
    <n v="4.3"/>
    <n v="5"/>
    <n v="4"/>
    <s v="Yes"/>
    <s v="Within 5 min"/>
    <n v="87"/>
    <n v="5.6"/>
    <n v="6.8"/>
    <n v="7.9"/>
    <n v="7.2"/>
    <s v="Yes"/>
    <s v="No"/>
    <n v="4.7"/>
    <n v="5.3"/>
    <n v="4.8"/>
    <n v="7.2"/>
    <n v="6.2"/>
    <n v="7.4"/>
    <n v="3.8"/>
    <n v="4.4000000000000004"/>
    <n v="5.0999999999999996"/>
    <n v="3.7"/>
    <n v="5.6"/>
    <s v="High"/>
    <x v="0"/>
  </r>
  <r>
    <x v="208"/>
    <n v="27"/>
    <x v="3"/>
    <x v="3"/>
    <s v="Married"/>
    <x v="4"/>
    <n v="3.6"/>
    <n v="3"/>
    <n v="3"/>
    <s v="No"/>
    <s v="5-30 min"/>
    <n v="48"/>
    <n v="6.8"/>
    <n v="6.3"/>
    <n v="6.7"/>
    <n v="7.6"/>
    <s v="No"/>
    <s v="Yes"/>
    <n v="3"/>
    <n v="4.7"/>
    <n v="5.6"/>
    <n v="3.9"/>
    <n v="6.7"/>
    <n v="6.8"/>
    <n v="3.7"/>
    <n v="7.1"/>
    <n v="3.1"/>
    <n v="4.7"/>
    <n v="6.5"/>
    <s v="Moderate"/>
    <x v="0"/>
  </r>
  <r>
    <x v="209"/>
    <n v="28"/>
    <x v="0"/>
    <x v="0"/>
    <s v="Single"/>
    <x v="4"/>
    <n v="3"/>
    <n v="7"/>
    <n v="5"/>
    <s v="Yes"/>
    <s v="Within 5 min"/>
    <n v="100"/>
    <n v="5.6"/>
    <n v="7.8"/>
    <n v="3.7"/>
    <n v="4.7"/>
    <s v="Yes"/>
    <s v="Yes"/>
    <n v="5.2"/>
    <m/>
    <n v="5.2"/>
    <n v="8.1"/>
    <n v="6.1"/>
    <n v="6.2"/>
    <n v="5.9"/>
    <n v="8"/>
    <m/>
    <n v="3.5"/>
    <n v="4.4000000000000004"/>
    <s v="Severe"/>
    <x v="0"/>
  </r>
  <r>
    <x v="210"/>
    <n v="19"/>
    <x v="1"/>
    <x v="1"/>
    <s v="In a Relationship"/>
    <x v="2"/>
    <n v="3.1"/>
    <n v="3"/>
    <n v="8"/>
    <s v="No"/>
    <s v="Within 5 min"/>
    <n v="61"/>
    <n v="8.1999999999999993"/>
    <n v="4.7"/>
    <n v="8.5"/>
    <n v="5.5"/>
    <s v="Yes"/>
    <s v="No"/>
    <n v="8.3000000000000007"/>
    <n v="2.2999999999999998"/>
    <n v="6"/>
    <n v="4.4000000000000004"/>
    <n v="4.7"/>
    <n v="7.1"/>
    <n v="4.0999999999999996"/>
    <n v="7.9"/>
    <m/>
    <n v="2.6"/>
    <n v="6.1"/>
    <s v="Moderate"/>
    <x v="1"/>
  </r>
  <r>
    <x v="211"/>
    <n v="22"/>
    <x v="0"/>
    <x v="0"/>
    <s v="In a Relationship"/>
    <x v="0"/>
    <n v="5.6"/>
    <n v="3"/>
    <n v="5"/>
    <s v="Yes"/>
    <s v="Within 5 min"/>
    <n v="75"/>
    <n v="2.5"/>
    <n v="6.6"/>
    <n v="2.2000000000000002"/>
    <n v="5.4"/>
    <s v="No"/>
    <s v="Yes"/>
    <n v="3.9"/>
    <n v="2.7"/>
    <n v="6.5"/>
    <n v="3.6"/>
    <n v="2.7"/>
    <n v="6.9"/>
    <n v="6.4"/>
    <n v="5.6"/>
    <n v="2.1"/>
    <n v="1.9"/>
    <n v="5.4"/>
    <s v="High"/>
    <x v="1"/>
  </r>
  <r>
    <x v="212"/>
    <n v="36"/>
    <x v="2"/>
    <x v="0"/>
    <s v="In a Relationship"/>
    <x v="3"/>
    <n v="4.5999999999999996"/>
    <n v="6"/>
    <n v="4"/>
    <s v="No"/>
    <s v="5-30 min"/>
    <n v="53"/>
    <n v="6.7"/>
    <n v="7.7"/>
    <n v="3.6"/>
    <n v="7.5"/>
    <s v="Yes"/>
    <s v="Yes"/>
    <n v="5"/>
    <m/>
    <n v="2.2999999999999998"/>
    <n v="4.5"/>
    <n v="2.6"/>
    <n v="6.4"/>
    <n v="5"/>
    <n v="8.5"/>
    <n v="2.9"/>
    <n v="3.4"/>
    <n v="4.5999999999999996"/>
    <s v="Severe"/>
    <x v="2"/>
  </r>
  <r>
    <x v="213"/>
    <n v="41"/>
    <x v="1"/>
    <x v="0"/>
    <s v="In a Relationship"/>
    <x v="1"/>
    <n v="2.8"/>
    <n v="1"/>
    <n v="3"/>
    <s v="Yes"/>
    <s v="After 30 min"/>
    <n v="62"/>
    <n v="5.2"/>
    <n v="6.7"/>
    <n v="5.7"/>
    <n v="4.4000000000000004"/>
    <s v="Yes"/>
    <s v="No"/>
    <n v="5.6"/>
    <n v="5"/>
    <n v="5.6"/>
    <n v="4.5999999999999996"/>
    <n v="3.5"/>
    <n v="8.1999999999999993"/>
    <n v="6.1"/>
    <n v="4.8"/>
    <n v="5.7"/>
    <n v="0.1"/>
    <n v="7.7"/>
    <s v="Moderate"/>
    <x v="2"/>
  </r>
  <r>
    <x v="214"/>
    <n v="24"/>
    <x v="0"/>
    <x v="0"/>
    <s v="Single"/>
    <x v="3"/>
    <n v="5.4"/>
    <n v="5"/>
    <n v="3"/>
    <s v="Yes"/>
    <s v="Within 5 min"/>
    <n v="62"/>
    <n v="6.5"/>
    <n v="5.6"/>
    <n v="4.2"/>
    <n v="1.6"/>
    <s v="Yes"/>
    <s v="Yes"/>
    <n v="0.2"/>
    <n v="3.5"/>
    <n v="6.6"/>
    <n v="7.4"/>
    <n v="2.1"/>
    <n v="7.6"/>
    <n v="3.8"/>
    <n v="4.3"/>
    <n v="0"/>
    <n v="3.1"/>
    <n v="4.8"/>
    <s v="Severe"/>
    <x v="1"/>
  </r>
  <r>
    <x v="215"/>
    <n v="21"/>
    <x v="1"/>
    <x v="0"/>
    <s v="Single"/>
    <x v="4"/>
    <n v="4.8"/>
    <n v="4"/>
    <n v="3"/>
    <s v="Yes"/>
    <s v="Within 5 min"/>
    <n v="118"/>
    <n v="4.5999999999999996"/>
    <n v="2"/>
    <n v="6.4"/>
    <n v="4.0999999999999996"/>
    <s v="No"/>
    <s v="No"/>
    <n v="2.7"/>
    <n v="4"/>
    <n v="3.7"/>
    <n v="10"/>
    <n v="4.7"/>
    <n v="3.7"/>
    <n v="5.3"/>
    <n v="9.1999999999999993"/>
    <n v="5.0999999999999996"/>
    <n v="3.8"/>
    <n v="8.1"/>
    <s v="Low"/>
    <x v="1"/>
  </r>
  <r>
    <x v="216"/>
    <n v="30"/>
    <x v="3"/>
    <x v="1"/>
    <s v="Single"/>
    <x v="5"/>
    <n v="4.3"/>
    <n v="5"/>
    <n v="2"/>
    <s v="No"/>
    <s v="Within 5 min"/>
    <n v="100"/>
    <n v="5.6"/>
    <n v="6.3"/>
    <n v="4.2"/>
    <n v="7.3"/>
    <s v="Yes"/>
    <s v="No"/>
    <n v="4.5"/>
    <n v="6.5"/>
    <n v="3.2"/>
    <n v="5.9"/>
    <n v="6.3"/>
    <n v="5.7"/>
    <n v="4.5999999999999996"/>
    <n v="3"/>
    <n v="4.2"/>
    <n v="2.7"/>
    <n v="6.3"/>
    <s v="Moderate"/>
    <x v="0"/>
  </r>
  <r>
    <x v="217"/>
    <n v="26"/>
    <x v="0"/>
    <x v="0"/>
    <s v="In a Relationship"/>
    <x v="1"/>
    <n v="7.7"/>
    <n v="3"/>
    <n v="3"/>
    <s v="No"/>
    <s v="After 30 min"/>
    <n v="19"/>
    <m/>
    <n v="8.9"/>
    <n v="2.7"/>
    <n v="3"/>
    <s v="No"/>
    <s v="Yes"/>
    <n v="0.3"/>
    <n v="7.1"/>
    <n v="3.6"/>
    <n v="3.5"/>
    <n v="8.4"/>
    <n v="7.1"/>
    <n v="3.9"/>
    <n v="7.4"/>
    <n v="2.7"/>
    <n v="0"/>
    <n v="7.6"/>
    <s v="Low"/>
    <x v="0"/>
  </r>
  <r>
    <x v="218"/>
    <n v="42"/>
    <x v="0"/>
    <x v="3"/>
    <s v="Married"/>
    <x v="1"/>
    <n v="4"/>
    <n v="2"/>
    <n v="4"/>
    <s v="Yes"/>
    <s v="After 30 min"/>
    <n v="58"/>
    <n v="0.9"/>
    <n v="5.8"/>
    <n v="3.7"/>
    <n v="6.4"/>
    <s v="No"/>
    <s v="No"/>
    <n v="6.4"/>
    <n v="3.8"/>
    <n v="8.6999999999999993"/>
    <n v="5.5"/>
    <n v="3.7"/>
    <n v="6.8"/>
    <n v="3.6"/>
    <n v="5"/>
    <n v="3.3"/>
    <n v="5"/>
    <n v="7.8"/>
    <s v="Low"/>
    <x v="2"/>
  </r>
  <r>
    <x v="219"/>
    <n v="33"/>
    <x v="0"/>
    <x v="3"/>
    <s v="Married"/>
    <x v="1"/>
    <n v="1.6"/>
    <n v="2"/>
    <n v="2"/>
    <m/>
    <s v="5-30 min"/>
    <n v="72"/>
    <n v="9.1999999999999993"/>
    <n v="6.5"/>
    <n v="7.8"/>
    <n v="6.9"/>
    <s v="No"/>
    <s v="Yes"/>
    <n v="2.5"/>
    <n v="5.0999999999999996"/>
    <n v="5"/>
    <n v="5.8"/>
    <n v="7.6"/>
    <n v="6.4"/>
    <n v="4.4000000000000004"/>
    <n v="7.1"/>
    <n v="3.5"/>
    <n v="5.3"/>
    <n v="5.4"/>
    <s v="Severe"/>
    <x v="0"/>
  </r>
  <r>
    <x v="220"/>
    <n v="43"/>
    <x v="1"/>
    <x v="1"/>
    <s v="In a Relationship"/>
    <x v="1"/>
    <n v="4.8"/>
    <n v="6"/>
    <n v="3"/>
    <s v="No"/>
    <s v="After 30 min"/>
    <n v="47"/>
    <n v="7.2"/>
    <n v="4.5"/>
    <n v="4.8"/>
    <n v="6.3"/>
    <s v="Yes"/>
    <s v="No"/>
    <n v="5.8"/>
    <n v="5.0999999999999996"/>
    <n v="2.7"/>
    <n v="5.7"/>
    <n v="3.6"/>
    <n v="5.4"/>
    <n v="7.5"/>
    <n v="6.2"/>
    <n v="2"/>
    <n v="0"/>
    <n v="6.7"/>
    <s v="Moderate"/>
    <x v="2"/>
  </r>
  <r>
    <x v="221"/>
    <n v="31"/>
    <x v="2"/>
    <x v="1"/>
    <s v="Married"/>
    <x v="1"/>
    <n v="2.4"/>
    <n v="2"/>
    <n v="8"/>
    <s v="Yes"/>
    <s v="Within 5 min"/>
    <n v="76"/>
    <n v="6.1"/>
    <n v="4"/>
    <n v="3.4"/>
    <n v="5.5"/>
    <s v="Yes"/>
    <s v="No"/>
    <n v="3.1"/>
    <n v="1.8"/>
    <n v="5.5"/>
    <n v="6.2"/>
    <n v="6.1"/>
    <n v="7.7"/>
    <n v="2.6"/>
    <n v="4"/>
    <n v="3.3"/>
    <n v="3.1"/>
    <n v="7.5"/>
    <s v="Low"/>
    <x v="0"/>
  </r>
  <r>
    <x v="222"/>
    <n v="20"/>
    <x v="1"/>
    <x v="1"/>
    <s v="In a Relationship"/>
    <x v="3"/>
    <n v="6.3"/>
    <n v="4"/>
    <n v="6"/>
    <s v="No"/>
    <s v="5-30 min"/>
    <n v="103"/>
    <m/>
    <n v="6.3"/>
    <n v="4.7"/>
    <n v="6.9"/>
    <s v="No"/>
    <s v="No"/>
    <m/>
    <n v="3.3"/>
    <n v="6.7"/>
    <m/>
    <n v="8.1"/>
    <n v="4.5999999999999996"/>
    <n v="4.7"/>
    <n v="6"/>
    <n v="4.0999999999999996"/>
    <n v="4.7"/>
    <n v="7"/>
    <s v="Moderate"/>
    <x v="1"/>
  </r>
  <r>
    <x v="223"/>
    <n v="18"/>
    <x v="0"/>
    <x v="1"/>
    <m/>
    <x v="3"/>
    <n v="5.8"/>
    <n v="6"/>
    <n v="0"/>
    <s v="No"/>
    <s v="Within 5 min"/>
    <n v="46"/>
    <n v="3"/>
    <n v="3.3"/>
    <n v="0.2"/>
    <n v="6"/>
    <s v="No"/>
    <s v="Yes"/>
    <n v="3.8"/>
    <n v="4.8"/>
    <n v="2.7"/>
    <n v="4.9000000000000004"/>
    <n v="3"/>
    <n v="6.7"/>
    <n v="6.6"/>
    <n v="4.7"/>
    <n v="2.5"/>
    <n v="5.4"/>
    <n v="6.9"/>
    <s v="Moderate"/>
    <x v="1"/>
  </r>
  <r>
    <x v="224"/>
    <n v="28"/>
    <x v="0"/>
    <x v="1"/>
    <s v="Married"/>
    <x v="5"/>
    <n v="3.8"/>
    <n v="2"/>
    <n v="6"/>
    <s v="No"/>
    <s v="5-30 min"/>
    <n v="41"/>
    <n v="2.4"/>
    <n v="3.8"/>
    <n v="3.3"/>
    <n v="6.9"/>
    <s v="Yes"/>
    <s v="No"/>
    <n v="2.2999999999999998"/>
    <n v="8.1999999999999993"/>
    <n v="9"/>
    <n v="6"/>
    <n v="8.3000000000000007"/>
    <n v="6.7"/>
    <n v="9.1999999999999993"/>
    <n v="7"/>
    <n v="4.3"/>
    <n v="3.5"/>
    <n v="8.8000000000000007"/>
    <s v="Low"/>
    <x v="0"/>
  </r>
  <r>
    <x v="225"/>
    <n v="15"/>
    <x v="1"/>
    <x v="1"/>
    <s v="In a Relationship"/>
    <x v="1"/>
    <n v="5.6"/>
    <n v="6"/>
    <n v="2"/>
    <s v="Yes"/>
    <s v="After 30 min"/>
    <n v="65"/>
    <n v="6.7"/>
    <n v="3.9"/>
    <n v="4"/>
    <n v="4.5"/>
    <s v="No"/>
    <s v="Yes"/>
    <n v="9.1999999999999993"/>
    <n v="2.9"/>
    <n v="8"/>
    <n v="10"/>
    <n v="4.5"/>
    <n v="8.6"/>
    <n v="2.7"/>
    <n v="3.4"/>
    <n v="3.5"/>
    <n v="2.2999999999999998"/>
    <n v="5.5"/>
    <s v="High"/>
    <x v="3"/>
  </r>
  <r>
    <x v="226"/>
    <n v="36"/>
    <x v="1"/>
    <x v="0"/>
    <s v="Single"/>
    <x v="2"/>
    <n v="3.6"/>
    <n v="3"/>
    <n v="4"/>
    <s v="Yes"/>
    <s v="Within 5 min"/>
    <n v="26"/>
    <n v="6.8"/>
    <n v="3.9"/>
    <n v="5.8"/>
    <n v="5.3"/>
    <s v="Yes"/>
    <s v="Yes"/>
    <n v="0.2"/>
    <n v="5.3"/>
    <n v="4.9000000000000004"/>
    <m/>
    <n v="8.3000000000000007"/>
    <n v="5.4"/>
    <n v="0.7"/>
    <n v="2.2999999999999998"/>
    <n v="1.3"/>
    <n v="2.1"/>
    <n v="8.1"/>
    <s v="Low"/>
    <x v="2"/>
  </r>
  <r>
    <x v="227"/>
    <n v="38"/>
    <x v="0"/>
    <x v="1"/>
    <s v="In a Relationship"/>
    <x v="0"/>
    <n v="3.5"/>
    <n v="3"/>
    <n v="6"/>
    <s v="Yes"/>
    <s v="Within 5 min"/>
    <n v="58"/>
    <n v="2.8"/>
    <n v="7.1"/>
    <n v="5.4"/>
    <n v="10"/>
    <s v="Yes"/>
    <s v="No"/>
    <n v="4.7"/>
    <n v="4"/>
    <n v="4"/>
    <n v="6.2"/>
    <n v="4.4000000000000004"/>
    <n v="7.7"/>
    <n v="5.2"/>
    <n v="4.7"/>
    <n v="3.7"/>
    <n v="0.3"/>
    <n v="5.6"/>
    <s v="High"/>
    <x v="2"/>
  </r>
  <r>
    <x v="228"/>
    <n v="16"/>
    <x v="1"/>
    <x v="0"/>
    <s v="Single"/>
    <x v="1"/>
    <n v="0.7"/>
    <n v="2"/>
    <n v="8"/>
    <s v="No"/>
    <s v="Within 5 min"/>
    <n v="61"/>
    <n v="5.5"/>
    <n v="5.0999999999999996"/>
    <n v="6.2"/>
    <n v="10"/>
    <s v="No"/>
    <s v="No"/>
    <n v="3.7"/>
    <n v="5.0999999999999996"/>
    <n v="5.0999999999999996"/>
    <n v="1"/>
    <n v="6.4"/>
    <n v="7.2"/>
    <n v="5.7"/>
    <n v="6.9"/>
    <n v="6.1"/>
    <n v="3.5"/>
    <n v="7"/>
    <s v="Moderate"/>
    <x v="3"/>
  </r>
  <r>
    <x v="229"/>
    <n v="28"/>
    <x v="2"/>
    <x v="1"/>
    <s v="Married"/>
    <x v="4"/>
    <n v="0.5"/>
    <n v="3"/>
    <n v="4"/>
    <s v="Yes"/>
    <s v="5-30 min"/>
    <n v="52"/>
    <n v="4.0999999999999996"/>
    <n v="5.8"/>
    <n v="8.9"/>
    <n v="6.9"/>
    <s v="No"/>
    <s v="No"/>
    <n v="7"/>
    <n v="4.3"/>
    <n v="6.3"/>
    <n v="6.5"/>
    <n v="6.1"/>
    <n v="5.9"/>
    <n v="6.9"/>
    <n v="5.4"/>
    <n v="2.8"/>
    <n v="2.4"/>
    <n v="7"/>
    <s v="Moderate"/>
    <x v="0"/>
  </r>
  <r>
    <x v="230"/>
    <n v="23"/>
    <x v="0"/>
    <x v="2"/>
    <s v="In a Relationship"/>
    <x v="5"/>
    <n v="3.6"/>
    <n v="1"/>
    <n v="5"/>
    <s v="Yes"/>
    <s v="After 30 min"/>
    <n v="60"/>
    <n v="7.7"/>
    <n v="2.5"/>
    <n v="6.9"/>
    <n v="3.8"/>
    <s v="No"/>
    <s v="Yes"/>
    <n v="7.5"/>
    <n v="5"/>
    <n v="8.5"/>
    <n v="2.5"/>
    <n v="4.9000000000000004"/>
    <n v="6.6"/>
    <n v="3.1"/>
    <n v="4.7"/>
    <n v="2.5"/>
    <n v="0.6"/>
    <n v="5.4"/>
    <s v="Severe"/>
    <x v="1"/>
  </r>
  <r>
    <x v="231"/>
    <n v="35"/>
    <x v="0"/>
    <x v="1"/>
    <s v="Married"/>
    <x v="1"/>
    <n v="8.3000000000000007"/>
    <n v="5"/>
    <n v="4"/>
    <s v="No"/>
    <s v="Within 5 min"/>
    <n v="20"/>
    <n v="5.9"/>
    <n v="6.6"/>
    <n v="5.3"/>
    <n v="7"/>
    <s v="Yes"/>
    <s v="Yes"/>
    <m/>
    <n v="3.1"/>
    <n v="3.1"/>
    <m/>
    <n v="6.3"/>
    <n v="5.0999999999999996"/>
    <n v="4.5"/>
    <n v="8"/>
    <n v="4.8"/>
    <n v="2.6"/>
    <n v="6.3"/>
    <s v="High"/>
    <x v="4"/>
  </r>
  <r>
    <x v="232"/>
    <n v="42"/>
    <x v="1"/>
    <x v="3"/>
    <s v="In a Relationship"/>
    <x v="5"/>
    <n v="1.9"/>
    <n v="4"/>
    <n v="5"/>
    <s v="Yes"/>
    <s v="5-30 min"/>
    <n v="52"/>
    <n v="7.3"/>
    <n v="4.8"/>
    <n v="3.2"/>
    <n v="5.4"/>
    <s v="Yes"/>
    <s v="Yes"/>
    <n v="6.4"/>
    <n v="7"/>
    <n v="2.6"/>
    <n v="7.5"/>
    <n v="2.2999999999999998"/>
    <n v="7"/>
    <n v="4"/>
    <n v="3.5"/>
    <n v="0.8"/>
    <n v="2.2000000000000002"/>
    <n v="6.3"/>
    <s v="Moderate"/>
    <x v="2"/>
  </r>
  <r>
    <x v="233"/>
    <n v="29"/>
    <x v="0"/>
    <x v="0"/>
    <s v="In a Relationship"/>
    <x v="1"/>
    <n v="4.3"/>
    <n v="1"/>
    <n v="6"/>
    <s v="No"/>
    <s v="Within 5 min"/>
    <n v="14"/>
    <n v="3.7"/>
    <n v="5"/>
    <n v="5"/>
    <n v="7"/>
    <s v="No"/>
    <s v="No"/>
    <n v="6.1"/>
    <n v="2.1"/>
    <n v="3.9"/>
    <n v="5.9"/>
    <n v="7.2"/>
    <n v="6"/>
    <n v="4.3"/>
    <n v="1.2"/>
    <n v="4"/>
    <n v="3.7"/>
    <n v="7.5"/>
    <s v="Low"/>
    <x v="0"/>
  </r>
  <r>
    <x v="234"/>
    <n v="28"/>
    <x v="0"/>
    <x v="3"/>
    <s v="Single"/>
    <x v="1"/>
    <n v="3.1"/>
    <n v="3"/>
    <n v="4"/>
    <s v="Yes"/>
    <s v="5-30 min"/>
    <n v="110"/>
    <n v="2.6"/>
    <n v="6"/>
    <n v="8"/>
    <n v="4.2"/>
    <s v="No"/>
    <s v="Yes"/>
    <n v="3.1"/>
    <n v="6.3"/>
    <n v="3.3"/>
    <n v="6.1"/>
    <n v="2.9"/>
    <n v="6.4"/>
    <n v="7.6"/>
    <n v="7.1"/>
    <n v="2.8"/>
    <n v="3.2"/>
    <n v="5.2"/>
    <s v="High"/>
    <x v="0"/>
  </r>
  <r>
    <x v="235"/>
    <n v="24"/>
    <x v="0"/>
    <x v="0"/>
    <s v="Married"/>
    <x v="3"/>
    <n v="5.6"/>
    <n v="3"/>
    <n v="3"/>
    <s v="Yes"/>
    <s v="Within 5 min"/>
    <n v="28"/>
    <n v="4.9000000000000004"/>
    <n v="5.6"/>
    <n v="2.5"/>
    <n v="4.3"/>
    <s v="Yes"/>
    <s v="Yes"/>
    <n v="6.1"/>
    <n v="5.9"/>
    <n v="6.3"/>
    <n v="2.2000000000000002"/>
    <n v="5"/>
    <n v="6.2"/>
    <n v="6"/>
    <m/>
    <n v="4.8"/>
    <n v="4.3"/>
    <n v="5.2"/>
    <s v="Severe"/>
    <x v="1"/>
  </r>
  <r>
    <x v="236"/>
    <n v="25"/>
    <x v="1"/>
    <x v="1"/>
    <s v="Single"/>
    <x v="1"/>
    <n v="2.7"/>
    <n v="2"/>
    <n v="8"/>
    <s v="No"/>
    <s v="5-30 min"/>
    <n v="5"/>
    <n v="8.4"/>
    <n v="2.2999999999999998"/>
    <n v="10"/>
    <n v="6.2"/>
    <s v="No"/>
    <s v="No"/>
    <n v="0"/>
    <n v="6.2"/>
    <n v="7.2"/>
    <m/>
    <n v="5.8"/>
    <n v="6.6"/>
    <n v="1.4"/>
    <n v="7.8"/>
    <n v="5"/>
    <n v="2.7"/>
    <n v="8"/>
    <s v="Low"/>
    <x v="0"/>
  </r>
  <r>
    <x v="237"/>
    <n v="15"/>
    <x v="0"/>
    <x v="0"/>
    <s v="Married"/>
    <x v="1"/>
    <n v="4.3"/>
    <n v="1"/>
    <n v="5"/>
    <s v="Yes"/>
    <s v="Within 5 min"/>
    <n v="46"/>
    <n v="2.4"/>
    <n v="4.5"/>
    <n v="1.6"/>
    <n v="3.9"/>
    <s v="Yes"/>
    <s v="No"/>
    <n v="9.9"/>
    <n v="4.2"/>
    <n v="1.2"/>
    <n v="6.7"/>
    <n v="4.3"/>
    <n v="8.4"/>
    <n v="3.2"/>
    <n v="7.8"/>
    <n v="4"/>
    <n v="6.1"/>
    <n v="8.1"/>
    <s v="Low"/>
    <x v="3"/>
  </r>
  <r>
    <x v="238"/>
    <n v="17"/>
    <x v="0"/>
    <x v="1"/>
    <s v="Married"/>
    <x v="0"/>
    <n v="5.4"/>
    <n v="1"/>
    <n v="3"/>
    <s v="No"/>
    <s v="After 30 min"/>
    <n v="122"/>
    <n v="8.9"/>
    <n v="4.9000000000000004"/>
    <n v="2.2000000000000002"/>
    <n v="6.8"/>
    <s v="Yes"/>
    <s v="Yes"/>
    <m/>
    <n v="4.7"/>
    <m/>
    <n v="4.7"/>
    <n v="3.8"/>
    <n v="8.1"/>
    <n v="3.5"/>
    <n v="7.4"/>
    <n v="3.6"/>
    <n v="4.5"/>
    <n v="6"/>
    <s v="Moderate"/>
    <x v="3"/>
  </r>
  <r>
    <x v="239"/>
    <n v="31"/>
    <x v="1"/>
    <x v="0"/>
    <s v="Single"/>
    <x v="2"/>
    <n v="3.4"/>
    <n v="2"/>
    <n v="1"/>
    <s v="No"/>
    <s v="5-30 min"/>
    <n v="81"/>
    <n v="5.8"/>
    <n v="6.6"/>
    <n v="3.2"/>
    <n v="5"/>
    <s v="No"/>
    <s v="Yes"/>
    <n v="4.9000000000000004"/>
    <n v="3.4"/>
    <n v="4.3"/>
    <n v="6.8"/>
    <n v="2.9"/>
    <n v="6.4"/>
    <n v="6.2"/>
    <n v="5.5"/>
    <n v="3.1"/>
    <n v="3.7"/>
    <n v="6.2"/>
    <s v="Moderate"/>
    <x v="0"/>
  </r>
  <r>
    <x v="240"/>
    <n v="38"/>
    <x v="1"/>
    <x v="0"/>
    <s v="Single"/>
    <x v="1"/>
    <n v="4.2"/>
    <n v="3"/>
    <n v="4"/>
    <s v="Yes"/>
    <s v="5-30 min"/>
    <n v="88"/>
    <n v="8.4"/>
    <n v="3.8"/>
    <n v="5.8"/>
    <n v="7.5"/>
    <s v="Yes"/>
    <s v="Yes"/>
    <n v="3.9"/>
    <n v="1.3"/>
    <n v="4.7"/>
    <n v="3.1"/>
    <n v="3.8"/>
    <n v="6.1"/>
    <n v="8"/>
    <n v="3.1"/>
    <n v="2.1"/>
    <n v="4.5"/>
    <n v="4.0999999999999996"/>
    <s v="Severe"/>
    <x v="2"/>
  </r>
  <r>
    <x v="241"/>
    <n v="21"/>
    <x v="1"/>
    <x v="1"/>
    <s v="Single"/>
    <x v="2"/>
    <n v="4"/>
    <n v="3"/>
    <n v="1"/>
    <s v="No"/>
    <s v="5-30 min"/>
    <n v="55"/>
    <n v="5.5"/>
    <n v="6.6"/>
    <n v="1"/>
    <n v="5.0999999999999996"/>
    <s v="Yes"/>
    <s v="Yes"/>
    <n v="5.7"/>
    <n v="4"/>
    <n v="3.3"/>
    <n v="5"/>
    <n v="3.4"/>
    <n v="7.2"/>
    <n v="3.8"/>
    <n v="5.6"/>
    <n v="1.3"/>
    <n v="3.6"/>
    <n v="7.3"/>
    <s v="Low"/>
    <x v="1"/>
  </r>
  <r>
    <x v="242"/>
    <n v="33"/>
    <x v="0"/>
    <x v="3"/>
    <s v="Single"/>
    <x v="5"/>
    <n v="5.6"/>
    <n v="4"/>
    <n v="4"/>
    <s v="No"/>
    <s v="5-30 min"/>
    <n v="29"/>
    <n v="8.5"/>
    <n v="7.3"/>
    <n v="6"/>
    <n v="9.9"/>
    <s v="No"/>
    <s v="Yes"/>
    <n v="5"/>
    <n v="5"/>
    <n v="5.2"/>
    <n v="2.6"/>
    <m/>
    <n v="6.2"/>
    <n v="3.5"/>
    <n v="7"/>
    <n v="5.3"/>
    <n v="0.4"/>
    <n v="4"/>
    <s v="Severe"/>
    <x v="0"/>
  </r>
  <r>
    <x v="243"/>
    <n v="24"/>
    <x v="2"/>
    <x v="0"/>
    <s v="Single"/>
    <x v="3"/>
    <n v="5.8"/>
    <n v="2"/>
    <n v="5"/>
    <s v="Yes"/>
    <s v="Within 5 min"/>
    <n v="30"/>
    <n v="5.7"/>
    <n v="5.6"/>
    <n v="2.7"/>
    <n v="4.4000000000000004"/>
    <s v="Yes"/>
    <s v="Yes"/>
    <n v="5.2"/>
    <n v="7.4"/>
    <n v="7"/>
    <n v="6"/>
    <n v="6.6"/>
    <n v="6.4"/>
    <n v="5.9"/>
    <n v="4.3"/>
    <n v="2.5"/>
    <n v="0.9"/>
    <n v="3.5"/>
    <s v="Severe"/>
    <x v="1"/>
  </r>
  <r>
    <x v="244"/>
    <n v="24"/>
    <x v="0"/>
    <x v="0"/>
    <s v="Single"/>
    <x v="4"/>
    <n v="6.1"/>
    <n v="8"/>
    <n v="2"/>
    <s v="Yes"/>
    <s v="Within 5 min"/>
    <n v="122"/>
    <n v="5.4"/>
    <n v="4.0999999999999996"/>
    <n v="4.4000000000000004"/>
    <n v="4.3"/>
    <s v="Yes"/>
    <s v="No"/>
    <n v="2"/>
    <n v="4.5"/>
    <n v="6.2"/>
    <n v="7.3"/>
    <n v="7.6"/>
    <n v="3.9"/>
    <n v="10"/>
    <n v="8.4"/>
    <n v="2.1"/>
    <n v="0"/>
    <n v="5.6"/>
    <s v="High"/>
    <x v="1"/>
  </r>
  <r>
    <x v="245"/>
    <n v="28"/>
    <x v="1"/>
    <x v="0"/>
    <s v="Married"/>
    <x v="1"/>
    <n v="5.4"/>
    <n v="4"/>
    <n v="4"/>
    <s v="Yes"/>
    <s v="Within 5 min"/>
    <n v="97"/>
    <n v="0.9"/>
    <n v="4.5"/>
    <n v="5.3"/>
    <n v="7.2"/>
    <s v="No"/>
    <s v="No"/>
    <n v="8.6"/>
    <m/>
    <n v="0"/>
    <n v="7"/>
    <n v="8.3000000000000007"/>
    <n v="8.3000000000000007"/>
    <n v="4.2"/>
    <n v="4.4000000000000004"/>
    <n v="2.5"/>
    <m/>
    <n v="7.6"/>
    <s v="Moderate"/>
    <x v="0"/>
  </r>
  <r>
    <x v="246"/>
    <n v="36"/>
    <x v="0"/>
    <x v="3"/>
    <s v="Single"/>
    <x v="1"/>
    <n v="2.4"/>
    <n v="2"/>
    <n v="3"/>
    <m/>
    <s v="Within 5 min"/>
    <n v="137"/>
    <n v="6"/>
    <n v="5.6"/>
    <n v="3.2"/>
    <n v="5.6"/>
    <s v="No"/>
    <s v="No"/>
    <n v="4"/>
    <n v="0.2"/>
    <n v="6.5"/>
    <n v="6.1"/>
    <n v="6.4"/>
    <n v="3.9"/>
    <n v="10"/>
    <n v="5.0999999999999996"/>
    <n v="8"/>
    <n v="0.2"/>
    <n v="6"/>
    <s v="High"/>
    <x v="2"/>
  </r>
  <r>
    <x v="247"/>
    <n v="26"/>
    <x v="1"/>
    <x v="1"/>
    <s v="Single"/>
    <x v="4"/>
    <n v="3.6"/>
    <n v="1"/>
    <n v="2"/>
    <s v="No"/>
    <s v="5-30 min"/>
    <n v="5"/>
    <n v="9.1"/>
    <n v="3.2"/>
    <n v="5.4"/>
    <n v="4.9000000000000004"/>
    <s v="No"/>
    <s v="No"/>
    <n v="2.6"/>
    <n v="3.8"/>
    <n v="5.9"/>
    <n v="8.6999999999999993"/>
    <n v="8.3000000000000007"/>
    <n v="7.9"/>
    <n v="6.2"/>
    <n v="4.2"/>
    <n v="0"/>
    <n v="1.7"/>
    <n v="7.7"/>
    <s v="Low"/>
    <x v="0"/>
  </r>
  <r>
    <x v="248"/>
    <n v="16"/>
    <x v="0"/>
    <x v="1"/>
    <s v="Single"/>
    <x v="1"/>
    <n v="5.6"/>
    <n v="3"/>
    <n v="6"/>
    <s v="Yes"/>
    <s v="Within 5 min"/>
    <n v="5"/>
    <n v="5.0999999999999996"/>
    <n v="6.7"/>
    <n v="3.5"/>
    <n v="10"/>
    <s v="Yes"/>
    <s v="No"/>
    <n v="5.4"/>
    <n v="0"/>
    <n v="3.1"/>
    <n v="2.9"/>
    <n v="5.7"/>
    <n v="7.9"/>
    <n v="9.6"/>
    <n v="6.7"/>
    <n v="2.1"/>
    <n v="0"/>
    <n v="4.3"/>
    <s v="Severe"/>
    <x v="3"/>
  </r>
  <r>
    <x v="249"/>
    <n v="29"/>
    <x v="0"/>
    <x v="1"/>
    <s v="Married"/>
    <x v="4"/>
    <n v="4.5999999999999996"/>
    <n v="3"/>
    <n v="5"/>
    <s v="Yes"/>
    <s v="Within 5 min"/>
    <n v="45"/>
    <n v="4.7"/>
    <n v="5.6"/>
    <n v="7.1"/>
    <n v="7.1"/>
    <s v="Yes"/>
    <s v="No"/>
    <n v="6.9"/>
    <n v="2.5"/>
    <n v="6.2"/>
    <n v="3.8"/>
    <n v="5.2"/>
    <n v="9.3000000000000007"/>
    <n v="7.8"/>
    <n v="7.2"/>
    <n v="4"/>
    <n v="3.1"/>
    <n v="5.4"/>
    <s v="Severe"/>
    <x v="0"/>
  </r>
  <r>
    <x v="250"/>
    <n v="31"/>
    <x v="2"/>
    <x v="2"/>
    <s v="Single"/>
    <x v="5"/>
    <n v="6.4"/>
    <n v="5"/>
    <n v="5"/>
    <s v="Yes"/>
    <s v="Within 5 min"/>
    <n v="5"/>
    <n v="3.4"/>
    <n v="9.1999999999999993"/>
    <n v="4"/>
    <n v="8"/>
    <s v="Yes"/>
    <s v="No"/>
    <n v="8.5"/>
    <n v="2.2000000000000002"/>
    <n v="3.7"/>
    <n v="5.6"/>
    <n v="8.9"/>
    <n v="5.0999999999999996"/>
    <n v="5"/>
    <n v="3.4"/>
    <n v="4.3"/>
    <n v="0"/>
    <n v="5.6"/>
    <s v="High"/>
    <x v="0"/>
  </r>
  <r>
    <x v="251"/>
    <n v="31"/>
    <x v="0"/>
    <x v="0"/>
    <s v="In a Relationship"/>
    <x v="1"/>
    <n v="1.8"/>
    <n v="5"/>
    <n v="4"/>
    <s v="Yes"/>
    <s v="5-30 min"/>
    <n v="63"/>
    <n v="5.4"/>
    <n v="2.9"/>
    <n v="5"/>
    <n v="2.5"/>
    <s v="No"/>
    <s v="Yes"/>
    <n v="9.1"/>
    <n v="6.8"/>
    <n v="2.1"/>
    <n v="7.3"/>
    <n v="5.4"/>
    <n v="5.4"/>
    <n v="8.3000000000000007"/>
    <n v="2.6"/>
    <n v="3.3"/>
    <n v="3.5"/>
    <n v="6"/>
    <s v="High"/>
    <x v="0"/>
  </r>
  <r>
    <x v="252"/>
    <n v="40"/>
    <x v="1"/>
    <x v="0"/>
    <s v="In a Relationship"/>
    <x v="4"/>
    <n v="2.6"/>
    <n v="2"/>
    <n v="3"/>
    <s v="Yes"/>
    <s v="5-30 min"/>
    <n v="66"/>
    <n v="4.5"/>
    <n v="5.7"/>
    <n v="4.5999999999999996"/>
    <n v="3.6"/>
    <s v="Yes"/>
    <s v="Yes"/>
    <n v="5.5"/>
    <n v="9.3000000000000007"/>
    <n v="9.6999999999999993"/>
    <n v="5.5"/>
    <n v="2.6"/>
    <n v="7.6"/>
    <n v="6.1"/>
    <n v="5.0999999999999996"/>
    <m/>
    <n v="2.2000000000000002"/>
    <n v="5.9"/>
    <s v="High"/>
    <x v="2"/>
  </r>
  <r>
    <x v="253"/>
    <n v="32"/>
    <x v="2"/>
    <x v="1"/>
    <s v="Single"/>
    <x v="1"/>
    <n v="2.7"/>
    <n v="7"/>
    <n v="6"/>
    <s v="No"/>
    <s v="5-30 min"/>
    <n v="43"/>
    <n v="1.4"/>
    <n v="7"/>
    <n v="7.9"/>
    <n v="6.9"/>
    <s v="No"/>
    <s v="Yes"/>
    <n v="5.5"/>
    <n v="7.6"/>
    <n v="6.6"/>
    <n v="4.5999999999999996"/>
    <n v="10"/>
    <n v="3.9"/>
    <n v="8.6"/>
    <n v="7.7"/>
    <n v="5.5"/>
    <n v="3.4"/>
    <n v="6.3"/>
    <s v="Moderate"/>
    <x v="0"/>
  </r>
  <r>
    <x v="254"/>
    <n v="29"/>
    <x v="0"/>
    <x v="2"/>
    <s v="Single"/>
    <x v="1"/>
    <n v="5.0999999999999996"/>
    <n v="5"/>
    <n v="5"/>
    <s v="Yes"/>
    <s v="5-30 min"/>
    <n v="105"/>
    <n v="4.5999999999999996"/>
    <n v="5.4"/>
    <n v="3.5"/>
    <n v="7.8"/>
    <m/>
    <s v="Yes"/>
    <n v="7.1"/>
    <n v="6.4"/>
    <n v="3.8"/>
    <n v="7.6"/>
    <n v="6.3"/>
    <n v="6.2"/>
    <n v="4.4000000000000004"/>
    <n v="1.6"/>
    <n v="2.6"/>
    <n v="2.2000000000000002"/>
    <n v="3.8"/>
    <s v="Severe"/>
    <x v="0"/>
  </r>
  <r>
    <x v="255"/>
    <n v="16"/>
    <x v="0"/>
    <x v="1"/>
    <s v="Married"/>
    <x v="3"/>
    <n v="3.1"/>
    <n v="4"/>
    <n v="2"/>
    <s v="Yes"/>
    <s v="Within 5 min"/>
    <n v="56"/>
    <n v="7.9"/>
    <n v="3.5"/>
    <n v="1.7"/>
    <n v="5.7"/>
    <s v="Yes"/>
    <s v="Yes"/>
    <n v="5.7"/>
    <n v="4.0999999999999996"/>
    <n v="6.7"/>
    <n v="1.9"/>
    <n v="3.8"/>
    <n v="7.3"/>
    <n v="0"/>
    <n v="6.8"/>
    <n v="3.4"/>
    <n v="5.2"/>
    <n v="5.7"/>
    <s v="Severe"/>
    <x v="3"/>
  </r>
  <r>
    <x v="256"/>
    <n v="36"/>
    <x v="1"/>
    <x v="0"/>
    <m/>
    <x v="0"/>
    <n v="2.6"/>
    <n v="2"/>
    <n v="6"/>
    <s v="Yes"/>
    <s v="Within 5 min"/>
    <n v="85"/>
    <n v="4.5"/>
    <n v="3.8"/>
    <n v="8.1"/>
    <n v="7.8"/>
    <s v="Yes"/>
    <s v="Yes"/>
    <n v="4.5999999999999996"/>
    <n v="5.4"/>
    <n v="3.8"/>
    <n v="4.5999999999999996"/>
    <n v="5.5"/>
    <n v="8.6999999999999993"/>
    <n v="4.8"/>
    <n v="1.8"/>
    <m/>
    <n v="6.2"/>
    <n v="4.5999999999999996"/>
    <s v="Severe"/>
    <x v="2"/>
  </r>
  <r>
    <x v="257"/>
    <n v="34"/>
    <x v="0"/>
    <x v="1"/>
    <s v="Married"/>
    <x v="4"/>
    <n v="5.2"/>
    <n v="2"/>
    <n v="3"/>
    <s v="No"/>
    <s v="Within 5 min"/>
    <n v="64"/>
    <n v="7.9"/>
    <n v="4.2"/>
    <n v="5"/>
    <n v="6.9"/>
    <s v="Yes"/>
    <s v="Yes"/>
    <n v="3.9"/>
    <n v="5.5"/>
    <n v="4.2"/>
    <n v="1.7"/>
    <n v="6.3"/>
    <n v="7.5"/>
    <n v="10"/>
    <n v="2.4"/>
    <n v="6"/>
    <n v="2.2999999999999998"/>
    <n v="4.7"/>
    <s v="Severe"/>
    <x v="0"/>
  </r>
  <r>
    <x v="258"/>
    <n v="33"/>
    <x v="0"/>
    <x v="4"/>
    <s v="Single"/>
    <x v="1"/>
    <n v="3.6"/>
    <n v="5"/>
    <n v="2"/>
    <s v="No"/>
    <s v="Within 5 min"/>
    <n v="11"/>
    <m/>
    <n v="4.5"/>
    <n v="9.3000000000000007"/>
    <n v="7.4"/>
    <s v="Yes"/>
    <s v="Yes"/>
    <n v="3.4"/>
    <n v="8.1"/>
    <n v="6.9"/>
    <n v="3.8"/>
    <n v="5.2"/>
    <n v="4.5"/>
    <n v="0.9"/>
    <n v="4.7"/>
    <n v="3.1"/>
    <n v="2.4"/>
    <n v="5.6"/>
    <s v="Severe"/>
    <x v="0"/>
  </r>
  <r>
    <x v="259"/>
    <n v="15"/>
    <x v="1"/>
    <x v="1"/>
    <s v="Single"/>
    <x v="1"/>
    <n v="2.2000000000000002"/>
    <n v="2"/>
    <n v="3"/>
    <s v="Yes"/>
    <s v="5-30 min"/>
    <n v="86"/>
    <n v="5.8"/>
    <n v="4.3"/>
    <n v="7.1"/>
    <n v="4"/>
    <s v="Yes"/>
    <s v="Yes"/>
    <n v="6.4"/>
    <m/>
    <n v="3.5"/>
    <n v="3.8"/>
    <n v="3.5"/>
    <n v="3.2"/>
    <n v="6.4"/>
    <n v="1.4"/>
    <n v="2"/>
    <n v="2.1"/>
    <n v="5.4"/>
    <s v="Severe"/>
    <x v="3"/>
  </r>
  <r>
    <x v="260"/>
    <n v="28"/>
    <x v="0"/>
    <x v="0"/>
    <s v="Single"/>
    <x v="3"/>
    <n v="5.4"/>
    <n v="3"/>
    <n v="3"/>
    <s v="Yes"/>
    <s v="After 30 min"/>
    <n v="5"/>
    <n v="6.2"/>
    <n v="6.6"/>
    <n v="5.8"/>
    <n v="4.8"/>
    <s v="No"/>
    <s v="No"/>
    <n v="3.4"/>
    <n v="7.1"/>
    <n v="4.3"/>
    <n v="5.2"/>
    <n v="6.3"/>
    <n v="6"/>
    <n v="4"/>
    <n v="6"/>
    <n v="6.8"/>
    <n v="3.4"/>
    <n v="7.2"/>
    <s v="Moderate"/>
    <x v="0"/>
  </r>
  <r>
    <x v="261"/>
    <n v="41"/>
    <x v="0"/>
    <x v="0"/>
    <s v="Married"/>
    <x v="2"/>
    <n v="4.3"/>
    <n v="2"/>
    <n v="8"/>
    <s v="No"/>
    <s v="5-30 min"/>
    <n v="42"/>
    <n v="2.5"/>
    <n v="6.4"/>
    <n v="0.4"/>
    <n v="5.8"/>
    <s v="Yes"/>
    <s v="Yes"/>
    <n v="4.4000000000000004"/>
    <n v="7.7"/>
    <n v="2.5"/>
    <n v="6.2"/>
    <n v="8"/>
    <n v="7.2"/>
    <n v="8.9"/>
    <n v="9.6999999999999993"/>
    <n v="2.6"/>
    <n v="1.3"/>
    <n v="9"/>
    <s v="Low"/>
    <x v="2"/>
  </r>
  <r>
    <x v="262"/>
    <n v="25"/>
    <x v="0"/>
    <x v="1"/>
    <s v="In a Relationship"/>
    <x v="3"/>
    <n v="5.5"/>
    <n v="2"/>
    <n v="0"/>
    <s v="Yes"/>
    <s v="5-30 min"/>
    <n v="72"/>
    <n v="10"/>
    <n v="3.3"/>
    <n v="4.7"/>
    <n v="4.5999999999999996"/>
    <s v="No"/>
    <s v="Yes"/>
    <n v="6.2"/>
    <n v="5"/>
    <n v="6.4"/>
    <n v="3.2"/>
    <n v="2.9"/>
    <n v="6.5"/>
    <n v="1.9"/>
    <n v="9.9"/>
    <n v="0.3"/>
    <n v="1.1000000000000001"/>
    <n v="4.3"/>
    <s v="Severe"/>
    <x v="0"/>
  </r>
  <r>
    <x v="263"/>
    <n v="35"/>
    <x v="1"/>
    <x v="0"/>
    <s v="Single"/>
    <x v="1"/>
    <n v="5.7"/>
    <n v="2"/>
    <n v="5"/>
    <s v="Yes"/>
    <s v="Within 5 min"/>
    <n v="92"/>
    <n v="2.8"/>
    <n v="5.2"/>
    <n v="4.2"/>
    <n v="3.5"/>
    <s v="No"/>
    <s v="No"/>
    <n v="4.5"/>
    <n v="4.0999999999999996"/>
    <n v="6.7"/>
    <n v="3.7"/>
    <n v="7.5"/>
    <n v="7"/>
    <n v="7.2"/>
    <n v="5.2"/>
    <n v="4.4000000000000004"/>
    <n v="1.9"/>
    <n v="5.9"/>
    <s v="Moderate"/>
    <x v="4"/>
  </r>
  <r>
    <x v="264"/>
    <n v="41"/>
    <x v="1"/>
    <x v="1"/>
    <s v="In a Relationship"/>
    <x v="0"/>
    <n v="3.2"/>
    <n v="6"/>
    <n v="2"/>
    <s v="Yes"/>
    <s v="After 30 min"/>
    <n v="92"/>
    <n v="4.0999999999999996"/>
    <n v="3.9"/>
    <n v="9.3000000000000007"/>
    <n v="6.8"/>
    <s v="No"/>
    <s v="No"/>
    <n v="8.3000000000000007"/>
    <n v="2.8"/>
    <n v="2.8"/>
    <n v="7.4"/>
    <n v="6.4"/>
    <n v="8.6"/>
    <n v="7.7"/>
    <n v="8.4"/>
    <m/>
    <n v="2.2000000000000002"/>
    <n v="7"/>
    <s v="Moderate"/>
    <x v="2"/>
  </r>
  <r>
    <x v="265"/>
    <n v="42"/>
    <x v="1"/>
    <x v="3"/>
    <s v="Single"/>
    <x v="0"/>
    <n v="3.9"/>
    <n v="2"/>
    <n v="5"/>
    <s v="Yes"/>
    <s v="5-30 min"/>
    <n v="84"/>
    <n v="4.4000000000000004"/>
    <n v="7.8"/>
    <n v="1.6"/>
    <n v="2.5"/>
    <s v="Yes"/>
    <s v="No"/>
    <n v="5.0999999999999996"/>
    <n v="2.2999999999999998"/>
    <n v="5"/>
    <n v="4.8"/>
    <n v="6"/>
    <n v="6"/>
    <n v="9.1999999999999993"/>
    <n v="3.5"/>
    <n v="1.8"/>
    <n v="4.8"/>
    <n v="7.5"/>
    <s v="Low"/>
    <x v="2"/>
  </r>
  <r>
    <x v="266"/>
    <n v="43"/>
    <x v="0"/>
    <x v="0"/>
    <s v="Single"/>
    <x v="3"/>
    <n v="4.2"/>
    <n v="1"/>
    <n v="7"/>
    <s v="Yes"/>
    <s v="Within 5 min"/>
    <n v="5"/>
    <n v="7.6"/>
    <n v="4.2"/>
    <n v="8.8000000000000007"/>
    <n v="3.6"/>
    <s v="Yes"/>
    <s v="Yes"/>
    <n v="6"/>
    <n v="3.3"/>
    <n v="5.0999999999999996"/>
    <n v="4.5"/>
    <n v="8.1"/>
    <n v="7.1"/>
    <n v="3.8"/>
    <n v="7.2"/>
    <n v="0.4"/>
    <n v="5.6"/>
    <n v="6.1"/>
    <s v="High"/>
    <x v="2"/>
  </r>
  <r>
    <x v="267"/>
    <n v="23"/>
    <x v="1"/>
    <x v="1"/>
    <s v="In a Relationship"/>
    <x v="5"/>
    <n v="5.9"/>
    <n v="3"/>
    <n v="8"/>
    <s v="No"/>
    <s v="5-30 min"/>
    <n v="82"/>
    <n v="4"/>
    <n v="5.4"/>
    <n v="2.5"/>
    <n v="6.7"/>
    <m/>
    <s v="Yes"/>
    <n v="5.7"/>
    <n v="5.6"/>
    <n v="4"/>
    <n v="3.4"/>
    <n v="7.5"/>
    <n v="4.7"/>
    <n v="9.6"/>
    <n v="7.8"/>
    <n v="3"/>
    <n v="3.5"/>
    <n v="6.7"/>
    <s v="Moderate"/>
    <x v="1"/>
  </r>
  <r>
    <x v="268"/>
    <n v="38"/>
    <x v="0"/>
    <x v="1"/>
    <s v="Single"/>
    <x v="5"/>
    <n v="4.4000000000000004"/>
    <n v="5"/>
    <n v="6"/>
    <s v="Yes"/>
    <s v="5-30 min"/>
    <n v="59"/>
    <n v="5.4"/>
    <n v="5.6"/>
    <n v="3.1"/>
    <n v="6.1"/>
    <s v="Yes"/>
    <s v="No"/>
    <n v="1.6"/>
    <n v="4.9000000000000004"/>
    <n v="5.6"/>
    <n v="2.9"/>
    <n v="4.7"/>
    <n v="6"/>
    <n v="5.6"/>
    <n v="4.7"/>
    <n v="2.2000000000000002"/>
    <n v="2.4"/>
    <n v="6.9"/>
    <s v="Moderate"/>
    <x v="2"/>
  </r>
  <r>
    <x v="269"/>
    <n v="16"/>
    <x v="1"/>
    <x v="0"/>
    <s v="In a Relationship"/>
    <x v="1"/>
    <n v="6.7"/>
    <n v="1"/>
    <n v="4"/>
    <s v="Yes"/>
    <s v="Within 5 min"/>
    <n v="76"/>
    <m/>
    <n v="5.0999999999999996"/>
    <n v="4.7"/>
    <n v="8.1"/>
    <s v="Yes"/>
    <s v="No"/>
    <n v="5.5"/>
    <n v="6"/>
    <n v="3.8"/>
    <n v="4.5999999999999996"/>
    <n v="10"/>
    <n v="5.0999999999999996"/>
    <n v="3"/>
    <n v="7.3"/>
    <n v="2"/>
    <n v="3.2"/>
    <n v="6.4"/>
    <s v="Moderate"/>
    <x v="3"/>
  </r>
  <r>
    <x v="270"/>
    <n v="19"/>
    <x v="0"/>
    <x v="1"/>
    <s v="In a Relationship"/>
    <x v="2"/>
    <n v="3.3"/>
    <n v="5"/>
    <n v="2"/>
    <s v="Yes"/>
    <s v="5-30 min"/>
    <n v="29"/>
    <n v="8.1999999999999993"/>
    <n v="6.8"/>
    <n v="4.7"/>
    <n v="6.8"/>
    <s v="Yes"/>
    <s v="No"/>
    <n v="1.3"/>
    <n v="5.8"/>
    <n v="5.5"/>
    <n v="9"/>
    <n v="3.5"/>
    <n v="6.2"/>
    <n v="3.8"/>
    <n v="6.7"/>
    <n v="2.2000000000000002"/>
    <m/>
    <n v="7.2"/>
    <s v="Low"/>
    <x v="1"/>
  </r>
  <r>
    <x v="271"/>
    <n v="40"/>
    <x v="2"/>
    <x v="1"/>
    <s v="Married"/>
    <x v="0"/>
    <n v="4.5"/>
    <n v="2"/>
    <n v="7"/>
    <s v="Yes"/>
    <s v="5-30 min"/>
    <n v="67"/>
    <n v="2.7"/>
    <n v="9"/>
    <n v="5.8"/>
    <n v="3.8"/>
    <s v="No"/>
    <s v="No"/>
    <n v="2.4"/>
    <n v="10"/>
    <n v="1.7"/>
    <n v="2.4"/>
    <n v="3.6"/>
    <n v="8.5"/>
    <n v="6.6"/>
    <n v="5.6"/>
    <n v="4.9000000000000004"/>
    <n v="2.7"/>
    <n v="6.3"/>
    <s v="Moderate"/>
    <x v="2"/>
  </r>
  <r>
    <x v="272"/>
    <n v="27"/>
    <x v="1"/>
    <x v="0"/>
    <s v="Married"/>
    <x v="4"/>
    <n v="7.2"/>
    <n v="3"/>
    <n v="7"/>
    <s v="Yes"/>
    <s v="5-30 min"/>
    <n v="77"/>
    <n v="4.8"/>
    <n v="0.8"/>
    <n v="7.7"/>
    <n v="7.1"/>
    <s v="No"/>
    <s v="Yes"/>
    <n v="2.7"/>
    <n v="7"/>
    <n v="4.5999999999999996"/>
    <n v="5.3"/>
    <n v="7.2"/>
    <n v="3.7"/>
    <n v="3.6"/>
    <n v="3.7"/>
    <n v="2.6"/>
    <n v="2.6"/>
    <n v="7.1"/>
    <s v="Moderate"/>
    <x v="0"/>
  </r>
  <r>
    <x v="273"/>
    <n v="34"/>
    <x v="1"/>
    <x v="0"/>
    <s v="Married"/>
    <x v="1"/>
    <n v="1.5"/>
    <n v="3"/>
    <n v="1"/>
    <s v="No"/>
    <s v="Within 5 min"/>
    <n v="55"/>
    <n v="5"/>
    <n v="3.7"/>
    <n v="7"/>
    <n v="3.9"/>
    <s v="Yes"/>
    <s v="No"/>
    <n v="4.9000000000000004"/>
    <n v="2.4"/>
    <n v="5"/>
    <n v="7.6"/>
    <n v="1.2"/>
    <n v="6.8"/>
    <n v="0"/>
    <n v="6.5"/>
    <n v="2"/>
    <n v="2.9"/>
    <n v="8"/>
    <s v="Low"/>
    <x v="0"/>
  </r>
  <r>
    <x v="274"/>
    <n v="37"/>
    <x v="3"/>
    <x v="2"/>
    <s v="In a Relationship"/>
    <x v="2"/>
    <n v="1.8"/>
    <n v="3"/>
    <n v="2"/>
    <s v="Yes"/>
    <s v="After 30 min"/>
    <n v="101"/>
    <n v="2.6"/>
    <n v="0.7"/>
    <n v="5"/>
    <n v="6.2"/>
    <s v="No"/>
    <s v="Yes"/>
    <n v="7.1"/>
    <n v="1.7"/>
    <n v="3.7"/>
    <n v="2.5"/>
    <n v="5.9"/>
    <n v="5.6"/>
    <n v="0"/>
    <n v="5"/>
    <n v="3.7"/>
    <n v="2.1"/>
    <n v="8.1999999999999993"/>
    <s v="Low"/>
    <x v="2"/>
  </r>
  <r>
    <x v="275"/>
    <n v="25"/>
    <x v="1"/>
    <x v="0"/>
    <s v="Married"/>
    <x v="5"/>
    <n v="5.9"/>
    <n v="2"/>
    <n v="6"/>
    <s v="No"/>
    <s v="After 30 min"/>
    <n v="14"/>
    <n v="5.4"/>
    <n v="6.2"/>
    <n v="8.9"/>
    <n v="6.5"/>
    <s v="Yes"/>
    <s v="Yes"/>
    <n v="4.3"/>
    <n v="4"/>
    <n v="1.8"/>
    <n v="6.8"/>
    <n v="7"/>
    <m/>
    <n v="4.4000000000000004"/>
    <n v="6.2"/>
    <n v="1.9"/>
    <n v="1"/>
    <n v="6.8"/>
    <s v="Moderate"/>
    <x v="0"/>
  </r>
  <r>
    <x v="276"/>
    <n v="43"/>
    <x v="1"/>
    <x v="3"/>
    <s v="In a Relationship"/>
    <x v="0"/>
    <n v="6.1"/>
    <n v="1"/>
    <n v="5"/>
    <s v="No"/>
    <s v="Within 5 min"/>
    <n v="62"/>
    <n v="2.2000000000000002"/>
    <n v="9.3000000000000007"/>
    <n v="4.4000000000000004"/>
    <n v="1.4"/>
    <s v="No"/>
    <s v="No"/>
    <n v="7.6"/>
    <n v="3.4"/>
    <n v="5.2"/>
    <n v="4.8"/>
    <n v="6.2"/>
    <n v="6"/>
    <m/>
    <n v="3.2"/>
    <n v="0.3"/>
    <n v="2.7"/>
    <n v="7.8"/>
    <s v="Moderate"/>
    <x v="2"/>
  </r>
  <r>
    <x v="277"/>
    <n v="22"/>
    <x v="1"/>
    <x v="1"/>
    <s v="In a Relationship"/>
    <x v="1"/>
    <n v="6.5"/>
    <n v="2"/>
    <n v="4"/>
    <s v="No"/>
    <s v="Within 5 min"/>
    <n v="71"/>
    <n v="4.4000000000000004"/>
    <n v="7.5"/>
    <n v="5.6"/>
    <n v="2.5"/>
    <s v="Yes"/>
    <s v="Yes"/>
    <n v="8.6"/>
    <n v="6.2"/>
    <n v="4.3"/>
    <n v="5.8"/>
    <n v="8.1"/>
    <n v="5.5"/>
    <n v="2.9"/>
    <n v="8.5"/>
    <n v="0"/>
    <n v="3.1"/>
    <n v="5.9"/>
    <s v="High"/>
    <x v="1"/>
  </r>
  <r>
    <x v="278"/>
    <n v="32"/>
    <x v="1"/>
    <x v="0"/>
    <s v="Single"/>
    <x v="0"/>
    <n v="6.3"/>
    <n v="5"/>
    <n v="6"/>
    <s v="Yes"/>
    <s v="Within 5 min"/>
    <n v="120"/>
    <n v="4.9000000000000004"/>
    <n v="6.2"/>
    <n v="7.6"/>
    <n v="7.3"/>
    <s v="Yes"/>
    <s v="No"/>
    <n v="6.6"/>
    <n v="5"/>
    <n v="4.3"/>
    <n v="4.7"/>
    <n v="7.8"/>
    <n v="6.8"/>
    <n v="3.7"/>
    <n v="3.2"/>
    <n v="3"/>
    <n v="2.2000000000000002"/>
    <n v="4.5999999999999996"/>
    <s v="Severe"/>
    <x v="0"/>
  </r>
  <r>
    <x v="279"/>
    <n v="30"/>
    <x v="0"/>
    <x v="1"/>
    <s v="Married"/>
    <x v="2"/>
    <n v="6.7"/>
    <n v="5"/>
    <n v="5"/>
    <s v="Yes"/>
    <s v="After 30 min"/>
    <n v="9"/>
    <n v="3.9"/>
    <n v="2.1"/>
    <n v="8.5"/>
    <n v="4.9000000000000004"/>
    <s v="Yes"/>
    <s v="No"/>
    <n v="6.7"/>
    <n v="5.5"/>
    <n v="3.3"/>
    <n v="7"/>
    <n v="5.4"/>
    <n v="7.5"/>
    <n v="4.3"/>
    <n v="6.4"/>
    <n v="4.5999999999999996"/>
    <n v="0.9"/>
    <n v="8.6"/>
    <s v="Low"/>
    <x v="0"/>
  </r>
  <r>
    <x v="280"/>
    <n v="15"/>
    <x v="0"/>
    <x v="1"/>
    <s v="In a Relationship"/>
    <x v="2"/>
    <n v="3.4"/>
    <n v="4"/>
    <n v="3"/>
    <s v="Yes"/>
    <s v="Within 5 min"/>
    <n v="58"/>
    <n v="4.0999999999999996"/>
    <n v="5.4"/>
    <n v="7.6"/>
    <n v="8.5"/>
    <s v="No"/>
    <s v="No"/>
    <n v="2.7"/>
    <n v="3.8"/>
    <n v="5.0999999999999996"/>
    <n v="5.7"/>
    <n v="6.2"/>
    <n v="7.9"/>
    <n v="5.6"/>
    <n v="5.8"/>
    <n v="0"/>
    <n v="2.5"/>
    <n v="6.1"/>
    <s v="Moderate"/>
    <x v="3"/>
  </r>
  <r>
    <x v="281"/>
    <n v="33"/>
    <x v="1"/>
    <x v="1"/>
    <s v="Married"/>
    <x v="0"/>
    <n v="4.5"/>
    <n v="4"/>
    <n v="4"/>
    <s v="Yes"/>
    <s v="After 30 min"/>
    <n v="48"/>
    <n v="2.5"/>
    <n v="3.9"/>
    <n v="7.1"/>
    <n v="7.7"/>
    <s v="Yes"/>
    <s v="No"/>
    <n v="2.6"/>
    <n v="7.3"/>
    <n v="3.3"/>
    <n v="3.4"/>
    <m/>
    <n v="7.6"/>
    <n v="4.7"/>
    <n v="7.1"/>
    <n v="4.3"/>
    <n v="2.4"/>
    <n v="7.9"/>
    <s v="Low"/>
    <x v="0"/>
  </r>
  <r>
    <x v="282"/>
    <n v="22"/>
    <x v="0"/>
    <x v="0"/>
    <s v="Single"/>
    <x v="1"/>
    <n v="5.7"/>
    <n v="2"/>
    <n v="0"/>
    <s v="No"/>
    <s v="Within 5 min"/>
    <n v="37"/>
    <n v="5.9"/>
    <n v="5.3"/>
    <m/>
    <n v="8.3000000000000007"/>
    <s v="No"/>
    <s v="No"/>
    <n v="3"/>
    <n v="7.9"/>
    <n v="3"/>
    <n v="7"/>
    <n v="5.4"/>
    <n v="6.6"/>
    <n v="3.3"/>
    <n v="3.7"/>
    <n v="2.1"/>
    <n v="3.1"/>
    <n v="6"/>
    <s v="High"/>
    <x v="1"/>
  </r>
  <r>
    <x v="283"/>
    <n v="27"/>
    <x v="2"/>
    <x v="0"/>
    <s v="Single"/>
    <x v="1"/>
    <n v="1.9"/>
    <n v="2"/>
    <n v="4"/>
    <s v="Yes"/>
    <s v="Within 5 min"/>
    <n v="60"/>
    <n v="3.3"/>
    <n v="5.5"/>
    <n v="4.4000000000000004"/>
    <n v="7.8"/>
    <s v="Yes"/>
    <s v="Yes"/>
    <n v="6"/>
    <n v="2.2000000000000002"/>
    <n v="6.4"/>
    <n v="5.5"/>
    <n v="9.6999999999999993"/>
    <n v="6.2"/>
    <n v="5"/>
    <n v="4.2"/>
    <n v="3.1"/>
    <n v="1.5"/>
    <n v="5"/>
    <s v="High"/>
    <x v="0"/>
  </r>
  <r>
    <x v="284"/>
    <n v="31"/>
    <x v="1"/>
    <x v="1"/>
    <s v="Single"/>
    <x v="0"/>
    <n v="1.8"/>
    <n v="1"/>
    <n v="0"/>
    <s v="Yes"/>
    <s v="5-30 min"/>
    <n v="32"/>
    <n v="2.7"/>
    <n v="8.5"/>
    <n v="6.4"/>
    <n v="8.8000000000000007"/>
    <s v="Yes"/>
    <s v="Yes"/>
    <n v="4.8"/>
    <n v="6.1"/>
    <n v="4.8"/>
    <n v="4.4000000000000004"/>
    <n v="1.7"/>
    <n v="6.6"/>
    <n v="7.5"/>
    <n v="6"/>
    <n v="2.9"/>
    <n v="4.2"/>
    <n v="4.2"/>
    <s v="Severe"/>
    <x v="0"/>
  </r>
  <r>
    <x v="285"/>
    <n v="15"/>
    <x v="0"/>
    <x v="1"/>
    <s v="In a Relationship"/>
    <x v="1"/>
    <n v="3.2"/>
    <n v="6"/>
    <n v="4"/>
    <s v="Yes"/>
    <s v="After 30 min"/>
    <n v="84"/>
    <n v="7.1"/>
    <n v="4.5999999999999996"/>
    <n v="4"/>
    <n v="5.2"/>
    <s v="No"/>
    <s v="No"/>
    <n v="7.6"/>
    <n v="6"/>
    <n v="3.1"/>
    <n v="10"/>
    <n v="4.4000000000000004"/>
    <n v="7.8"/>
    <n v="9.6"/>
    <n v="3.2"/>
    <n v="5"/>
    <n v="1.9"/>
    <n v="6.9"/>
    <s v="Moderate"/>
    <x v="3"/>
  </r>
  <r>
    <x v="286"/>
    <n v="27"/>
    <x v="2"/>
    <x v="2"/>
    <s v="Married"/>
    <x v="3"/>
    <n v="6.6"/>
    <n v="2"/>
    <n v="2"/>
    <s v="Yes"/>
    <s v="Within 5 min"/>
    <n v="95"/>
    <n v="3.6"/>
    <n v="4.8"/>
    <n v="5.3"/>
    <n v="7.2"/>
    <s v="No"/>
    <s v="Yes"/>
    <n v="6.3"/>
    <n v="0"/>
    <n v="5.7"/>
    <m/>
    <n v="1"/>
    <n v="7.4"/>
    <n v="4.2"/>
    <n v="7.7"/>
    <n v="1.9"/>
    <n v="1.1000000000000001"/>
    <n v="4.5999999999999996"/>
    <s v="Severe"/>
    <x v="0"/>
  </r>
  <r>
    <x v="287"/>
    <n v="24"/>
    <x v="0"/>
    <x v="0"/>
    <s v="In a Relationship"/>
    <x v="5"/>
    <n v="6.1"/>
    <n v="2"/>
    <n v="5"/>
    <s v="Yes"/>
    <s v="5-30 min"/>
    <n v="116"/>
    <n v="7.1"/>
    <n v="1.9"/>
    <n v="5.7"/>
    <n v="4"/>
    <s v="No"/>
    <s v="Yes"/>
    <n v="3"/>
    <n v="6"/>
    <n v="0"/>
    <n v="8.4"/>
    <m/>
    <n v="5.7"/>
    <n v="4.4000000000000004"/>
    <n v="1.5"/>
    <n v="2.1"/>
    <n v="3.2"/>
    <n v="6.6"/>
    <s v="Moderate"/>
    <x v="1"/>
  </r>
  <r>
    <x v="288"/>
    <n v="29"/>
    <x v="1"/>
    <x v="3"/>
    <s v="In a Relationship"/>
    <x v="0"/>
    <n v="1.7"/>
    <n v="4"/>
    <n v="1"/>
    <m/>
    <s v="5-30 min"/>
    <n v="54"/>
    <n v="7.1"/>
    <n v="8.6999999999999993"/>
    <n v="3.4"/>
    <n v="2.2000000000000002"/>
    <s v="No"/>
    <s v="Yes"/>
    <n v="4.7"/>
    <n v="2"/>
    <n v="4.7"/>
    <n v="5.6"/>
    <n v="7.1"/>
    <n v="7.2"/>
    <m/>
    <n v="7.2"/>
    <n v="1.5"/>
    <m/>
    <n v="6.5"/>
    <s v="Moderate"/>
    <x v="0"/>
  </r>
  <r>
    <x v="289"/>
    <n v="39"/>
    <x v="1"/>
    <x v="2"/>
    <s v="Married"/>
    <x v="3"/>
    <n v="3.3"/>
    <n v="3"/>
    <n v="2"/>
    <s v="Yes"/>
    <s v="5-30 min"/>
    <n v="19"/>
    <n v="6.5"/>
    <n v="8.4"/>
    <n v="7.6"/>
    <n v="1"/>
    <s v="No"/>
    <s v="No"/>
    <n v="7.9"/>
    <n v="2.5"/>
    <n v="7.2"/>
    <n v="4.0999999999999996"/>
    <m/>
    <n v="6.3"/>
    <n v="6.5"/>
    <n v="5.7"/>
    <n v="7.4"/>
    <n v="0.2"/>
    <n v="6.8"/>
    <s v="High"/>
    <x v="2"/>
  </r>
  <r>
    <x v="290"/>
    <n v="17"/>
    <x v="1"/>
    <x v="0"/>
    <s v="Married"/>
    <x v="1"/>
    <n v="3.3"/>
    <n v="4"/>
    <n v="4"/>
    <s v="Yes"/>
    <s v="After 30 min"/>
    <n v="30"/>
    <n v="6.5"/>
    <n v="5.2"/>
    <n v="2.4"/>
    <n v="3.8"/>
    <s v="Yes"/>
    <s v="Yes"/>
    <n v="2.9"/>
    <n v="5"/>
    <n v="3.6"/>
    <n v="4.5"/>
    <n v="2.1"/>
    <n v="8.3000000000000007"/>
    <n v="3.8"/>
    <n v="3.9"/>
    <n v="3.1"/>
    <n v="2.8"/>
    <n v="6.2"/>
    <s v="Moderate"/>
    <x v="3"/>
  </r>
  <r>
    <x v="291"/>
    <n v="31"/>
    <x v="0"/>
    <x v="2"/>
    <s v="Single"/>
    <x v="4"/>
    <n v="4.5999999999999996"/>
    <n v="1"/>
    <n v="4"/>
    <s v="Yes"/>
    <s v="After 30 min"/>
    <n v="39"/>
    <n v="4.0999999999999996"/>
    <n v="6.2"/>
    <n v="5.3"/>
    <n v="5.7"/>
    <s v="No"/>
    <s v="Yes"/>
    <n v="3.4"/>
    <n v="9.8000000000000007"/>
    <n v="4.4000000000000004"/>
    <n v="3.5"/>
    <n v="9"/>
    <n v="8.1999999999999993"/>
    <n v="6.1"/>
    <n v="5.0999999999999996"/>
    <n v="4.3"/>
    <n v="2.1"/>
    <n v="6.9"/>
    <s v="Moderate"/>
    <x v="0"/>
  </r>
  <r>
    <x v="292"/>
    <n v="26"/>
    <x v="1"/>
    <x v="2"/>
    <s v="In a Relationship"/>
    <x v="1"/>
    <n v="4.9000000000000004"/>
    <n v="2"/>
    <n v="5"/>
    <s v="Yes"/>
    <s v="Within 5 min"/>
    <n v="42"/>
    <n v="4.7"/>
    <n v="6"/>
    <n v="4.8"/>
    <n v="5.3"/>
    <s v="Yes"/>
    <s v="No"/>
    <n v="6.1"/>
    <n v="4"/>
    <n v="5.2"/>
    <n v="3.9"/>
    <n v="1.6"/>
    <n v="4.9000000000000004"/>
    <n v="5.5"/>
    <n v="7.5"/>
    <n v="4.3"/>
    <n v="3.5"/>
    <n v="6.7"/>
    <s v="High"/>
    <x v="0"/>
  </r>
  <r>
    <x v="293"/>
    <n v="20"/>
    <x v="1"/>
    <x v="3"/>
    <s v="Single"/>
    <x v="1"/>
    <n v="4.5"/>
    <n v="4"/>
    <n v="3"/>
    <s v="No"/>
    <s v="Within 5 min"/>
    <n v="44"/>
    <n v="3.3"/>
    <n v="6.4"/>
    <n v="3.5"/>
    <n v="5.9"/>
    <s v="Yes"/>
    <s v="No"/>
    <n v="4.5999999999999996"/>
    <n v="4.4000000000000004"/>
    <n v="4.5999999999999996"/>
    <n v="3.4"/>
    <n v="6.9"/>
    <n v="7.1"/>
    <n v="3.8"/>
    <m/>
    <n v="4.0999999999999996"/>
    <n v="3.4"/>
    <n v="7.8"/>
    <s v="Low"/>
    <x v="1"/>
  </r>
  <r>
    <x v="294"/>
    <n v="36"/>
    <x v="0"/>
    <x v="0"/>
    <s v="In a Relationship"/>
    <x v="0"/>
    <n v="2.5"/>
    <n v="2"/>
    <n v="6"/>
    <s v="Yes"/>
    <s v="Within 5 min"/>
    <n v="73"/>
    <n v="1.5"/>
    <n v="8.3000000000000007"/>
    <n v="4.9000000000000004"/>
    <n v="4.0999999999999996"/>
    <s v="Yes"/>
    <s v="Yes"/>
    <n v="3.4"/>
    <n v="6.5"/>
    <n v="3.1"/>
    <m/>
    <n v="3.8"/>
    <n v="4.2"/>
    <n v="7.1"/>
    <n v="8.4"/>
    <n v="2.7"/>
    <n v="6.6"/>
    <n v="6.6"/>
    <s v="Moderate"/>
    <x v="2"/>
  </r>
  <r>
    <x v="295"/>
    <n v="31"/>
    <x v="0"/>
    <x v="1"/>
    <s v="Single"/>
    <x v="1"/>
    <n v="6.8"/>
    <n v="6"/>
    <n v="1"/>
    <s v="No"/>
    <s v="5-30 min"/>
    <n v="67"/>
    <n v="6.6"/>
    <n v="6.8"/>
    <n v="6.8"/>
    <n v="5"/>
    <s v="Yes"/>
    <s v="No"/>
    <n v="2.7"/>
    <n v="3.8"/>
    <n v="8.6999999999999993"/>
    <n v="6.2"/>
    <n v="9.1"/>
    <n v="6.1"/>
    <n v="8.3000000000000007"/>
    <n v="9.8000000000000007"/>
    <n v="5"/>
    <n v="6.1"/>
    <n v="6.1"/>
    <s v="Moderate"/>
    <x v="0"/>
  </r>
  <r>
    <x v="296"/>
    <n v="24"/>
    <x v="2"/>
    <x v="1"/>
    <s v="Single"/>
    <x v="1"/>
    <n v="6.6"/>
    <n v="3"/>
    <n v="3"/>
    <m/>
    <s v="After 30 min"/>
    <n v="42"/>
    <n v="5.2"/>
    <n v="6.9"/>
    <n v="0.9"/>
    <n v="6.1"/>
    <s v="Yes"/>
    <s v="Yes"/>
    <n v="7.5"/>
    <n v="5.9"/>
    <n v="2.7"/>
    <n v="6.6"/>
    <n v="6.5"/>
    <n v="5.4"/>
    <n v="4.3"/>
    <n v="4.9000000000000004"/>
    <n v="3.9"/>
    <n v="5"/>
    <n v="6.1"/>
    <s v="Moderate"/>
    <x v="1"/>
  </r>
  <r>
    <x v="297"/>
    <n v="26"/>
    <x v="2"/>
    <x v="1"/>
    <s v="Single"/>
    <x v="2"/>
    <n v="2.2999999999999998"/>
    <n v="6"/>
    <n v="4"/>
    <s v="Yes"/>
    <s v="5-30 min"/>
    <n v="66"/>
    <n v="5.9"/>
    <n v="3.4"/>
    <n v="3.9"/>
    <n v="7.5"/>
    <s v="Yes"/>
    <s v="No"/>
    <n v="6.7"/>
    <n v="5.3"/>
    <n v="8.5"/>
    <n v="7.1"/>
    <n v="5.9"/>
    <n v="7.2"/>
    <n v="1.8"/>
    <n v="3.4"/>
    <n v="0"/>
    <n v="2"/>
    <n v="6.8"/>
    <s v="Moderate"/>
    <x v="0"/>
  </r>
  <r>
    <x v="298"/>
    <n v="25"/>
    <x v="1"/>
    <x v="1"/>
    <s v="Single"/>
    <x v="0"/>
    <n v="4.0999999999999996"/>
    <n v="6"/>
    <n v="3"/>
    <s v="No"/>
    <s v="After 30 min"/>
    <n v="61"/>
    <n v="9.8000000000000007"/>
    <n v="8.1"/>
    <n v="5.7"/>
    <n v="3"/>
    <s v="No"/>
    <s v="No"/>
    <n v="3.5"/>
    <n v="4.3"/>
    <n v="4.5"/>
    <n v="8.1999999999999993"/>
    <n v="3.8"/>
    <n v="3"/>
    <n v="3.5"/>
    <n v="4.9000000000000004"/>
    <n v="1.5"/>
    <n v="6.4"/>
    <n v="7.2"/>
    <s v="Low"/>
    <x v="0"/>
  </r>
  <r>
    <x v="299"/>
    <n v="15"/>
    <x v="0"/>
    <x v="0"/>
    <s v="In a Relationship"/>
    <x v="1"/>
    <n v="6.7"/>
    <n v="5"/>
    <n v="1"/>
    <s v="No"/>
    <s v="After 30 min"/>
    <n v="51"/>
    <n v="6.7"/>
    <n v="2.5"/>
    <n v="5"/>
    <n v="5.8"/>
    <s v="No"/>
    <s v="Yes"/>
    <n v="4.9000000000000004"/>
    <n v="4.3"/>
    <n v="10"/>
    <n v="6.2"/>
    <n v="5.8"/>
    <n v="7.6"/>
    <n v="4.5999999999999996"/>
    <n v="3.3"/>
    <n v="1.4"/>
    <n v="0.7"/>
    <n v="5.7"/>
    <s v="High"/>
    <x v="3"/>
  </r>
  <r>
    <x v="300"/>
    <n v="23"/>
    <x v="2"/>
    <x v="0"/>
    <s v="In a Relationship"/>
    <x v="4"/>
    <n v="5.2"/>
    <n v="4"/>
    <n v="6"/>
    <s v="No"/>
    <s v="After 30 min"/>
    <n v="55"/>
    <n v="6.5"/>
    <n v="2.2000000000000002"/>
    <m/>
    <n v="0.6"/>
    <s v="Yes"/>
    <s v="Yes"/>
    <m/>
    <n v="0.4"/>
    <n v="5.4"/>
    <n v="6.9"/>
    <n v="8.3000000000000007"/>
    <m/>
    <n v="5.4"/>
    <n v="4.8"/>
    <n v="2.4"/>
    <n v="4.5999999999999996"/>
    <n v="7.9"/>
    <s v="Low"/>
    <x v="1"/>
  </r>
  <r>
    <x v="301"/>
    <n v="19"/>
    <x v="0"/>
    <x v="0"/>
    <s v="Single"/>
    <x v="2"/>
    <n v="5.4"/>
    <n v="4"/>
    <n v="7"/>
    <s v="Yes"/>
    <s v="Within 5 min"/>
    <n v="101"/>
    <n v="9.3000000000000007"/>
    <n v="3.2"/>
    <n v="5.5"/>
    <n v="7.1"/>
    <s v="Yes"/>
    <s v="Yes"/>
    <n v="3.1"/>
    <n v="4.9000000000000004"/>
    <n v="7"/>
    <n v="6.3"/>
    <n v="9"/>
    <n v="5.0999999999999996"/>
    <n v="7.1"/>
    <n v="8.6"/>
    <n v="2"/>
    <n v="1.2"/>
    <n v="4.7"/>
    <s v="Severe"/>
    <x v="1"/>
  </r>
  <r>
    <x v="302"/>
    <n v="20"/>
    <x v="0"/>
    <x v="1"/>
    <s v="Married"/>
    <x v="1"/>
    <n v="3.5"/>
    <n v="7"/>
    <n v="1"/>
    <s v="Yes"/>
    <s v="After 30 min"/>
    <n v="33"/>
    <n v="4.0999999999999996"/>
    <n v="8.5"/>
    <n v="5.3"/>
    <n v="5.4"/>
    <s v="No"/>
    <s v="Yes"/>
    <n v="0"/>
    <n v="2.8"/>
    <n v="6.5"/>
    <n v="5.9"/>
    <n v="10"/>
    <n v="7.3"/>
    <n v="8.8000000000000007"/>
    <n v="8.5"/>
    <n v="0.1"/>
    <n v="1"/>
    <n v="6.8"/>
    <s v="High"/>
    <x v="1"/>
  </r>
  <r>
    <x v="303"/>
    <n v="43"/>
    <x v="1"/>
    <x v="0"/>
    <s v="In a Relationship"/>
    <x v="0"/>
    <n v="7.5"/>
    <n v="3"/>
    <n v="7"/>
    <s v="Yes"/>
    <s v="After 30 min"/>
    <n v="59"/>
    <n v="3.1"/>
    <n v="8.1"/>
    <n v="6.1"/>
    <n v="2.9"/>
    <s v="No"/>
    <s v="Yes"/>
    <n v="3.1"/>
    <n v="4.2"/>
    <n v="5.7"/>
    <n v="6.5"/>
    <n v="4.5999999999999996"/>
    <n v="5"/>
    <n v="6.2"/>
    <n v="7.4"/>
    <n v="4.9000000000000004"/>
    <n v="2.8"/>
    <n v="5.3"/>
    <s v="High"/>
    <x v="2"/>
  </r>
  <r>
    <x v="304"/>
    <n v="26"/>
    <x v="1"/>
    <x v="1"/>
    <s v="In a Relationship"/>
    <x v="3"/>
    <n v="2.2000000000000002"/>
    <n v="4"/>
    <n v="3"/>
    <s v="Yes"/>
    <s v="Within 5 min"/>
    <n v="85"/>
    <n v="4.5"/>
    <n v="6.4"/>
    <n v="3.3"/>
    <n v="4.8"/>
    <s v="Yes"/>
    <s v="Yes"/>
    <n v="6.6"/>
    <n v="6.3"/>
    <n v="5"/>
    <n v="6.1"/>
    <n v="3.9"/>
    <n v="5.5"/>
    <m/>
    <n v="6.4"/>
    <n v="5.9"/>
    <n v="3.1"/>
    <n v="6.2"/>
    <s v="High"/>
    <x v="0"/>
  </r>
  <r>
    <x v="305"/>
    <n v="44"/>
    <x v="0"/>
    <x v="1"/>
    <s v="Married"/>
    <x v="3"/>
    <n v="6.4"/>
    <n v="1"/>
    <n v="1"/>
    <s v="Yes"/>
    <s v="Within 5 min"/>
    <n v="24"/>
    <n v="3.5"/>
    <n v="7"/>
    <n v="5"/>
    <n v="3.6"/>
    <m/>
    <s v="No"/>
    <n v="0.1"/>
    <n v="5.3"/>
    <n v="0.2"/>
    <m/>
    <n v="7.3"/>
    <n v="7"/>
    <n v="5.0999999999999996"/>
    <n v="4"/>
    <n v="5.3"/>
    <n v="1.7"/>
    <n v="7"/>
    <s v="Low"/>
    <x v="2"/>
  </r>
  <r>
    <x v="306"/>
    <n v="32"/>
    <x v="3"/>
    <x v="0"/>
    <s v="Single"/>
    <x v="0"/>
    <m/>
    <n v="3"/>
    <n v="4"/>
    <s v="No"/>
    <s v="Within 5 min"/>
    <n v="66"/>
    <n v="4.0999999999999996"/>
    <n v="4.3"/>
    <n v="1.8"/>
    <n v="6.1"/>
    <s v="No"/>
    <s v="Yes"/>
    <n v="7.3"/>
    <n v="7"/>
    <n v="5.9"/>
    <n v="4.5999999999999996"/>
    <n v="10"/>
    <n v="5.4"/>
    <n v="5.0999999999999996"/>
    <n v="6.5"/>
    <n v="1.4"/>
    <n v="4.7"/>
    <n v="5.9"/>
    <s v="Moderate"/>
    <x v="0"/>
  </r>
  <r>
    <x v="307"/>
    <n v="44"/>
    <x v="0"/>
    <x v="1"/>
    <s v="Married"/>
    <x v="1"/>
    <n v="2.9"/>
    <n v="5"/>
    <n v="4"/>
    <s v="No"/>
    <s v="After 30 min"/>
    <n v="17"/>
    <n v="4.5999999999999996"/>
    <n v="2.9"/>
    <n v="4.5"/>
    <n v="5.9"/>
    <s v="Yes"/>
    <s v="No"/>
    <n v="1.2"/>
    <n v="9.4"/>
    <n v="3.1"/>
    <n v="3.3"/>
    <n v="3.5"/>
    <n v="5.4"/>
    <n v="6.5"/>
    <n v="3.6"/>
    <n v="3.8"/>
    <n v="3.7"/>
    <n v="8.6"/>
    <s v="Low"/>
    <x v="2"/>
  </r>
  <r>
    <x v="308"/>
    <n v="29"/>
    <x v="0"/>
    <x v="0"/>
    <s v="Single"/>
    <x v="1"/>
    <n v="7.3"/>
    <n v="5"/>
    <n v="2"/>
    <s v="No"/>
    <s v="After 30 min"/>
    <n v="65"/>
    <n v="5.0999999999999996"/>
    <n v="4.4000000000000004"/>
    <n v="6.4"/>
    <n v="4.5999999999999996"/>
    <s v="Yes"/>
    <s v="Yes"/>
    <n v="4.2"/>
    <n v="5.3"/>
    <n v="4.4000000000000004"/>
    <n v="5.9"/>
    <n v="1.8"/>
    <n v="7.2"/>
    <n v="1.7"/>
    <n v="6.4"/>
    <n v="4.9000000000000004"/>
    <n v="2.5"/>
    <n v="6.8"/>
    <s v="Moderate"/>
    <x v="0"/>
  </r>
  <r>
    <x v="309"/>
    <n v="25"/>
    <x v="0"/>
    <x v="1"/>
    <s v="Single"/>
    <x v="1"/>
    <n v="6.2"/>
    <n v="2"/>
    <n v="5"/>
    <s v="No"/>
    <s v="Within 5 min"/>
    <n v="21"/>
    <n v="5.6"/>
    <n v="4.9000000000000004"/>
    <n v="9.1"/>
    <n v="5.7"/>
    <s v="No"/>
    <s v="No"/>
    <n v="4"/>
    <n v="5.3"/>
    <n v="3.6"/>
    <n v="4.0999999999999996"/>
    <n v="3.2"/>
    <n v="7.7"/>
    <n v="2.6"/>
    <n v="6.7"/>
    <n v="4.8"/>
    <n v="1.9"/>
    <n v="6.3"/>
    <s v="High"/>
    <x v="0"/>
  </r>
  <r>
    <x v="310"/>
    <n v="35"/>
    <x v="0"/>
    <x v="0"/>
    <s v="In a Relationship"/>
    <x v="0"/>
    <m/>
    <n v="1"/>
    <n v="5"/>
    <s v="Yes"/>
    <s v="After 30 min"/>
    <n v="69"/>
    <n v="2.6"/>
    <n v="6.9"/>
    <n v="5.0999999999999996"/>
    <n v="4.5999999999999996"/>
    <s v="Yes"/>
    <s v="Yes"/>
    <n v="7"/>
    <n v="0"/>
    <n v="4.3"/>
    <n v="5.9"/>
    <n v="5"/>
    <n v="4.5"/>
    <n v="4.0999999999999996"/>
    <n v="2.8"/>
    <n v="4.5"/>
    <n v="3"/>
    <n v="6.4"/>
    <s v="Moderate"/>
    <x v="4"/>
  </r>
  <r>
    <x v="311"/>
    <n v="31"/>
    <x v="0"/>
    <x v="1"/>
    <s v="Married"/>
    <x v="4"/>
    <n v="4.8"/>
    <n v="1"/>
    <n v="3"/>
    <s v="Yes"/>
    <s v="5-30 min"/>
    <n v="62"/>
    <n v="4"/>
    <n v="4.0999999999999996"/>
    <n v="4.2"/>
    <n v="4.8"/>
    <s v="No"/>
    <s v="No"/>
    <n v="6.6"/>
    <n v="6.2"/>
    <n v="3"/>
    <n v="6.5"/>
    <n v="3"/>
    <n v="6.4"/>
    <n v="2.1"/>
    <n v="1.7"/>
    <n v="3.5"/>
    <n v="4.7"/>
    <n v="7.2"/>
    <s v="Low"/>
    <x v="0"/>
  </r>
  <r>
    <x v="312"/>
    <n v="22"/>
    <x v="0"/>
    <x v="1"/>
    <s v="Single"/>
    <x v="0"/>
    <n v="7.5"/>
    <n v="1"/>
    <n v="5"/>
    <s v="Yes"/>
    <s v="5-30 min"/>
    <n v="109"/>
    <n v="5.6"/>
    <n v="8.1"/>
    <n v="7.7"/>
    <n v="7.9"/>
    <s v="Yes"/>
    <s v="Yes"/>
    <n v="5.6"/>
    <n v="4.2"/>
    <n v="4.8"/>
    <n v="2.6"/>
    <n v="5.2"/>
    <n v="6.7"/>
    <n v="5.4"/>
    <m/>
    <n v="3.5"/>
    <n v="3.8"/>
    <n v="4.5"/>
    <s v="Severe"/>
    <x v="1"/>
  </r>
  <r>
    <x v="313"/>
    <n v="43"/>
    <x v="0"/>
    <x v="0"/>
    <s v="In a Relationship"/>
    <x v="0"/>
    <n v="3.6"/>
    <n v="6"/>
    <n v="4"/>
    <m/>
    <s v="Within 5 min"/>
    <n v="62"/>
    <n v="3"/>
    <n v="5.4"/>
    <n v="3.1"/>
    <n v="6.4"/>
    <s v="Yes"/>
    <s v="Yes"/>
    <n v="2.9"/>
    <n v="1.5"/>
    <n v="3.1"/>
    <n v="7.6"/>
    <n v="4.7"/>
    <n v="7.5"/>
    <n v="4"/>
    <n v="6.5"/>
    <n v="3.5"/>
    <m/>
    <n v="7.2"/>
    <s v="Low"/>
    <x v="2"/>
  </r>
  <r>
    <x v="314"/>
    <n v="30"/>
    <x v="1"/>
    <x v="0"/>
    <s v="Married"/>
    <x v="0"/>
    <n v="3.5"/>
    <n v="3"/>
    <n v="1"/>
    <s v="Yes"/>
    <s v="Within 5 min"/>
    <n v="24"/>
    <n v="5.6"/>
    <n v="3.8"/>
    <n v="3.4"/>
    <n v="8.6"/>
    <s v="Yes"/>
    <s v="No"/>
    <n v="4.5"/>
    <m/>
    <n v="5.2"/>
    <n v="7.5"/>
    <n v="4.8"/>
    <n v="7.9"/>
    <n v="7.3"/>
    <n v="5"/>
    <n v="2"/>
    <n v="5.4"/>
    <n v="6.6"/>
    <s v="Moderate"/>
    <x v="0"/>
  </r>
  <r>
    <x v="315"/>
    <n v="41"/>
    <x v="0"/>
    <x v="0"/>
    <s v="In a Relationship"/>
    <x v="5"/>
    <n v="0.5"/>
    <n v="5"/>
    <n v="2"/>
    <s v="No"/>
    <s v="After 30 min"/>
    <n v="45"/>
    <n v="8.4"/>
    <n v="7.5"/>
    <n v="4"/>
    <n v="6.4"/>
    <s v="Yes"/>
    <s v="Yes"/>
    <n v="4.7"/>
    <n v="4.7"/>
    <n v="7.2"/>
    <n v="6.8"/>
    <n v="4.5"/>
    <n v="6.8"/>
    <n v="2.8"/>
    <n v="6.2"/>
    <n v="3.4"/>
    <n v="3.5"/>
    <n v="7.8"/>
    <s v="Low"/>
    <x v="2"/>
  </r>
  <r>
    <x v="316"/>
    <n v="33"/>
    <x v="0"/>
    <x v="1"/>
    <s v="In a Relationship"/>
    <x v="0"/>
    <n v="1"/>
    <n v="3"/>
    <n v="0"/>
    <s v="Yes"/>
    <s v="Within 5 min"/>
    <n v="47"/>
    <n v="0"/>
    <n v="7.9"/>
    <n v="9.6"/>
    <n v="3.7"/>
    <s v="Yes"/>
    <s v="Yes"/>
    <n v="3.8"/>
    <n v="2.1"/>
    <n v="6.4"/>
    <n v="5.9"/>
    <n v="2.6"/>
    <n v="9.3000000000000007"/>
    <n v="4.3"/>
    <n v="7.3"/>
    <n v="4.4000000000000004"/>
    <n v="3.4"/>
    <n v="7.1"/>
    <s v="High"/>
    <x v="0"/>
  </r>
  <r>
    <x v="317"/>
    <n v="31"/>
    <x v="1"/>
    <x v="0"/>
    <s v="Married"/>
    <x v="1"/>
    <n v="3.7"/>
    <n v="1"/>
    <n v="7"/>
    <s v="No"/>
    <s v="5-30 min"/>
    <n v="43"/>
    <n v="6.5"/>
    <n v="3"/>
    <n v="3.9"/>
    <n v="5.5"/>
    <s v="No"/>
    <s v="Yes"/>
    <n v="3.6"/>
    <n v="6.1"/>
    <n v="7.7"/>
    <n v="7.2"/>
    <n v="3.7"/>
    <n v="7.8"/>
    <n v="2.1"/>
    <n v="8.3000000000000007"/>
    <n v="4.7"/>
    <n v="4.3"/>
    <n v="8.1999999999999993"/>
    <s v="Low"/>
    <x v="0"/>
  </r>
  <r>
    <x v="318"/>
    <n v="29"/>
    <x v="1"/>
    <x v="1"/>
    <s v="Married"/>
    <x v="4"/>
    <n v="4.2"/>
    <n v="3"/>
    <n v="10"/>
    <s v="No"/>
    <s v="Within 5 min"/>
    <n v="65"/>
    <n v="6.2"/>
    <n v="6.7"/>
    <n v="2.2000000000000002"/>
    <n v="3.4"/>
    <s v="Yes"/>
    <s v="No"/>
    <n v="4.5999999999999996"/>
    <n v="3.8"/>
    <n v="3.4"/>
    <n v="8.3000000000000007"/>
    <n v="4.5999999999999996"/>
    <n v="8.4"/>
    <n v="3.6"/>
    <n v="6.7"/>
    <n v="5.5"/>
    <n v="5.0999999999999996"/>
    <n v="8.3000000000000007"/>
    <s v="Low"/>
    <x v="0"/>
  </r>
  <r>
    <x v="319"/>
    <n v="30"/>
    <x v="0"/>
    <x v="2"/>
    <s v="Single"/>
    <x v="3"/>
    <n v="5.7"/>
    <n v="7"/>
    <n v="2"/>
    <s v="Yes"/>
    <s v="After 30 min"/>
    <n v="41"/>
    <n v="3.6"/>
    <n v="4.9000000000000004"/>
    <n v="3.5"/>
    <n v="1.9"/>
    <s v="No"/>
    <s v="No"/>
    <n v="6.8"/>
    <n v="5.4"/>
    <n v="3.8"/>
    <n v="4.3"/>
    <n v="8.1"/>
    <n v="5"/>
    <m/>
    <n v="5.5"/>
    <n v="2.8"/>
    <m/>
    <n v="8.8000000000000007"/>
    <s v="Low"/>
    <x v="0"/>
  </r>
  <r>
    <x v="320"/>
    <n v="28"/>
    <x v="0"/>
    <x v="2"/>
    <s v="Single"/>
    <x v="2"/>
    <n v="6.3"/>
    <n v="1"/>
    <n v="3"/>
    <s v="No"/>
    <s v="Within 5 min"/>
    <n v="59"/>
    <n v="2.5"/>
    <n v="5.2"/>
    <n v="4.7"/>
    <n v="4.5"/>
    <s v="No"/>
    <s v="No"/>
    <n v="6.3"/>
    <n v="4.4000000000000004"/>
    <n v="2.9"/>
    <n v="7.2"/>
    <n v="6.4"/>
    <n v="7.8"/>
    <n v="4.9000000000000004"/>
    <n v="1.5"/>
    <n v="1.1000000000000001"/>
    <m/>
    <n v="7"/>
    <s v="Low"/>
    <x v="0"/>
  </r>
  <r>
    <x v="321"/>
    <n v="34"/>
    <x v="1"/>
    <x v="3"/>
    <s v="In a Relationship"/>
    <x v="1"/>
    <n v="8.6"/>
    <n v="2"/>
    <n v="5"/>
    <s v="No"/>
    <s v="After 30 min"/>
    <n v="47"/>
    <n v="5.5"/>
    <n v="7.9"/>
    <n v="6.2"/>
    <n v="5.9"/>
    <s v="Yes"/>
    <s v="No"/>
    <n v="5.7"/>
    <n v="5"/>
    <n v="5.8"/>
    <n v="5.5"/>
    <n v="3.3"/>
    <n v="4.3"/>
    <n v="6.2"/>
    <n v="6.6"/>
    <n v="2.6"/>
    <n v="7.4"/>
    <n v="8"/>
    <s v="Low"/>
    <x v="0"/>
  </r>
  <r>
    <x v="322"/>
    <n v="24"/>
    <x v="1"/>
    <x v="1"/>
    <s v="Single"/>
    <x v="4"/>
    <n v="6"/>
    <n v="4"/>
    <n v="3"/>
    <s v="No"/>
    <s v="Within 5 min"/>
    <n v="5"/>
    <n v="2.4"/>
    <n v="5.9"/>
    <n v="4.2"/>
    <n v="9.4"/>
    <s v="Yes"/>
    <s v="No"/>
    <n v="4.3"/>
    <n v="5.2"/>
    <m/>
    <n v="6.4"/>
    <n v="6.5"/>
    <n v="4.7"/>
    <n v="2.2999999999999998"/>
    <n v="7.1"/>
    <n v="4.8"/>
    <n v="1.3"/>
    <n v="8.5"/>
    <s v="Low"/>
    <x v="1"/>
  </r>
  <r>
    <x v="323"/>
    <n v="28"/>
    <x v="2"/>
    <x v="0"/>
    <s v="Married"/>
    <x v="3"/>
    <n v="10.6"/>
    <n v="5"/>
    <n v="2"/>
    <s v="Yes"/>
    <s v="Within 5 min"/>
    <n v="12"/>
    <n v="7.3"/>
    <n v="6.3"/>
    <n v="2.6"/>
    <n v="6.9"/>
    <s v="No"/>
    <s v="No"/>
    <n v="3.7"/>
    <n v="2.2999999999999998"/>
    <n v="5.2"/>
    <n v="6"/>
    <n v="7.3"/>
    <n v="5.2"/>
    <n v="4.8"/>
    <n v="2.5"/>
    <n v="2.5"/>
    <n v="4.9000000000000004"/>
    <n v="5.9"/>
    <s v="High"/>
    <x v="0"/>
  </r>
  <r>
    <x v="324"/>
    <n v="39"/>
    <x v="1"/>
    <x v="2"/>
    <s v="Single"/>
    <x v="2"/>
    <n v="6.1"/>
    <n v="1"/>
    <n v="6"/>
    <s v="No"/>
    <s v="Within 5 min"/>
    <n v="68"/>
    <n v="5.6"/>
    <n v="4.2"/>
    <n v="6.3"/>
    <n v="2.7"/>
    <s v="Yes"/>
    <s v="No"/>
    <n v="4.5"/>
    <n v="5.9"/>
    <n v="4.3"/>
    <n v="5.6"/>
    <n v="4.7"/>
    <n v="7.7"/>
    <n v="7.3"/>
    <n v="7.5"/>
    <n v="2"/>
    <n v="5.0999999999999996"/>
    <n v="7.7"/>
    <s v="Low"/>
    <x v="2"/>
  </r>
  <r>
    <x v="325"/>
    <n v="18"/>
    <x v="1"/>
    <x v="0"/>
    <s v="In a Relationship"/>
    <x v="1"/>
    <n v="7.3"/>
    <n v="4"/>
    <n v="5"/>
    <s v="Yes"/>
    <s v="Within 5 min"/>
    <n v="23"/>
    <n v="5.9"/>
    <n v="6.1"/>
    <n v="5.6"/>
    <n v="3.3"/>
    <s v="No"/>
    <s v="Yes"/>
    <n v="4.0999999999999996"/>
    <n v="6.4"/>
    <n v="0.9"/>
    <n v="1.5"/>
    <m/>
    <n v="6.8"/>
    <n v="4.7"/>
    <n v="3.6"/>
    <n v="5.9"/>
    <n v="5.8"/>
    <n v="4.5999999999999996"/>
    <s v="Severe"/>
    <x v="1"/>
  </r>
  <r>
    <x v="326"/>
    <n v="22"/>
    <x v="0"/>
    <x v="0"/>
    <m/>
    <x v="4"/>
    <n v="2.8"/>
    <n v="2"/>
    <n v="8"/>
    <s v="No"/>
    <s v="Within 5 min"/>
    <n v="92"/>
    <n v="5.5"/>
    <n v="4.3"/>
    <n v="3.5"/>
    <n v="5.7"/>
    <s v="No"/>
    <s v="Yes"/>
    <n v="4.8"/>
    <n v="4.4000000000000004"/>
    <n v="0"/>
    <n v="5.0999999999999996"/>
    <n v="7.6"/>
    <n v="7.9"/>
    <n v="3.2"/>
    <n v="4.0999999999999996"/>
    <n v="1.5"/>
    <n v="2.7"/>
    <n v="8"/>
    <s v="Low"/>
    <x v="1"/>
  </r>
  <r>
    <x v="327"/>
    <n v="32"/>
    <x v="0"/>
    <x v="1"/>
    <s v="Married"/>
    <x v="1"/>
    <n v="5.5"/>
    <n v="2"/>
    <n v="1"/>
    <s v="Yes"/>
    <s v="Within 5 min"/>
    <n v="5"/>
    <n v="1.2"/>
    <n v="2.2999999999999998"/>
    <n v="7.4"/>
    <n v="6.2"/>
    <s v="No"/>
    <s v="No"/>
    <n v="4.0999999999999996"/>
    <n v="3.9"/>
    <n v="3.5"/>
    <n v="6.3"/>
    <n v="8.6"/>
    <n v="6.6"/>
    <n v="0.8"/>
    <n v="5.6"/>
    <n v="1.9"/>
    <n v="3.6"/>
    <n v="8.3000000000000007"/>
    <s v="Low"/>
    <x v="0"/>
  </r>
  <r>
    <x v="328"/>
    <n v="25"/>
    <x v="0"/>
    <x v="1"/>
    <s v="In a Relationship"/>
    <x v="4"/>
    <n v="6.5"/>
    <n v="5"/>
    <n v="4"/>
    <s v="Yes"/>
    <s v="After 30 min"/>
    <n v="57"/>
    <n v="3.5"/>
    <n v="5.4"/>
    <n v="8.1"/>
    <n v="3.2"/>
    <s v="Yes"/>
    <s v="No"/>
    <n v="3.6"/>
    <n v="3.8"/>
    <n v="0"/>
    <n v="6.8"/>
    <n v="2.5"/>
    <n v="7.3"/>
    <n v="5.7"/>
    <n v="3.6"/>
    <n v="3.2"/>
    <n v="0"/>
    <n v="6.9"/>
    <s v="Low"/>
    <x v="0"/>
  </r>
  <r>
    <x v="329"/>
    <n v="15"/>
    <x v="1"/>
    <x v="0"/>
    <s v="Single"/>
    <x v="3"/>
    <n v="6.5"/>
    <n v="4"/>
    <n v="6"/>
    <s v="No"/>
    <s v="5-30 min"/>
    <n v="106"/>
    <n v="5.6"/>
    <n v="5.2"/>
    <n v="2.7"/>
    <n v="5.2"/>
    <s v="No"/>
    <s v="No"/>
    <n v="10"/>
    <n v="4.5999999999999996"/>
    <n v="8.3000000000000007"/>
    <n v="5.4"/>
    <n v="4.8"/>
    <n v="7.8"/>
    <n v="3.3"/>
    <n v="5.4"/>
    <m/>
    <n v="3.6"/>
    <n v="6.7"/>
    <s v="Moderate"/>
    <x v="3"/>
  </r>
  <r>
    <x v="330"/>
    <n v="16"/>
    <x v="1"/>
    <x v="0"/>
    <s v="In a Relationship"/>
    <x v="3"/>
    <n v="3.6"/>
    <n v="2"/>
    <n v="3"/>
    <s v="Yes"/>
    <s v="Within 5 min"/>
    <n v="42"/>
    <n v="3"/>
    <n v="3.2"/>
    <n v="5"/>
    <n v="3.2"/>
    <s v="Yes"/>
    <s v="Yes"/>
    <n v="4.5"/>
    <n v="1.2"/>
    <n v="2.7"/>
    <n v="5.9"/>
    <n v="3.5"/>
    <n v="6.8"/>
    <m/>
    <m/>
    <n v="3.3"/>
    <n v="3.8"/>
    <n v="6.2"/>
    <s v="Moderate"/>
    <x v="3"/>
  </r>
  <r>
    <x v="331"/>
    <n v="26"/>
    <x v="0"/>
    <x v="0"/>
    <s v="In a Relationship"/>
    <x v="0"/>
    <n v="4.4000000000000004"/>
    <n v="3"/>
    <n v="3"/>
    <s v="No"/>
    <s v="Within 5 min"/>
    <n v="87"/>
    <n v="4.9000000000000004"/>
    <n v="3.5"/>
    <n v="6.1"/>
    <n v="9"/>
    <s v="Yes"/>
    <s v="Yes"/>
    <n v="0"/>
    <n v="3.9"/>
    <n v="1.9"/>
    <n v="7.6"/>
    <n v="8.1999999999999993"/>
    <n v="7"/>
    <n v="4.5999999999999996"/>
    <n v="5.4"/>
    <n v="1.2"/>
    <n v="4.0999999999999996"/>
    <n v="8.3000000000000007"/>
    <s v="Moderate"/>
    <x v="0"/>
  </r>
  <r>
    <x v="332"/>
    <n v="42"/>
    <x v="0"/>
    <x v="1"/>
    <s v="Married"/>
    <x v="0"/>
    <m/>
    <n v="1"/>
    <n v="2"/>
    <s v="No"/>
    <s v="5-30 min"/>
    <n v="40"/>
    <n v="4.2"/>
    <n v="4.3"/>
    <n v="4.3"/>
    <n v="7"/>
    <s v="No"/>
    <s v="No"/>
    <n v="3.7"/>
    <n v="1.8"/>
    <n v="3.8"/>
    <n v="2.8"/>
    <n v="4.4000000000000004"/>
    <n v="4.8"/>
    <n v="5.6"/>
    <m/>
    <n v="3.5"/>
    <n v="3.8"/>
    <n v="8.4"/>
    <s v="Low"/>
    <x v="2"/>
  </r>
  <r>
    <x v="333"/>
    <n v="19"/>
    <x v="0"/>
    <x v="1"/>
    <s v="Single"/>
    <x v="1"/>
    <n v="5.2"/>
    <n v="5"/>
    <n v="3"/>
    <s v="Yes"/>
    <s v="After 30 min"/>
    <n v="5"/>
    <n v="6.6"/>
    <n v="1.5"/>
    <n v="6"/>
    <n v="5"/>
    <s v="Yes"/>
    <s v="Yes"/>
    <n v="3.8"/>
    <n v="5.9"/>
    <n v="5.3"/>
    <m/>
    <n v="4.8"/>
    <n v="5.8"/>
    <n v="10"/>
    <n v="3.5"/>
    <n v="5.8"/>
    <n v="2.7"/>
    <n v="6.2"/>
    <s v="Moderate"/>
    <x v="1"/>
  </r>
  <r>
    <x v="334"/>
    <n v="21"/>
    <x v="1"/>
    <x v="3"/>
    <s v="Married"/>
    <x v="0"/>
    <n v="2.2999999999999998"/>
    <n v="4"/>
    <n v="3"/>
    <s v="No"/>
    <s v="5-30 min"/>
    <n v="55"/>
    <n v="7.2"/>
    <n v="5.9"/>
    <n v="4"/>
    <n v="7.1"/>
    <s v="Yes"/>
    <s v="Yes"/>
    <n v="7.7"/>
    <n v="3.1"/>
    <n v="0.9"/>
    <n v="6.9"/>
    <m/>
    <n v="8.4"/>
    <n v="3.2"/>
    <m/>
    <n v="5"/>
    <n v="7"/>
    <n v="6.4"/>
    <s v="Moderate"/>
    <x v="1"/>
  </r>
  <r>
    <x v="335"/>
    <n v="44"/>
    <x v="0"/>
    <x v="1"/>
    <s v="Married"/>
    <x v="3"/>
    <n v="6.6"/>
    <n v="1"/>
    <n v="6"/>
    <s v="No"/>
    <s v="5-30 min"/>
    <n v="74"/>
    <n v="3.9"/>
    <n v="6"/>
    <n v="3.4"/>
    <n v="4.7"/>
    <s v="No"/>
    <s v="No"/>
    <m/>
    <n v="5.2"/>
    <n v="4.5"/>
    <n v="1.4"/>
    <n v="7"/>
    <n v="5.4"/>
    <n v="6.5"/>
    <n v="2.6"/>
    <n v="0.7"/>
    <n v="3.7"/>
    <n v="7.1"/>
    <s v="Moderate"/>
    <x v="2"/>
  </r>
  <r>
    <x v="336"/>
    <n v="42"/>
    <x v="0"/>
    <x v="2"/>
    <s v="Single"/>
    <x v="3"/>
    <n v="5.0999999999999996"/>
    <n v="3"/>
    <n v="4"/>
    <s v="Yes"/>
    <s v="After 30 min"/>
    <n v="51"/>
    <m/>
    <n v="5.9"/>
    <n v="5.2"/>
    <n v="1.7"/>
    <s v="No"/>
    <s v="No"/>
    <n v="6.7"/>
    <n v="6.1"/>
    <n v="5.9"/>
    <n v="8.9"/>
    <n v="6.4"/>
    <n v="10"/>
    <n v="5.4"/>
    <n v="7.4"/>
    <n v="2.5"/>
    <n v="3.9"/>
    <n v="8.6"/>
    <s v="Low"/>
    <x v="2"/>
  </r>
  <r>
    <x v="337"/>
    <n v="32"/>
    <x v="0"/>
    <x v="1"/>
    <s v="Single"/>
    <x v="1"/>
    <m/>
    <n v="2"/>
    <n v="6"/>
    <s v="Yes"/>
    <s v="Within 5 min"/>
    <n v="76"/>
    <n v="8.5"/>
    <n v="8.8000000000000007"/>
    <n v="4"/>
    <n v="3.8"/>
    <s v="Yes"/>
    <s v="No"/>
    <n v="3.4"/>
    <n v="1.9"/>
    <n v="1.6"/>
    <n v="5.8"/>
    <n v="4.2"/>
    <n v="4.9000000000000004"/>
    <n v="7.5"/>
    <n v="4.7"/>
    <n v="3.2"/>
    <n v="3.2"/>
    <n v="5.4"/>
    <s v="Severe"/>
    <x v="0"/>
  </r>
  <r>
    <x v="338"/>
    <n v="44"/>
    <x v="0"/>
    <x v="0"/>
    <s v="Single"/>
    <x v="5"/>
    <n v="5.8"/>
    <n v="1"/>
    <n v="3"/>
    <s v="No"/>
    <s v="After 30 min"/>
    <n v="30"/>
    <m/>
    <n v="4.9000000000000004"/>
    <n v="3.1"/>
    <n v="8.3000000000000007"/>
    <s v="No"/>
    <s v="Yes"/>
    <n v="5.4"/>
    <n v="3.3"/>
    <n v="4.9000000000000004"/>
    <n v="5.9"/>
    <m/>
    <m/>
    <n v="9.1"/>
    <n v="4.5"/>
    <n v="5.0999999999999996"/>
    <n v="3.5"/>
    <n v="6.3"/>
    <s v="Moderate"/>
    <x v="2"/>
  </r>
  <r>
    <x v="339"/>
    <n v="29"/>
    <x v="1"/>
    <x v="0"/>
    <s v="Married"/>
    <x v="4"/>
    <n v="5.5"/>
    <n v="1"/>
    <n v="1"/>
    <s v="Yes"/>
    <s v="After 30 min"/>
    <n v="62"/>
    <n v="5.0999999999999996"/>
    <n v="4.2"/>
    <m/>
    <n v="9.1"/>
    <s v="No"/>
    <s v="No"/>
    <m/>
    <n v="5"/>
    <n v="1.7"/>
    <n v="5"/>
    <n v="4.7"/>
    <n v="8"/>
    <n v="6.5"/>
    <n v="5.9"/>
    <n v="7.6"/>
    <n v="2.2000000000000002"/>
    <n v="7.5"/>
    <s v="Low"/>
    <x v="0"/>
  </r>
  <r>
    <x v="340"/>
    <n v="27"/>
    <x v="1"/>
    <x v="0"/>
    <s v="Single"/>
    <x v="1"/>
    <n v="6.2"/>
    <n v="5"/>
    <n v="7"/>
    <s v="Yes"/>
    <s v="5-30 min"/>
    <n v="45"/>
    <n v="7.6"/>
    <n v="5.7"/>
    <n v="9.1999999999999993"/>
    <n v="4.5"/>
    <s v="No"/>
    <s v="No"/>
    <n v="4.5999999999999996"/>
    <n v="7.6"/>
    <n v="6.6"/>
    <m/>
    <n v="7.5"/>
    <n v="5.6"/>
    <n v="5.9"/>
    <n v="3.4"/>
    <n v="1.4"/>
    <n v="1.5"/>
    <n v="4.5999999999999996"/>
    <s v="Severe"/>
    <x v="0"/>
  </r>
  <r>
    <x v="341"/>
    <n v="26"/>
    <x v="1"/>
    <x v="3"/>
    <s v="Single"/>
    <x v="2"/>
    <n v="4.7"/>
    <n v="1"/>
    <n v="1"/>
    <s v="Yes"/>
    <s v="After 30 min"/>
    <n v="68"/>
    <n v="10"/>
    <n v="5.4"/>
    <n v="4.5999999999999996"/>
    <n v="3.3"/>
    <s v="Yes"/>
    <s v="Yes"/>
    <n v="0"/>
    <n v="4.9000000000000004"/>
    <n v="2.8"/>
    <n v="8.3000000000000007"/>
    <n v="8.1"/>
    <n v="6.4"/>
    <n v="3.9"/>
    <n v="1.7"/>
    <n v="5.4"/>
    <n v="3.6"/>
    <n v="7.1"/>
    <s v="Moderate"/>
    <x v="0"/>
  </r>
  <r>
    <x v="342"/>
    <n v="27"/>
    <x v="2"/>
    <x v="0"/>
    <s v="In a Relationship"/>
    <x v="5"/>
    <n v="1.1000000000000001"/>
    <n v="6"/>
    <n v="3"/>
    <s v="No"/>
    <s v="5-30 min"/>
    <n v="61"/>
    <n v="3.3"/>
    <n v="7.4"/>
    <n v="4.0999999999999996"/>
    <n v="7"/>
    <s v="Yes"/>
    <s v="No"/>
    <n v="2.7"/>
    <n v="5.0999999999999996"/>
    <n v="3.8"/>
    <n v="5.9"/>
    <n v="4.5999999999999996"/>
    <n v="7.8"/>
    <n v="7.3"/>
    <n v="8.6"/>
    <n v="5.5"/>
    <n v="2.9"/>
    <n v="8.1999999999999993"/>
    <s v="Low"/>
    <x v="0"/>
  </r>
  <r>
    <x v="343"/>
    <n v="31"/>
    <x v="1"/>
    <x v="3"/>
    <s v="Married"/>
    <x v="0"/>
    <n v="7.2"/>
    <n v="4"/>
    <n v="5"/>
    <m/>
    <s v="5-30 min"/>
    <n v="19"/>
    <n v="3.3"/>
    <n v="6"/>
    <n v="3"/>
    <n v="7.2"/>
    <s v="Yes"/>
    <s v="Yes"/>
    <n v="6.7"/>
    <n v="4.3"/>
    <n v="3"/>
    <n v="3.1"/>
    <n v="2.2000000000000002"/>
    <n v="7.7"/>
    <n v="3.3"/>
    <n v="6.6"/>
    <n v="2.4"/>
    <n v="2.8"/>
    <n v="5.4"/>
    <s v="High"/>
    <x v="0"/>
  </r>
  <r>
    <x v="344"/>
    <n v="32"/>
    <x v="0"/>
    <x v="1"/>
    <s v="Single"/>
    <x v="3"/>
    <n v="3"/>
    <n v="4"/>
    <n v="6"/>
    <s v="No"/>
    <s v="After 30 min"/>
    <n v="41"/>
    <n v="0.7"/>
    <n v="9.6999999999999993"/>
    <n v="3.3"/>
    <n v="8.6"/>
    <s v="Yes"/>
    <s v="Yes"/>
    <n v="3.9"/>
    <n v="3.5"/>
    <n v="0.8"/>
    <n v="6.8"/>
    <n v="6.6"/>
    <n v="7.1"/>
    <n v="2.7"/>
    <n v="3"/>
    <n v="3.5"/>
    <n v="0"/>
    <n v="7.4"/>
    <s v="Low"/>
    <x v="0"/>
  </r>
  <r>
    <x v="345"/>
    <n v="41"/>
    <x v="0"/>
    <x v="1"/>
    <s v="In a Relationship"/>
    <x v="4"/>
    <n v="6.5"/>
    <n v="8"/>
    <n v="3"/>
    <s v="Yes"/>
    <s v="Within 5 min"/>
    <n v="79"/>
    <n v="4.3"/>
    <n v="3.2"/>
    <n v="3.7"/>
    <n v="5.6"/>
    <s v="Yes"/>
    <s v="Yes"/>
    <n v="2.4"/>
    <n v="6.6"/>
    <n v="8.8000000000000007"/>
    <n v="3.3"/>
    <n v="5.8"/>
    <n v="6.2"/>
    <n v="8.1999999999999993"/>
    <n v="6"/>
    <m/>
    <n v="1.7"/>
    <n v="4.8"/>
    <s v="Severe"/>
    <x v="2"/>
  </r>
  <r>
    <x v="346"/>
    <n v="41"/>
    <x v="0"/>
    <x v="1"/>
    <s v="In a Relationship"/>
    <x v="0"/>
    <n v="5.7"/>
    <n v="2"/>
    <n v="4"/>
    <s v="No"/>
    <s v="5-30 min"/>
    <n v="82"/>
    <n v="7.7"/>
    <n v="6.1"/>
    <n v="2.8"/>
    <n v="5.3"/>
    <s v="No"/>
    <s v="Yes"/>
    <n v="5.2"/>
    <n v="3.2"/>
    <n v="5.4"/>
    <n v="4.3"/>
    <n v="0.7"/>
    <n v="7.2"/>
    <n v="4.0999999999999996"/>
    <n v="4.4000000000000004"/>
    <n v="4.7"/>
    <n v="2.1"/>
    <n v="4.9000000000000004"/>
    <s v="Severe"/>
    <x v="2"/>
  </r>
  <r>
    <x v="347"/>
    <n v="15"/>
    <x v="0"/>
    <x v="1"/>
    <s v="In a Relationship"/>
    <x v="3"/>
    <n v="5.3"/>
    <n v="3"/>
    <n v="4"/>
    <s v="Yes"/>
    <s v="After 30 min"/>
    <n v="15"/>
    <n v="9.3000000000000007"/>
    <n v="3.3"/>
    <n v="4.4000000000000004"/>
    <n v="6.4"/>
    <s v="No"/>
    <s v="No"/>
    <n v="8.5"/>
    <n v="3.3"/>
    <n v="7.1"/>
    <n v="4"/>
    <n v="1.9"/>
    <n v="5.3"/>
    <n v="2.8"/>
    <n v="3.7"/>
    <n v="3.6"/>
    <n v="1.7"/>
    <n v="5.0999999999999996"/>
    <s v="Severe"/>
    <x v="3"/>
  </r>
  <r>
    <x v="348"/>
    <n v="43"/>
    <x v="1"/>
    <x v="0"/>
    <s v="Single"/>
    <x v="1"/>
    <n v="4.9000000000000004"/>
    <n v="3"/>
    <n v="4"/>
    <s v="Yes"/>
    <s v="5-30 min"/>
    <n v="77"/>
    <n v="7.7"/>
    <n v="5.6"/>
    <n v="7.1"/>
    <n v="5"/>
    <s v="Yes"/>
    <s v="No"/>
    <n v="5.0999999999999996"/>
    <n v="4.7"/>
    <n v="6"/>
    <n v="8.5"/>
    <n v="3.9"/>
    <n v="7.1"/>
    <n v="3"/>
    <n v="1.6"/>
    <n v="4.9000000000000004"/>
    <n v="0"/>
    <n v="5.7"/>
    <s v="Severe"/>
    <x v="2"/>
  </r>
  <r>
    <x v="349"/>
    <n v="26"/>
    <x v="1"/>
    <x v="0"/>
    <s v="In a Relationship"/>
    <x v="0"/>
    <n v="5.0999999999999996"/>
    <n v="5"/>
    <n v="0"/>
    <s v="Yes"/>
    <s v="After 30 min"/>
    <n v="40"/>
    <n v="6.3"/>
    <n v="5.4"/>
    <n v="3.5"/>
    <n v="5"/>
    <s v="Yes"/>
    <s v="No"/>
    <n v="6.3"/>
    <n v="1.1000000000000001"/>
    <n v="1.6"/>
    <n v="4.5"/>
    <n v="2.5"/>
    <n v="3.8"/>
    <n v="5.7"/>
    <n v="1.8"/>
    <n v="1.8"/>
    <n v="4.4000000000000004"/>
    <n v="6.3"/>
    <s v="High"/>
    <x v="0"/>
  </r>
  <r>
    <x v="350"/>
    <n v="16"/>
    <x v="0"/>
    <x v="0"/>
    <s v="Married"/>
    <x v="5"/>
    <n v="4.9000000000000004"/>
    <n v="2"/>
    <n v="7"/>
    <s v="No"/>
    <s v="Within 5 min"/>
    <n v="79"/>
    <n v="6.9"/>
    <n v="6"/>
    <n v="0.9"/>
    <n v="8.6"/>
    <s v="No"/>
    <s v="Yes"/>
    <n v="4.5999999999999996"/>
    <n v="4.5999999999999996"/>
    <n v="8"/>
    <n v="4.4000000000000004"/>
    <n v="4"/>
    <n v="8.6999999999999993"/>
    <n v="5.0999999999999996"/>
    <n v="5"/>
    <n v="4.0999999999999996"/>
    <n v="7.4"/>
    <n v="5.7"/>
    <s v="High"/>
    <x v="3"/>
  </r>
  <r>
    <x v="351"/>
    <n v="23"/>
    <x v="2"/>
    <x v="0"/>
    <s v="Married"/>
    <x v="2"/>
    <n v="4.5999999999999996"/>
    <n v="4"/>
    <n v="2"/>
    <s v="No"/>
    <s v="After 30 min"/>
    <n v="38"/>
    <n v="3.1"/>
    <n v="6.2"/>
    <n v="4.0999999999999996"/>
    <n v="7.8"/>
    <s v="No"/>
    <s v="Yes"/>
    <n v="4.7"/>
    <n v="5.6"/>
    <n v="3.4"/>
    <n v="7.3"/>
    <n v="6.3"/>
    <n v="4.8"/>
    <n v="1.3"/>
    <m/>
    <n v="4.0999999999999996"/>
    <n v="3.6"/>
    <n v="8.1"/>
    <s v="Low"/>
    <x v="1"/>
  </r>
  <r>
    <x v="352"/>
    <n v="35"/>
    <x v="1"/>
    <x v="0"/>
    <s v="In a Relationship"/>
    <x v="3"/>
    <n v="4.3"/>
    <n v="1"/>
    <n v="7"/>
    <s v="Yes"/>
    <s v="Within 5 min"/>
    <n v="31"/>
    <n v="5.8"/>
    <n v="5.4"/>
    <n v="2.8"/>
    <n v="5.7"/>
    <s v="Yes"/>
    <s v="Yes"/>
    <n v="5.5"/>
    <m/>
    <n v="5.3"/>
    <n v="6.6"/>
    <n v="4.9000000000000004"/>
    <n v="7.4"/>
    <n v="10"/>
    <n v="3.3"/>
    <m/>
    <n v="0"/>
    <n v="5.0999999999999996"/>
    <s v="Severe"/>
    <x v="4"/>
  </r>
  <r>
    <x v="353"/>
    <n v="16"/>
    <x v="0"/>
    <x v="1"/>
    <s v="In a Relationship"/>
    <x v="1"/>
    <n v="5.0999999999999996"/>
    <n v="2"/>
    <n v="3"/>
    <s v="No"/>
    <s v="After 30 min"/>
    <n v="81"/>
    <n v="5.9"/>
    <n v="5.0999999999999996"/>
    <n v="3.4"/>
    <n v="7.9"/>
    <s v="Yes"/>
    <s v="No"/>
    <n v="7.2"/>
    <n v="3.2"/>
    <n v="4.7"/>
    <n v="9.6"/>
    <n v="6.1"/>
    <n v="7.2"/>
    <n v="3.7"/>
    <n v="6.7"/>
    <n v="6.3"/>
    <n v="4.9000000000000004"/>
    <n v="8.8000000000000007"/>
    <s v="Low"/>
    <x v="3"/>
  </r>
  <r>
    <x v="354"/>
    <n v="30"/>
    <x v="1"/>
    <x v="3"/>
    <s v="In a Relationship"/>
    <x v="2"/>
    <n v="5.8"/>
    <n v="1"/>
    <n v="2"/>
    <s v="Yes"/>
    <s v="Within 5 min"/>
    <n v="44"/>
    <n v="0.5"/>
    <n v="5.4"/>
    <n v="7.9"/>
    <n v="7.7"/>
    <s v="No"/>
    <s v="Yes"/>
    <n v="3.5"/>
    <n v="7.9"/>
    <n v="5.0999999999999996"/>
    <n v="2.1"/>
    <n v="2"/>
    <n v="8.8000000000000007"/>
    <n v="4.3"/>
    <n v="4.3"/>
    <n v="0.5"/>
    <n v="6.6"/>
    <n v="5.2"/>
    <s v="High"/>
    <x v="0"/>
  </r>
  <r>
    <x v="355"/>
    <n v="37"/>
    <x v="1"/>
    <x v="0"/>
    <s v="In a Relationship"/>
    <x v="0"/>
    <n v="3.6"/>
    <n v="6"/>
    <n v="6"/>
    <s v="Yes"/>
    <s v="Within 5 min"/>
    <n v="68"/>
    <n v="5.4"/>
    <n v="3.4"/>
    <n v="3.5"/>
    <n v="7.9"/>
    <s v="Yes"/>
    <s v="No"/>
    <n v="3.8"/>
    <n v="10"/>
    <n v="1.2"/>
    <n v="7.4"/>
    <n v="5"/>
    <n v="7.3"/>
    <n v="10"/>
    <n v="9.8000000000000007"/>
    <n v="2.4"/>
    <n v="1.8"/>
    <n v="5.3"/>
    <s v="High"/>
    <x v="2"/>
  </r>
  <r>
    <x v="356"/>
    <n v="39"/>
    <x v="1"/>
    <x v="0"/>
    <s v="In a Relationship"/>
    <x v="1"/>
    <n v="5"/>
    <n v="5"/>
    <n v="5"/>
    <s v="No"/>
    <s v="Within 5 min"/>
    <n v="32"/>
    <n v="6.1"/>
    <n v="5.6"/>
    <n v="6.4"/>
    <n v="3.6"/>
    <s v="Yes"/>
    <s v="No"/>
    <n v="8.9"/>
    <n v="5.4"/>
    <n v="0.1"/>
    <n v="7.5"/>
    <n v="5.5"/>
    <n v="8.6999999999999993"/>
    <n v="3.2"/>
    <m/>
    <n v="2.9"/>
    <n v="2.1"/>
    <n v="7.5"/>
    <s v="Moderate"/>
    <x v="2"/>
  </r>
  <r>
    <x v="357"/>
    <n v="36"/>
    <x v="2"/>
    <x v="2"/>
    <m/>
    <x v="3"/>
    <n v="1.7"/>
    <n v="1"/>
    <n v="5"/>
    <s v="Yes"/>
    <s v="5-30 min"/>
    <n v="59"/>
    <n v="6.8"/>
    <n v="4.4000000000000004"/>
    <n v="8.1"/>
    <n v="8.1"/>
    <s v="No"/>
    <s v="No"/>
    <n v="9.1"/>
    <n v="6"/>
    <n v="3.1"/>
    <n v="2.2999999999999998"/>
    <n v="3"/>
    <n v="7.3"/>
    <n v="7"/>
    <n v="4.5"/>
    <n v="2.2000000000000002"/>
    <n v="3"/>
    <n v="4.9000000000000004"/>
    <s v="High"/>
    <x v="2"/>
  </r>
  <r>
    <x v="358"/>
    <n v="17"/>
    <x v="2"/>
    <x v="1"/>
    <s v="In a Relationship"/>
    <x v="2"/>
    <n v="2.8"/>
    <n v="4"/>
    <n v="1"/>
    <s v="No"/>
    <s v="5-30 min"/>
    <n v="70"/>
    <n v="7.1"/>
    <n v="3.9"/>
    <n v="5.0999999999999996"/>
    <n v="3.7"/>
    <s v="No"/>
    <s v="No"/>
    <n v="5.8"/>
    <n v="8.8000000000000007"/>
    <n v="7.2"/>
    <n v="6.4"/>
    <n v="5.7"/>
    <n v="4.5"/>
    <n v="5.3"/>
    <n v="7.2"/>
    <n v="2.5"/>
    <n v="3.6"/>
    <n v="7"/>
    <s v="Moderate"/>
    <x v="3"/>
  </r>
  <r>
    <x v="359"/>
    <n v="27"/>
    <x v="0"/>
    <x v="0"/>
    <s v="Married"/>
    <x v="1"/>
    <n v="0.9"/>
    <n v="3"/>
    <n v="10"/>
    <s v="Yes"/>
    <s v="Within 5 min"/>
    <n v="93"/>
    <n v="2.2999999999999998"/>
    <n v="5.5"/>
    <n v="3.3"/>
    <n v="5.0999999999999996"/>
    <s v="Yes"/>
    <s v="Yes"/>
    <n v="5.7"/>
    <n v="3.7"/>
    <m/>
    <n v="8.3000000000000007"/>
    <n v="6.5"/>
    <n v="7"/>
    <n v="9.1999999999999993"/>
    <n v="7"/>
    <n v="2.1"/>
    <n v="1"/>
    <n v="6.6"/>
    <s v="Moderate"/>
    <x v="0"/>
  </r>
  <r>
    <x v="360"/>
    <n v="19"/>
    <x v="0"/>
    <x v="0"/>
    <s v="In a Relationship"/>
    <x v="3"/>
    <n v="4"/>
    <n v="3"/>
    <n v="2"/>
    <s v="No"/>
    <s v="Within 5 min"/>
    <n v="84"/>
    <n v="5.5"/>
    <n v="7.9"/>
    <n v="5.0999999999999996"/>
    <n v="3.4"/>
    <s v="Yes"/>
    <s v="No"/>
    <n v="3.9"/>
    <n v="2.4"/>
    <n v="3.7"/>
    <n v="5.0999999999999996"/>
    <n v="4.7"/>
    <n v="7.6"/>
    <n v="3.6"/>
    <n v="6.7"/>
    <n v="3.3"/>
    <n v="4.7"/>
    <n v="6.8"/>
    <s v="Low"/>
    <x v="1"/>
  </r>
  <r>
    <x v="361"/>
    <n v="27"/>
    <x v="0"/>
    <x v="1"/>
    <s v="Single"/>
    <x v="1"/>
    <n v="5.3"/>
    <n v="3"/>
    <n v="1"/>
    <s v="No"/>
    <s v="5-30 min"/>
    <n v="5"/>
    <n v="5.3"/>
    <n v="5.9"/>
    <n v="5.5"/>
    <n v="6.1"/>
    <m/>
    <s v="Yes"/>
    <n v="2.8"/>
    <n v="4.4000000000000004"/>
    <n v="2.2000000000000002"/>
    <n v="2.2000000000000002"/>
    <n v="5.8"/>
    <m/>
    <n v="9.3000000000000007"/>
    <n v="6.6"/>
    <n v="4.2"/>
    <n v="3.9"/>
    <n v="6.4"/>
    <s v="Moderate"/>
    <x v="0"/>
  </r>
  <r>
    <x v="362"/>
    <n v="38"/>
    <x v="0"/>
    <x v="0"/>
    <s v="Single"/>
    <x v="2"/>
    <n v="6"/>
    <n v="5"/>
    <n v="7"/>
    <s v="No"/>
    <s v="Within 5 min"/>
    <n v="60"/>
    <n v="6.1"/>
    <n v="3.7"/>
    <n v="3"/>
    <n v="4.8"/>
    <s v="No"/>
    <s v="No"/>
    <n v="2.1"/>
    <n v="6.6"/>
    <n v="2.2999999999999998"/>
    <n v="4.3"/>
    <m/>
    <n v="6.2"/>
    <n v="6"/>
    <n v="5.8"/>
    <n v="0"/>
    <n v="2.6"/>
    <n v="8"/>
    <s v="Low"/>
    <x v="2"/>
  </r>
  <r>
    <x v="363"/>
    <n v="35"/>
    <x v="0"/>
    <x v="0"/>
    <s v="Single"/>
    <x v="1"/>
    <n v="1.7"/>
    <n v="1"/>
    <n v="5"/>
    <s v="Yes"/>
    <s v="Within 5 min"/>
    <n v="16"/>
    <n v="7"/>
    <n v="3.9"/>
    <n v="4.5"/>
    <n v="5.5"/>
    <m/>
    <s v="No"/>
    <n v="5.0999999999999996"/>
    <n v="2.9"/>
    <n v="3.6"/>
    <n v="6"/>
    <n v="6.3"/>
    <n v="8.3000000000000007"/>
    <n v="7.3"/>
    <n v="2"/>
    <n v="4.5999999999999996"/>
    <n v="2.1"/>
    <n v="6.9"/>
    <s v="Moderate"/>
    <x v="4"/>
  </r>
  <r>
    <x v="364"/>
    <n v="26"/>
    <x v="0"/>
    <x v="0"/>
    <s v="Single"/>
    <x v="5"/>
    <n v="6.2"/>
    <n v="5"/>
    <n v="3"/>
    <s v="Yes"/>
    <s v="Within 5 min"/>
    <n v="125"/>
    <m/>
    <n v="5.0999999999999996"/>
    <n v="3.9"/>
    <n v="6.1"/>
    <s v="No"/>
    <s v="No"/>
    <n v="4.8"/>
    <n v="2.8"/>
    <n v="3.9"/>
    <n v="3.2"/>
    <n v="8.5"/>
    <n v="5.8"/>
    <n v="2.7"/>
    <n v="4.5"/>
    <n v="4.3"/>
    <n v="3.2"/>
    <n v="5.5"/>
    <s v="Severe"/>
    <x v="0"/>
  </r>
  <r>
    <x v="365"/>
    <n v="32"/>
    <x v="1"/>
    <x v="1"/>
    <s v="In a Relationship"/>
    <x v="0"/>
    <n v="2.4"/>
    <n v="1"/>
    <n v="4"/>
    <s v="Yes"/>
    <s v="Within 5 min"/>
    <n v="85"/>
    <m/>
    <n v="5.4"/>
    <n v="3.5"/>
    <n v="8.1999999999999993"/>
    <s v="Yes"/>
    <s v="Yes"/>
    <n v="6.8"/>
    <n v="5.7"/>
    <n v="3.8"/>
    <n v="4.0999999999999996"/>
    <n v="6.8"/>
    <n v="6"/>
    <n v="4.3"/>
    <n v="4.7"/>
    <n v="2.8"/>
    <n v="3"/>
    <n v="4.3"/>
    <s v="Severe"/>
    <x v="0"/>
  </r>
  <r>
    <x v="366"/>
    <n v="33"/>
    <x v="0"/>
    <x v="0"/>
    <s v="Married"/>
    <x v="3"/>
    <n v="3.7"/>
    <n v="2"/>
    <n v="3"/>
    <s v="No"/>
    <s v="Within 5 min"/>
    <n v="55"/>
    <n v="5.4"/>
    <n v="8.6999999999999993"/>
    <n v="5.4"/>
    <n v="10"/>
    <s v="No"/>
    <s v="Yes"/>
    <n v="5.0999999999999996"/>
    <n v="0.9"/>
    <n v="6"/>
    <n v="5.2"/>
    <n v="4.0999999999999996"/>
    <n v="7.7"/>
    <n v="10"/>
    <n v="5"/>
    <n v="2.9"/>
    <n v="3.5"/>
    <n v="4.0999999999999996"/>
    <s v="Severe"/>
    <x v="0"/>
  </r>
  <r>
    <x v="367"/>
    <n v="39"/>
    <x v="0"/>
    <x v="1"/>
    <s v="In a Relationship"/>
    <x v="3"/>
    <n v="3.5"/>
    <n v="4"/>
    <n v="3"/>
    <s v="No"/>
    <s v="Within 5 min"/>
    <n v="42"/>
    <n v="4.7"/>
    <n v="5"/>
    <n v="0.4"/>
    <n v="10"/>
    <s v="Yes"/>
    <s v="Yes"/>
    <n v="6.8"/>
    <n v="4.7"/>
    <n v="3.7"/>
    <n v="7.2"/>
    <n v="5.8"/>
    <n v="7.8"/>
    <n v="5.6"/>
    <n v="7.6"/>
    <n v="3.5"/>
    <n v="0.5"/>
    <n v="6.4"/>
    <s v="Moderate"/>
    <x v="2"/>
  </r>
  <r>
    <x v="368"/>
    <n v="36"/>
    <x v="1"/>
    <x v="1"/>
    <s v="In a Relationship"/>
    <x v="4"/>
    <n v="7.8"/>
    <n v="1"/>
    <n v="5"/>
    <s v="No"/>
    <s v="5-30 min"/>
    <n v="25"/>
    <n v="3.9"/>
    <n v="6.5"/>
    <n v="1.5"/>
    <n v="7.8"/>
    <s v="No"/>
    <s v="Yes"/>
    <n v="0.4"/>
    <n v="2.8"/>
    <n v="7.2"/>
    <n v="8.3000000000000007"/>
    <n v="6.7"/>
    <n v="7.1"/>
    <n v="7.4"/>
    <n v="2.7"/>
    <m/>
    <n v="3.2"/>
    <n v="8.1"/>
    <s v="Low"/>
    <x v="2"/>
  </r>
  <r>
    <x v="369"/>
    <n v="33"/>
    <x v="1"/>
    <x v="1"/>
    <s v="Single"/>
    <x v="0"/>
    <n v="4.9000000000000004"/>
    <n v="1"/>
    <n v="5"/>
    <s v="Yes"/>
    <s v="Within 5 min"/>
    <n v="28"/>
    <n v="6.5"/>
    <n v="5.6"/>
    <n v="4.5999999999999996"/>
    <n v="7.6"/>
    <s v="Yes"/>
    <s v="Yes"/>
    <n v="8.1"/>
    <n v="6.5"/>
    <n v="6"/>
    <n v="5.7"/>
    <n v="7"/>
    <n v="4.9000000000000004"/>
    <n v="4.3"/>
    <n v="4.5999999999999996"/>
    <n v="1.3"/>
    <n v="2.1"/>
    <n v="5.0999999999999996"/>
    <s v="High"/>
    <x v="0"/>
  </r>
  <r>
    <x v="370"/>
    <n v="40"/>
    <x v="0"/>
    <x v="3"/>
    <s v="In a Relationship"/>
    <x v="3"/>
    <n v="8.9"/>
    <n v="2"/>
    <n v="5"/>
    <s v="Yes"/>
    <s v="Within 5 min"/>
    <n v="38"/>
    <n v="8.5"/>
    <n v="8.1999999999999993"/>
    <n v="5.6"/>
    <n v="4.5"/>
    <s v="Yes"/>
    <s v="No"/>
    <n v="9.9"/>
    <n v="4"/>
    <n v="5.7"/>
    <n v="6.6"/>
    <n v="7.4"/>
    <n v="9.4"/>
    <n v="1.6"/>
    <n v="3.5"/>
    <n v="2.4"/>
    <n v="0"/>
    <n v="5"/>
    <s v="Severe"/>
    <x v="2"/>
  </r>
  <r>
    <x v="371"/>
    <n v="37"/>
    <x v="1"/>
    <x v="1"/>
    <s v="In a Relationship"/>
    <x v="0"/>
    <n v="6.6"/>
    <n v="4"/>
    <n v="6"/>
    <s v="No"/>
    <s v="5-30 min"/>
    <n v="68"/>
    <m/>
    <n v="5.4"/>
    <n v="3.6"/>
    <n v="6.2"/>
    <s v="No"/>
    <s v="Yes"/>
    <n v="9.6999999999999993"/>
    <n v="5.6"/>
    <n v="4.4000000000000004"/>
    <n v="7.1"/>
    <n v="6.5"/>
    <n v="5.4"/>
    <n v="4.4000000000000004"/>
    <n v="7.5"/>
    <n v="2.7"/>
    <n v="2.4"/>
    <n v="6.5"/>
    <s v="Moderate"/>
    <x v="2"/>
  </r>
  <r>
    <x v="372"/>
    <n v="33"/>
    <x v="0"/>
    <x v="3"/>
    <s v="Single"/>
    <x v="0"/>
    <n v="4"/>
    <n v="3"/>
    <n v="8"/>
    <s v="No"/>
    <s v="Within 5 min"/>
    <n v="71"/>
    <n v="2.2999999999999998"/>
    <n v="7.2"/>
    <n v="6"/>
    <n v="4.5999999999999996"/>
    <m/>
    <s v="Yes"/>
    <n v="4.4000000000000004"/>
    <n v="6.4"/>
    <n v="4.4000000000000004"/>
    <n v="2.6"/>
    <n v="5.0999999999999996"/>
    <n v="8.3000000000000007"/>
    <n v="5.5"/>
    <n v="4.4000000000000004"/>
    <n v="7.2"/>
    <n v="1.8"/>
    <n v="6.7"/>
    <s v="Moderate"/>
    <x v="0"/>
  </r>
  <r>
    <x v="373"/>
    <n v="20"/>
    <x v="0"/>
    <x v="0"/>
    <s v="In a Relationship"/>
    <x v="3"/>
    <n v="5.4"/>
    <n v="2"/>
    <n v="3"/>
    <s v="Yes"/>
    <s v="After 30 min"/>
    <n v="70"/>
    <n v="2.5"/>
    <n v="4.7"/>
    <n v="5.0999999999999996"/>
    <n v="3.4"/>
    <s v="No"/>
    <s v="No"/>
    <n v="4.0999999999999996"/>
    <n v="0.8"/>
    <n v="4.2"/>
    <n v="6"/>
    <n v="5.8"/>
    <n v="7.4"/>
    <n v="4.8"/>
    <n v="4.5"/>
    <n v="5.2"/>
    <n v="2.2999999999999998"/>
    <n v="7.2"/>
    <s v="Low"/>
    <x v="1"/>
  </r>
  <r>
    <x v="374"/>
    <n v="22"/>
    <x v="1"/>
    <x v="0"/>
    <s v="In a Relationship"/>
    <x v="2"/>
    <n v="7.4"/>
    <n v="1"/>
    <n v="2"/>
    <s v="Yes"/>
    <s v="Within 5 min"/>
    <n v="83"/>
    <n v="9.8000000000000007"/>
    <n v="5.8"/>
    <n v="7.7"/>
    <n v="3.5"/>
    <s v="No"/>
    <s v="No"/>
    <n v="2.4"/>
    <n v="4.7"/>
    <n v="2.1"/>
    <n v="7.9"/>
    <n v="6"/>
    <m/>
    <n v="5.8"/>
    <n v="7"/>
    <n v="1"/>
    <n v="2.5"/>
    <n v="6.6"/>
    <s v="Moderate"/>
    <x v="1"/>
  </r>
  <r>
    <x v="375"/>
    <n v="38"/>
    <x v="0"/>
    <x v="1"/>
    <s v="In a Relationship"/>
    <x v="4"/>
    <n v="2.7"/>
    <n v="1"/>
    <n v="6"/>
    <s v="No"/>
    <s v="5-30 min"/>
    <n v="5"/>
    <n v="4.5999999999999996"/>
    <n v="6.6"/>
    <n v="6.5"/>
    <n v="10"/>
    <s v="Yes"/>
    <s v="Yes"/>
    <n v="2"/>
    <n v="5.3"/>
    <m/>
    <n v="7.6"/>
    <n v="3.3"/>
    <n v="9.8000000000000007"/>
    <n v="7.2"/>
    <n v="4.0999999999999996"/>
    <n v="4.4000000000000004"/>
    <n v="2.8"/>
    <n v="6.8"/>
    <s v="Moderate"/>
    <x v="2"/>
  </r>
  <r>
    <x v="376"/>
    <n v="20"/>
    <x v="1"/>
    <x v="2"/>
    <s v="Single"/>
    <x v="3"/>
    <n v="3.5"/>
    <n v="2"/>
    <n v="6"/>
    <s v="Yes"/>
    <s v="5-30 min"/>
    <n v="69"/>
    <n v="5"/>
    <n v="5.4"/>
    <n v="4.5"/>
    <n v="6.4"/>
    <s v="Yes"/>
    <s v="No"/>
    <n v="5.7"/>
    <n v="5.4"/>
    <n v="2.9"/>
    <n v="6.3"/>
    <n v="6.1"/>
    <n v="5.7"/>
    <n v="8.6999999999999993"/>
    <n v="3.3"/>
    <n v="4.5999999999999996"/>
    <n v="3.9"/>
    <n v="6.1"/>
    <s v="High"/>
    <x v="1"/>
  </r>
  <r>
    <x v="377"/>
    <n v="20"/>
    <x v="2"/>
    <x v="0"/>
    <s v="Married"/>
    <x v="0"/>
    <n v="4.4000000000000004"/>
    <n v="1"/>
    <n v="2"/>
    <s v="No"/>
    <s v="Within 5 min"/>
    <n v="102"/>
    <n v="3.5"/>
    <n v="5.9"/>
    <n v="5.6"/>
    <n v="5.8"/>
    <s v="Yes"/>
    <s v="Yes"/>
    <n v="6.1"/>
    <n v="4.9000000000000004"/>
    <n v="3.2"/>
    <n v="3.7"/>
    <n v="7.1"/>
    <n v="5"/>
    <n v="4.8"/>
    <n v="5.8"/>
    <n v="2.8"/>
    <n v="2.4"/>
    <n v="6.7"/>
    <s v="High"/>
    <x v="1"/>
  </r>
  <r>
    <x v="378"/>
    <n v="21"/>
    <x v="1"/>
    <x v="1"/>
    <s v="Single"/>
    <x v="0"/>
    <n v="3.9"/>
    <n v="3"/>
    <n v="6"/>
    <s v="Yes"/>
    <s v="5-30 min"/>
    <n v="102"/>
    <n v="6.2"/>
    <n v="6"/>
    <n v="3.2"/>
    <n v="3.9"/>
    <s v="Yes"/>
    <s v="Yes"/>
    <n v="1.4"/>
    <n v="6"/>
    <n v="2.9"/>
    <n v="4.5"/>
    <n v="7.6"/>
    <n v="6.7"/>
    <n v="5.8"/>
    <n v="2.9"/>
    <n v="5.2"/>
    <n v="0"/>
    <n v="6.2"/>
    <s v="Moderate"/>
    <x v="1"/>
  </r>
  <r>
    <x v="379"/>
    <n v="44"/>
    <x v="2"/>
    <x v="3"/>
    <s v="In a Relationship"/>
    <x v="2"/>
    <n v="4"/>
    <n v="4"/>
    <n v="4"/>
    <s v="Yes"/>
    <s v="5-30 min"/>
    <n v="67"/>
    <n v="6.1"/>
    <n v="3.2"/>
    <n v="2.2000000000000002"/>
    <n v="2.1"/>
    <s v="No"/>
    <s v="Yes"/>
    <n v="1.3"/>
    <n v="2.6"/>
    <n v="4.5999999999999996"/>
    <n v="5.6"/>
    <n v="1.3"/>
    <n v="7.4"/>
    <n v="3"/>
    <n v="4"/>
    <n v="3.5"/>
    <n v="2.6"/>
    <n v="6.5"/>
    <s v="Moderate"/>
    <x v="2"/>
  </r>
  <r>
    <x v="380"/>
    <n v="31"/>
    <x v="0"/>
    <x v="0"/>
    <s v="Single"/>
    <x v="3"/>
    <n v="8.1"/>
    <n v="6"/>
    <n v="3"/>
    <s v="Yes"/>
    <s v="Within 5 min"/>
    <n v="57"/>
    <n v="2.1"/>
    <n v="5.4"/>
    <n v="6.4"/>
    <n v="2.7"/>
    <s v="No"/>
    <s v="No"/>
    <n v="6.4"/>
    <n v="4.5999999999999996"/>
    <n v="0.5"/>
    <n v="6.7"/>
    <n v="1.7"/>
    <n v="6.1"/>
    <n v="4.9000000000000004"/>
    <n v="6.2"/>
    <n v="4.9000000000000004"/>
    <n v="5.4"/>
    <n v="5.9"/>
    <s v="High"/>
    <x v="0"/>
  </r>
  <r>
    <x v="381"/>
    <n v="25"/>
    <x v="0"/>
    <x v="3"/>
    <s v="Single"/>
    <x v="3"/>
    <n v="4.8"/>
    <n v="3"/>
    <n v="3"/>
    <s v="No"/>
    <s v="Within 5 min"/>
    <n v="58"/>
    <n v="3.5"/>
    <n v="3.5"/>
    <n v="3.7"/>
    <n v="1.1000000000000001"/>
    <m/>
    <s v="Yes"/>
    <n v="5.3"/>
    <n v="5"/>
    <n v="4.4000000000000004"/>
    <n v="2.5"/>
    <n v="6.4"/>
    <n v="7.8"/>
    <n v="2.1"/>
    <n v="2.4"/>
    <n v="0"/>
    <n v="2.8"/>
    <n v="6.9"/>
    <s v="Moderate"/>
    <x v="0"/>
  </r>
  <r>
    <x v="382"/>
    <n v="37"/>
    <x v="2"/>
    <x v="0"/>
    <s v="Single"/>
    <x v="0"/>
    <n v="3.9"/>
    <n v="1"/>
    <n v="10"/>
    <s v="Yes"/>
    <s v="Within 5 min"/>
    <n v="59"/>
    <n v="5.4"/>
    <n v="3.8"/>
    <n v="5.6"/>
    <n v="5.5"/>
    <s v="No"/>
    <s v="No"/>
    <n v="5.8"/>
    <n v="4.5"/>
    <n v="3.5"/>
    <n v="2.9"/>
    <n v="8.1999999999999993"/>
    <n v="6.4"/>
    <n v="5.9"/>
    <m/>
    <n v="1.8"/>
    <n v="3.8"/>
    <n v="5.8"/>
    <s v="High"/>
    <x v="2"/>
  </r>
  <r>
    <x v="383"/>
    <n v="29"/>
    <x v="1"/>
    <x v="2"/>
    <s v="Married"/>
    <x v="3"/>
    <n v="3.7"/>
    <n v="3"/>
    <n v="4"/>
    <s v="No"/>
    <s v="Within 5 min"/>
    <n v="70"/>
    <n v="10"/>
    <n v="4.5"/>
    <n v="3.6"/>
    <n v="3.7"/>
    <s v="No"/>
    <s v="Yes"/>
    <n v="4.7"/>
    <n v="6.4"/>
    <n v="7.1"/>
    <n v="5.5"/>
    <n v="7.6"/>
    <n v="4.5999999999999996"/>
    <n v="9.1"/>
    <n v="7.3"/>
    <n v="3.5"/>
    <n v="3.7"/>
    <n v="5.2"/>
    <s v="High"/>
    <x v="0"/>
  </r>
  <r>
    <x v="384"/>
    <n v="19"/>
    <x v="1"/>
    <x v="3"/>
    <s v="Single"/>
    <x v="5"/>
    <n v="1.7"/>
    <n v="1"/>
    <n v="5"/>
    <m/>
    <s v="After 30 min"/>
    <n v="6"/>
    <n v="7.1"/>
    <n v="1.9"/>
    <n v="2.4"/>
    <n v="5.6"/>
    <s v="Yes"/>
    <s v="No"/>
    <n v="2.5"/>
    <n v="5.8"/>
    <n v="3.8"/>
    <n v="4"/>
    <n v="6.7"/>
    <m/>
    <n v="2.5"/>
    <n v="5.6"/>
    <n v="2"/>
    <n v="2.2999999999999998"/>
    <n v="9.1"/>
    <s v="Low"/>
    <x v="1"/>
  </r>
  <r>
    <x v="385"/>
    <n v="29"/>
    <x v="1"/>
    <x v="0"/>
    <s v="Married"/>
    <x v="0"/>
    <n v="6.2"/>
    <n v="1"/>
    <n v="3"/>
    <s v="Yes"/>
    <s v="5-30 min"/>
    <n v="48"/>
    <n v="6.2"/>
    <n v="9.5"/>
    <n v="6.6"/>
    <n v="5.2"/>
    <s v="No"/>
    <s v="No"/>
    <m/>
    <n v="0"/>
    <n v="4.2"/>
    <n v="5.4"/>
    <n v="5.4"/>
    <n v="7.5"/>
    <n v="8.5"/>
    <m/>
    <n v="0.4"/>
    <n v="1.3"/>
    <n v="4.8"/>
    <s v="Severe"/>
    <x v="0"/>
  </r>
  <r>
    <x v="386"/>
    <n v="21"/>
    <x v="0"/>
    <x v="4"/>
    <s v="In a Relationship"/>
    <x v="3"/>
    <n v="3.2"/>
    <n v="3"/>
    <n v="1"/>
    <s v="Yes"/>
    <s v="Within 5 min"/>
    <n v="28"/>
    <n v="3.7"/>
    <n v="2.2999999999999998"/>
    <n v="3.4"/>
    <n v="5.6"/>
    <s v="No"/>
    <s v="Yes"/>
    <n v="5.9"/>
    <n v="0.9"/>
    <n v="4.5"/>
    <n v="5.7"/>
    <n v="8.8000000000000007"/>
    <n v="7.9"/>
    <n v="6.4"/>
    <n v="6"/>
    <n v="4.0999999999999996"/>
    <n v="4.5999999999999996"/>
    <n v="6.3"/>
    <s v="Moderate"/>
    <x v="1"/>
  </r>
  <r>
    <x v="387"/>
    <n v="28"/>
    <x v="0"/>
    <x v="1"/>
    <s v="In a Relationship"/>
    <x v="5"/>
    <n v="12"/>
    <n v="1"/>
    <n v="2"/>
    <s v="Yes"/>
    <s v="Within 5 min"/>
    <n v="56"/>
    <n v="6"/>
    <n v="6.2"/>
    <n v="5.7"/>
    <n v="9.4"/>
    <s v="Yes"/>
    <s v="No"/>
    <n v="7.5"/>
    <n v="5.0999999999999996"/>
    <n v="3.3"/>
    <n v="4.8"/>
    <n v="3"/>
    <n v="7.6"/>
    <n v="6.5"/>
    <n v="2.4"/>
    <n v="2.9"/>
    <n v="5.7"/>
    <n v="3.7"/>
    <s v="Severe"/>
    <x v="0"/>
  </r>
  <r>
    <x v="388"/>
    <n v="17"/>
    <x v="0"/>
    <x v="3"/>
    <s v="Single"/>
    <x v="0"/>
    <n v="5.5"/>
    <n v="4"/>
    <n v="5"/>
    <s v="Yes"/>
    <s v="Within 5 min"/>
    <n v="67"/>
    <n v="5.6"/>
    <n v="8"/>
    <n v="7.7"/>
    <n v="7.1"/>
    <s v="No"/>
    <s v="Yes"/>
    <n v="1"/>
    <n v="6.2"/>
    <n v="6.8"/>
    <n v="3.5"/>
    <n v="3.8"/>
    <n v="7.8"/>
    <n v="6.8"/>
    <n v="4.5"/>
    <n v="6.3"/>
    <n v="0"/>
    <n v="4.7"/>
    <s v="Severe"/>
    <x v="3"/>
  </r>
  <r>
    <x v="389"/>
    <n v="27"/>
    <x v="2"/>
    <x v="0"/>
    <s v="Single"/>
    <x v="2"/>
    <n v="3.3"/>
    <n v="5"/>
    <n v="3"/>
    <s v="No"/>
    <s v="Within 5 min"/>
    <n v="106"/>
    <n v="4.5"/>
    <n v="4"/>
    <n v="4.7"/>
    <n v="8.9"/>
    <s v="Yes"/>
    <s v="Yes"/>
    <n v="5.5"/>
    <n v="8.1999999999999993"/>
    <n v="4.9000000000000004"/>
    <n v="7.7"/>
    <n v="9.1"/>
    <n v="6"/>
    <n v="5.0999999999999996"/>
    <n v="10"/>
    <n v="3.2"/>
    <n v="5.8"/>
    <n v="6.9"/>
    <s v="Moderate"/>
    <x v="0"/>
  </r>
  <r>
    <x v="390"/>
    <n v="37"/>
    <x v="0"/>
    <x v="2"/>
    <s v="Single"/>
    <x v="1"/>
    <n v="2"/>
    <n v="2"/>
    <n v="3"/>
    <s v="No"/>
    <s v="Within 5 min"/>
    <n v="64"/>
    <n v="5.3"/>
    <n v="4.3"/>
    <m/>
    <n v="4.7"/>
    <s v="Yes"/>
    <s v="No"/>
    <n v="3"/>
    <n v="8"/>
    <n v="3.1"/>
    <n v="6.2"/>
    <n v="2.7"/>
    <n v="7.9"/>
    <n v="3.9"/>
    <n v="5.2"/>
    <n v="1.4"/>
    <n v="0.1"/>
    <n v="6.8"/>
    <s v="Moderate"/>
    <x v="2"/>
  </r>
  <r>
    <x v="391"/>
    <n v="39"/>
    <x v="2"/>
    <x v="0"/>
    <s v="In a Relationship"/>
    <x v="1"/>
    <n v="3.5"/>
    <n v="1"/>
    <n v="2"/>
    <s v="Yes"/>
    <s v="Within 5 min"/>
    <n v="88"/>
    <n v="7.9"/>
    <n v="4.9000000000000004"/>
    <n v="3.2"/>
    <n v="7.9"/>
    <s v="Yes"/>
    <s v="No"/>
    <n v="4.4000000000000004"/>
    <n v="5.5"/>
    <n v="2.9"/>
    <n v="7.6"/>
    <n v="6.1"/>
    <n v="6.1"/>
    <n v="6"/>
    <n v="7.2"/>
    <m/>
    <n v="1.7"/>
    <n v="6.3"/>
    <s v="Moderate"/>
    <x v="2"/>
  </r>
  <r>
    <x v="392"/>
    <n v="44"/>
    <x v="0"/>
    <x v="0"/>
    <s v="Single"/>
    <x v="0"/>
    <n v="5.4"/>
    <n v="4"/>
    <n v="4"/>
    <s v="No"/>
    <s v="Within 5 min"/>
    <n v="103"/>
    <n v="3.8"/>
    <n v="5.4"/>
    <n v="3.1"/>
    <n v="6.2"/>
    <s v="No"/>
    <s v="Yes"/>
    <n v="4.5"/>
    <n v="6.1"/>
    <n v="4.5999999999999996"/>
    <n v="9.5"/>
    <n v="7.3"/>
    <n v="4.7"/>
    <n v="0"/>
    <m/>
    <m/>
    <n v="2.2000000000000002"/>
    <n v="9.1999999999999993"/>
    <s v="Low"/>
    <x v="2"/>
  </r>
  <r>
    <x v="393"/>
    <n v="42"/>
    <x v="1"/>
    <x v="0"/>
    <s v="Married"/>
    <x v="1"/>
    <n v="3.3"/>
    <n v="1"/>
    <n v="5"/>
    <s v="Yes"/>
    <s v="After 30 min"/>
    <n v="115"/>
    <n v="6.3"/>
    <n v="8.3000000000000007"/>
    <n v="7"/>
    <n v="9.3000000000000007"/>
    <s v="No"/>
    <s v="No"/>
    <n v="6.7"/>
    <m/>
    <n v="5"/>
    <n v="6.4"/>
    <n v="7.4"/>
    <n v="5"/>
    <n v="5.9"/>
    <n v="9.1999999999999993"/>
    <n v="2.9"/>
    <n v="1.5"/>
    <n v="6.6"/>
    <s v="Moderate"/>
    <x v="2"/>
  </r>
  <r>
    <x v="394"/>
    <n v="42"/>
    <x v="1"/>
    <x v="0"/>
    <s v="Single"/>
    <x v="2"/>
    <n v="5.8"/>
    <n v="3"/>
    <n v="4"/>
    <s v="No"/>
    <s v="5-30 min"/>
    <n v="16"/>
    <n v="4"/>
    <n v="8.8000000000000007"/>
    <n v="4.7"/>
    <n v="3.5"/>
    <s v="Yes"/>
    <s v="No"/>
    <n v="6.4"/>
    <n v="4"/>
    <n v="6.3"/>
    <n v="5.6"/>
    <n v="3.1"/>
    <n v="6.7"/>
    <n v="0.8"/>
    <n v="5.6"/>
    <n v="0.9"/>
    <n v="2.1"/>
    <n v="6.9"/>
    <s v="Low"/>
    <x v="2"/>
  </r>
  <r>
    <x v="395"/>
    <n v="38"/>
    <x v="0"/>
    <x v="0"/>
    <s v="Single"/>
    <x v="3"/>
    <n v="6"/>
    <n v="1"/>
    <n v="4"/>
    <s v="No"/>
    <s v="Within 5 min"/>
    <n v="41"/>
    <n v="5.6"/>
    <n v="4.0999999999999996"/>
    <n v="7.2"/>
    <n v="5.6"/>
    <s v="No"/>
    <s v="No"/>
    <n v="3.9"/>
    <n v="4.3"/>
    <n v="5.4"/>
    <n v="5.5"/>
    <n v="8"/>
    <n v="6.8"/>
    <n v="5.7"/>
    <n v="5.3"/>
    <n v="0.9"/>
    <n v="3.9"/>
    <n v="7.4"/>
    <s v="Low"/>
    <x v="2"/>
  </r>
  <r>
    <x v="396"/>
    <n v="31"/>
    <x v="1"/>
    <x v="2"/>
    <s v="In a Relationship"/>
    <x v="5"/>
    <n v="5.7"/>
    <n v="1"/>
    <n v="2"/>
    <s v="Yes"/>
    <s v="After 30 min"/>
    <n v="77"/>
    <n v="5.2"/>
    <n v="5.8"/>
    <n v="6.5"/>
    <n v="5.6"/>
    <s v="Yes"/>
    <s v="No"/>
    <n v="6.1"/>
    <n v="5.0999999999999996"/>
    <n v="2.8"/>
    <n v="2.9"/>
    <n v="4"/>
    <n v="3.7"/>
    <n v="4.9000000000000004"/>
    <n v="8.8000000000000007"/>
    <n v="1.5"/>
    <n v="3.8"/>
    <n v="7.3"/>
    <s v="Moderate"/>
    <x v="0"/>
  </r>
  <r>
    <x v="397"/>
    <n v="29"/>
    <x v="1"/>
    <x v="0"/>
    <s v="In a Relationship"/>
    <x v="0"/>
    <n v="5.6"/>
    <n v="3"/>
    <n v="2"/>
    <s v="No"/>
    <s v="After 30 min"/>
    <n v="5"/>
    <n v="7.6"/>
    <n v="5.4"/>
    <n v="6.5"/>
    <n v="0.3"/>
    <s v="Yes"/>
    <s v="Yes"/>
    <n v="0.9"/>
    <n v="5"/>
    <n v="4.3"/>
    <n v="2.5"/>
    <n v="8.8000000000000007"/>
    <n v="7.3"/>
    <n v="7.1"/>
    <n v="2.7"/>
    <n v="4.5999999999999996"/>
    <n v="2.1"/>
    <n v="6.8"/>
    <s v="Low"/>
    <x v="0"/>
  </r>
  <r>
    <x v="398"/>
    <n v="43"/>
    <x v="1"/>
    <x v="4"/>
    <s v="Single"/>
    <x v="1"/>
    <m/>
    <n v="2"/>
    <n v="0"/>
    <s v="Yes"/>
    <s v="Within 5 min"/>
    <n v="56"/>
    <n v="7"/>
    <n v="5.6"/>
    <n v="5.6"/>
    <n v="5.4"/>
    <s v="No"/>
    <s v="No"/>
    <n v="3.4"/>
    <n v="4.7"/>
    <n v="4.9000000000000004"/>
    <n v="6.5"/>
    <n v="3.5"/>
    <n v="6"/>
    <n v="3.2"/>
    <n v="7.1"/>
    <n v="5"/>
    <n v="0.2"/>
    <n v="5.4"/>
    <s v="High"/>
    <x v="2"/>
  </r>
  <r>
    <x v="399"/>
    <n v="20"/>
    <x v="1"/>
    <x v="1"/>
    <m/>
    <x v="3"/>
    <n v="3.1"/>
    <n v="6"/>
    <n v="9"/>
    <s v="No"/>
    <s v="Within 5 min"/>
    <n v="82"/>
    <n v="5.8"/>
    <n v="5.8"/>
    <n v="6.1"/>
    <n v="2.2000000000000002"/>
    <s v="Yes"/>
    <s v="Yes"/>
    <n v="5.4"/>
    <n v="3.7"/>
    <n v="7.2"/>
    <n v="3"/>
    <n v="6.5"/>
    <n v="7.6"/>
    <n v="7.1"/>
    <n v="4.0999999999999996"/>
    <n v="7.3"/>
    <n v="3.9"/>
    <n v="6"/>
    <s v="Moderate"/>
    <x v="1"/>
  </r>
  <r>
    <x v="400"/>
    <n v="23"/>
    <x v="1"/>
    <x v="1"/>
    <s v="Married"/>
    <x v="0"/>
    <n v="1.9"/>
    <n v="7"/>
    <n v="4"/>
    <s v="No"/>
    <s v="5-30 min"/>
    <n v="79"/>
    <n v="5.4"/>
    <n v="1.7"/>
    <n v="4.5999999999999996"/>
    <n v="8.6999999999999993"/>
    <s v="No"/>
    <s v="No"/>
    <n v="4.8"/>
    <n v="7.3"/>
    <n v="5.3"/>
    <n v="5.5"/>
    <n v="2"/>
    <n v="6.5"/>
    <n v="5"/>
    <n v="3.6"/>
    <n v="5.3"/>
    <n v="4.5"/>
    <n v="7.2"/>
    <s v="Moderate"/>
    <x v="1"/>
  </r>
  <r>
    <x v="401"/>
    <n v="44"/>
    <x v="1"/>
    <x v="0"/>
    <s v="In a Relationship"/>
    <x v="3"/>
    <n v="1.1000000000000001"/>
    <n v="3"/>
    <n v="4"/>
    <s v="No"/>
    <s v="Within 5 min"/>
    <n v="26"/>
    <n v="5"/>
    <n v="8"/>
    <n v="4.5999999999999996"/>
    <n v="6.5"/>
    <s v="Yes"/>
    <s v="No"/>
    <n v="6.5"/>
    <n v="7"/>
    <n v="2.4"/>
    <n v="4.5999999999999996"/>
    <m/>
    <n v="4.5999999999999996"/>
    <n v="6.4"/>
    <n v="7.9"/>
    <n v="4.4000000000000004"/>
    <n v="1"/>
    <n v="7.4"/>
    <s v="Low"/>
    <x v="2"/>
  </r>
  <r>
    <x v="402"/>
    <n v="24"/>
    <x v="0"/>
    <x v="0"/>
    <s v="Married"/>
    <x v="1"/>
    <n v="3.6"/>
    <n v="6"/>
    <n v="2"/>
    <s v="No"/>
    <s v="5-30 min"/>
    <n v="53"/>
    <n v="6.7"/>
    <n v="6.3"/>
    <n v="7.7"/>
    <n v="1.7"/>
    <s v="Yes"/>
    <s v="Yes"/>
    <n v="4"/>
    <n v="3.9"/>
    <n v="2.2999999999999998"/>
    <n v="3.8"/>
    <n v="3.8"/>
    <n v="4.7"/>
    <n v="5.8"/>
    <n v="5"/>
    <n v="2.4"/>
    <n v="4.3"/>
    <n v="6.2"/>
    <s v="High"/>
    <x v="1"/>
  </r>
  <r>
    <x v="403"/>
    <n v="27"/>
    <x v="2"/>
    <x v="1"/>
    <s v="In a Relationship"/>
    <x v="2"/>
    <n v="5.9"/>
    <n v="4"/>
    <n v="3"/>
    <s v="Yes"/>
    <s v="5-30 min"/>
    <n v="14"/>
    <n v="3.7"/>
    <n v="6.2"/>
    <n v="7"/>
    <n v="3.6"/>
    <s v="Yes"/>
    <s v="Yes"/>
    <n v="2.4"/>
    <n v="3.3"/>
    <n v="1.2"/>
    <n v="1.7"/>
    <n v="7.7"/>
    <n v="7.1"/>
    <n v="7.3"/>
    <n v="7.1"/>
    <n v="1.2"/>
    <n v="0"/>
    <n v="7.1"/>
    <s v="Moderate"/>
    <x v="0"/>
  </r>
  <r>
    <x v="404"/>
    <n v="38"/>
    <x v="1"/>
    <x v="0"/>
    <s v="In a Relationship"/>
    <x v="3"/>
    <n v="4.5"/>
    <n v="4"/>
    <n v="3"/>
    <s v="No"/>
    <s v="Within 5 min"/>
    <n v="37"/>
    <n v="6.7"/>
    <n v="4.2"/>
    <n v="2.5"/>
    <n v="3.3"/>
    <s v="Yes"/>
    <s v="No"/>
    <n v="7.5"/>
    <m/>
    <n v="6.5"/>
    <n v="2.8"/>
    <n v="6.3"/>
    <n v="6.4"/>
    <n v="4.3"/>
    <n v="6.2"/>
    <n v="2.6"/>
    <n v="3.9"/>
    <n v="6.8"/>
    <s v="Moderate"/>
    <x v="2"/>
  </r>
  <r>
    <x v="405"/>
    <n v="22"/>
    <x v="0"/>
    <x v="2"/>
    <s v="Single"/>
    <x v="0"/>
    <n v="2.2999999999999998"/>
    <n v="4"/>
    <n v="3"/>
    <s v="No"/>
    <s v="Within 5 min"/>
    <n v="65"/>
    <n v="6.2"/>
    <n v="2.1"/>
    <n v="5.6"/>
    <n v="4.8"/>
    <s v="Yes"/>
    <s v="Yes"/>
    <n v="7.7"/>
    <n v="3"/>
    <n v="4.5999999999999996"/>
    <n v="6"/>
    <n v="6.7"/>
    <n v="6.1"/>
    <n v="8.1"/>
    <n v="9.6999999999999993"/>
    <n v="2.2999999999999998"/>
    <n v="3.2"/>
    <n v="7.6"/>
    <s v="Low"/>
    <x v="1"/>
  </r>
  <r>
    <x v="406"/>
    <n v="29"/>
    <x v="2"/>
    <x v="0"/>
    <s v="Single"/>
    <x v="0"/>
    <n v="6.4"/>
    <n v="5"/>
    <n v="6"/>
    <s v="No"/>
    <s v="After 30 min"/>
    <n v="57"/>
    <n v="6.3"/>
    <n v="6.5"/>
    <n v="5.8"/>
    <n v="7.7"/>
    <s v="Yes"/>
    <s v="Yes"/>
    <n v="4.5"/>
    <n v="1.1000000000000001"/>
    <n v="5.2"/>
    <n v="7.5"/>
    <n v="4.2"/>
    <n v="8.1999999999999993"/>
    <n v="3.2"/>
    <n v="4.5999999999999996"/>
    <n v="1.5"/>
    <n v="2.2000000000000002"/>
    <n v="6.2"/>
    <s v="High"/>
    <x v="0"/>
  </r>
  <r>
    <x v="407"/>
    <n v="21"/>
    <x v="0"/>
    <x v="0"/>
    <s v="Married"/>
    <x v="3"/>
    <n v="2.5"/>
    <n v="3"/>
    <n v="3"/>
    <s v="Yes"/>
    <s v="Within 5 min"/>
    <n v="29"/>
    <n v="8.6999999999999993"/>
    <n v="7.6"/>
    <n v="8.1"/>
    <n v="3.7"/>
    <s v="Yes"/>
    <s v="Yes"/>
    <n v="5.4"/>
    <n v="3.2"/>
    <n v="10"/>
    <n v="4.9000000000000004"/>
    <n v="4.7"/>
    <n v="8.4"/>
    <n v="8.1"/>
    <n v="7.8"/>
    <n v="1.7"/>
    <n v="1.7"/>
    <n v="3.6"/>
    <s v="Severe"/>
    <x v="1"/>
  </r>
  <r>
    <x v="408"/>
    <n v="17"/>
    <x v="1"/>
    <x v="0"/>
    <s v="In a Relationship"/>
    <x v="4"/>
    <n v="2.1"/>
    <n v="8"/>
    <n v="5"/>
    <s v="No"/>
    <s v="5-30 min"/>
    <n v="64"/>
    <n v="6.8"/>
    <n v="5.3"/>
    <n v="7.6"/>
    <n v="0.8"/>
    <s v="No"/>
    <s v="Yes"/>
    <n v="6"/>
    <n v="3"/>
    <n v="5.6"/>
    <n v="3.6"/>
    <n v="7"/>
    <n v="8"/>
    <n v="6"/>
    <n v="8.5"/>
    <n v="0.5"/>
    <n v="4.3"/>
    <n v="7.9"/>
    <s v="Low"/>
    <x v="3"/>
  </r>
  <r>
    <x v="409"/>
    <n v="20"/>
    <x v="1"/>
    <x v="3"/>
    <s v="Married"/>
    <x v="1"/>
    <n v="2.5"/>
    <n v="3"/>
    <n v="3"/>
    <s v="No"/>
    <s v="5-30 min"/>
    <n v="79"/>
    <n v="6.5"/>
    <n v="6"/>
    <n v="7"/>
    <n v="5.0999999999999996"/>
    <s v="Yes"/>
    <s v="No"/>
    <n v="10"/>
    <n v="4"/>
    <n v="1.8"/>
    <n v="5.2"/>
    <n v="6.5"/>
    <n v="8.6999999999999993"/>
    <n v="1.7"/>
    <n v="5.3"/>
    <n v="0"/>
    <n v="3.5"/>
    <n v="7.8"/>
    <s v="Low"/>
    <x v="1"/>
  </r>
  <r>
    <x v="410"/>
    <n v="37"/>
    <x v="1"/>
    <x v="1"/>
    <s v="Single"/>
    <x v="2"/>
    <n v="3.1"/>
    <n v="2"/>
    <n v="2"/>
    <s v="No"/>
    <s v="Within 5 min"/>
    <n v="37"/>
    <n v="3.3"/>
    <n v="8"/>
    <n v="4"/>
    <n v="9.1"/>
    <s v="No"/>
    <s v="No"/>
    <n v="7.2"/>
    <n v="6.4"/>
    <n v="7"/>
    <n v="5.4"/>
    <n v="8.1999999999999993"/>
    <n v="5.3"/>
    <n v="4.7"/>
    <n v="2.9"/>
    <n v="2.2999999999999998"/>
    <n v="10.3"/>
    <n v="7.8"/>
    <s v="Low"/>
    <x v="2"/>
  </r>
  <r>
    <x v="411"/>
    <n v="32"/>
    <x v="3"/>
    <x v="0"/>
    <s v="Single"/>
    <x v="0"/>
    <n v="4.3"/>
    <n v="1"/>
    <n v="2"/>
    <s v="No"/>
    <s v="5-30 min"/>
    <n v="74"/>
    <n v="4.2"/>
    <n v="4"/>
    <n v="5.8"/>
    <n v="3.2"/>
    <s v="Yes"/>
    <s v="No"/>
    <n v="3.4"/>
    <n v="7.8"/>
    <n v="4.7"/>
    <n v="2.1"/>
    <n v="7.3"/>
    <n v="6.2"/>
    <n v="6.9"/>
    <n v="8.3000000000000007"/>
    <n v="6.5"/>
    <n v="7.4"/>
    <n v="8.1999999999999993"/>
    <s v="Low"/>
    <x v="0"/>
  </r>
  <r>
    <x v="412"/>
    <n v="29"/>
    <x v="0"/>
    <x v="0"/>
    <s v="Single"/>
    <x v="1"/>
    <n v="1.9"/>
    <n v="6"/>
    <n v="5"/>
    <s v="No"/>
    <s v="5-30 min"/>
    <n v="72"/>
    <n v="7.9"/>
    <n v="4.8"/>
    <n v="2.9"/>
    <n v="3.1"/>
    <s v="Yes"/>
    <s v="No"/>
    <n v="8.3000000000000007"/>
    <n v="4"/>
    <n v="6.6"/>
    <n v="4.2"/>
    <n v="5.0999999999999996"/>
    <n v="7.7"/>
    <n v="4.5"/>
    <n v="5.8"/>
    <n v="3.5"/>
    <n v="2.8"/>
    <n v="7"/>
    <s v="Moderate"/>
    <x v="0"/>
  </r>
  <r>
    <x v="413"/>
    <n v="24"/>
    <x v="1"/>
    <x v="1"/>
    <s v="In a Relationship"/>
    <x v="4"/>
    <n v="1.1000000000000001"/>
    <n v="4"/>
    <n v="3"/>
    <s v="No"/>
    <s v="Within 5 min"/>
    <n v="77"/>
    <n v="7.2"/>
    <n v="3.2"/>
    <n v="4.8"/>
    <n v="10"/>
    <s v="Yes"/>
    <s v="Yes"/>
    <n v="5.2"/>
    <n v="3.5"/>
    <n v="6.4"/>
    <n v="4.8"/>
    <n v="3.4"/>
    <n v="7.1"/>
    <n v="4.5"/>
    <n v="5.2"/>
    <n v="4.0999999999999996"/>
    <n v="5.4"/>
    <n v="6.3"/>
    <s v="High"/>
    <x v="1"/>
  </r>
  <r>
    <x v="414"/>
    <n v="18"/>
    <x v="3"/>
    <x v="0"/>
    <s v="Single"/>
    <x v="3"/>
    <n v="5.4"/>
    <n v="1"/>
    <n v="4"/>
    <s v="No"/>
    <s v="Within 5 min"/>
    <n v="54"/>
    <n v="6.1"/>
    <n v="5.0999999999999996"/>
    <n v="4.0999999999999996"/>
    <n v="9.1999999999999993"/>
    <s v="No"/>
    <s v="No"/>
    <n v="6.3"/>
    <n v="3.7"/>
    <n v="0"/>
    <n v="6.4"/>
    <n v="2.8"/>
    <n v="5.3"/>
    <m/>
    <n v="7.6"/>
    <n v="3"/>
    <n v="0.6"/>
    <n v="6.5"/>
    <s v="High"/>
    <x v="1"/>
  </r>
  <r>
    <x v="415"/>
    <n v="30"/>
    <x v="1"/>
    <x v="1"/>
    <s v="Single"/>
    <x v="2"/>
    <n v="5"/>
    <n v="2"/>
    <n v="1"/>
    <s v="Yes"/>
    <s v="After 30 min"/>
    <n v="5"/>
    <n v="4.0999999999999996"/>
    <n v="8.9"/>
    <n v="6.2"/>
    <n v="5.7"/>
    <s v="No"/>
    <s v="No"/>
    <n v="6.8"/>
    <m/>
    <n v="4.5"/>
    <n v="9.9"/>
    <n v="7.8"/>
    <n v="5.9"/>
    <n v="1.2"/>
    <n v="4.5999999999999996"/>
    <n v="3.1"/>
    <n v="3.7"/>
    <n v="8.1999999999999993"/>
    <s v="Low"/>
    <x v="0"/>
  </r>
  <r>
    <x v="416"/>
    <n v="35"/>
    <x v="0"/>
    <x v="1"/>
    <s v="In a Relationship"/>
    <x v="3"/>
    <n v="5.5"/>
    <n v="1"/>
    <n v="8"/>
    <s v="Yes"/>
    <s v="5-30 min"/>
    <n v="118"/>
    <n v="8"/>
    <n v="5.7"/>
    <n v="4.5"/>
    <n v="7.6"/>
    <s v="No"/>
    <s v="Yes"/>
    <n v="4.5"/>
    <n v="0"/>
    <n v="7.1"/>
    <n v="5.5"/>
    <n v="6.4"/>
    <n v="6.9"/>
    <n v="6.7"/>
    <n v="3"/>
    <n v="7.1"/>
    <n v="6.5"/>
    <n v="3.5"/>
    <s v="Severe"/>
    <x v="4"/>
  </r>
  <r>
    <x v="417"/>
    <n v="15"/>
    <x v="1"/>
    <x v="1"/>
    <s v="Married"/>
    <x v="4"/>
    <n v="6.1"/>
    <n v="5"/>
    <n v="5"/>
    <s v="Yes"/>
    <s v="Within 5 min"/>
    <n v="92"/>
    <n v="2.9"/>
    <n v="9.9"/>
    <n v="2.7"/>
    <n v="6.6"/>
    <m/>
    <s v="No"/>
    <n v="6.8"/>
    <n v="3.9"/>
    <n v="4.5999999999999996"/>
    <n v="5.5"/>
    <n v="10"/>
    <n v="5.9"/>
    <n v="3.6"/>
    <n v="4.8"/>
    <n v="2"/>
    <n v="3.1"/>
    <n v="6.2"/>
    <s v="Moderate"/>
    <x v="3"/>
  </r>
  <r>
    <x v="418"/>
    <n v="18"/>
    <x v="1"/>
    <x v="1"/>
    <s v="Married"/>
    <x v="1"/>
    <n v="4.5999999999999996"/>
    <n v="3"/>
    <n v="4"/>
    <s v="Yes"/>
    <s v="5-30 min"/>
    <n v="128"/>
    <n v="5.2"/>
    <n v="6.1"/>
    <n v="4.8"/>
    <n v="5.3"/>
    <s v="Yes"/>
    <s v="Yes"/>
    <n v="1.6"/>
    <n v="3.8"/>
    <n v="2.2000000000000002"/>
    <n v="4.3"/>
    <n v="6.1"/>
    <n v="8.5"/>
    <n v="7.2"/>
    <n v="3.6"/>
    <n v="4.2"/>
    <m/>
    <n v="5.2"/>
    <s v="Severe"/>
    <x v="1"/>
  </r>
  <r>
    <x v="419"/>
    <n v="36"/>
    <x v="1"/>
    <x v="0"/>
    <s v="In a Relationship"/>
    <x v="0"/>
    <n v="8.1999999999999993"/>
    <n v="8"/>
    <n v="5"/>
    <s v="No"/>
    <s v="5-30 min"/>
    <n v="47"/>
    <n v="4"/>
    <n v="5.4"/>
    <n v="5.5"/>
    <n v="3"/>
    <s v="No"/>
    <s v="No"/>
    <n v="5.4"/>
    <n v="7.9"/>
    <n v="4.5999999999999996"/>
    <n v="7.3"/>
    <n v="3.1"/>
    <n v="7.4"/>
    <n v="1.6"/>
    <n v="4.2"/>
    <n v="5.9"/>
    <n v="1.8"/>
    <n v="8"/>
    <s v="Low"/>
    <x v="2"/>
  </r>
  <r>
    <x v="420"/>
    <n v="21"/>
    <x v="1"/>
    <x v="1"/>
    <m/>
    <x v="1"/>
    <n v="4.0999999999999996"/>
    <n v="5"/>
    <n v="3"/>
    <s v="No"/>
    <s v="5-30 min"/>
    <n v="101"/>
    <n v="2.2999999999999998"/>
    <n v="5.6"/>
    <n v="4.2"/>
    <n v="3.8"/>
    <s v="No"/>
    <s v="Yes"/>
    <n v="6.6"/>
    <n v="5.9"/>
    <n v="3.5"/>
    <n v="8.1"/>
    <n v="5.2"/>
    <n v="6.1"/>
    <n v="3.1"/>
    <n v="8.4"/>
    <n v="4.9000000000000004"/>
    <n v="3.6"/>
    <n v="7.4"/>
    <s v="Low"/>
    <x v="1"/>
  </r>
  <r>
    <x v="421"/>
    <n v="35"/>
    <x v="1"/>
    <x v="3"/>
    <s v="Married"/>
    <x v="2"/>
    <n v="4.4000000000000004"/>
    <n v="1"/>
    <n v="7"/>
    <s v="Yes"/>
    <s v="5-30 min"/>
    <n v="78"/>
    <n v="9.8000000000000007"/>
    <n v="5.0999999999999996"/>
    <n v="4.4000000000000004"/>
    <n v="4.7"/>
    <s v="Yes"/>
    <s v="Yes"/>
    <n v="9"/>
    <n v="9.8000000000000007"/>
    <n v="5"/>
    <n v="6"/>
    <m/>
    <n v="6.1"/>
    <n v="3.8"/>
    <n v="8.3000000000000007"/>
    <n v="3.7"/>
    <n v="3.8"/>
    <n v="6.8"/>
    <s v="Moderate"/>
    <x v="4"/>
  </r>
  <r>
    <x v="422"/>
    <n v="15"/>
    <x v="1"/>
    <x v="1"/>
    <s v="In a Relationship"/>
    <x v="3"/>
    <n v="7.2"/>
    <n v="7"/>
    <n v="5"/>
    <s v="Yes"/>
    <s v="After 30 min"/>
    <n v="92"/>
    <n v="2"/>
    <n v="6.5"/>
    <n v="0"/>
    <n v="8.8000000000000007"/>
    <s v="No"/>
    <s v="No"/>
    <n v="4.8"/>
    <n v="6.7"/>
    <n v="1.4"/>
    <n v="5.9"/>
    <n v="2.6"/>
    <n v="8.3000000000000007"/>
    <n v="3.7"/>
    <n v="4.9000000000000004"/>
    <n v="3.4"/>
    <n v="1.9"/>
    <n v="4.9000000000000004"/>
    <s v="Moderate"/>
    <x v="3"/>
  </r>
  <r>
    <x v="423"/>
    <n v="35"/>
    <x v="1"/>
    <x v="3"/>
    <s v="Single"/>
    <x v="4"/>
    <n v="5.3"/>
    <n v="4"/>
    <n v="6"/>
    <s v="Yes"/>
    <s v="After 30 min"/>
    <n v="15"/>
    <n v="7.3"/>
    <n v="7.2"/>
    <n v="4.8"/>
    <n v="7.2"/>
    <s v="Yes"/>
    <s v="Yes"/>
    <n v="6.7"/>
    <n v="2.8"/>
    <n v="4.5999999999999996"/>
    <n v="6.6"/>
    <n v="6.9"/>
    <n v="8.1"/>
    <n v="7"/>
    <n v="4"/>
    <n v="2.7"/>
    <n v="1.8"/>
    <n v="5.6"/>
    <s v="High"/>
    <x v="4"/>
  </r>
  <r>
    <x v="424"/>
    <n v="16"/>
    <x v="0"/>
    <x v="0"/>
    <s v="Married"/>
    <x v="4"/>
    <n v="4.2"/>
    <n v="1"/>
    <n v="6"/>
    <s v="No"/>
    <s v="5-30 min"/>
    <n v="35"/>
    <n v="5.5"/>
    <n v="4.3"/>
    <n v="7.3"/>
    <n v="6.4"/>
    <s v="No"/>
    <s v="No"/>
    <n v="4.7"/>
    <n v="7.4"/>
    <n v="6.7"/>
    <n v="4"/>
    <n v="5.7"/>
    <n v="5.2"/>
    <m/>
    <n v="5.2"/>
    <n v="4.0999999999999996"/>
    <n v="3.5"/>
    <n v="6.7"/>
    <s v="Low"/>
    <x v="3"/>
  </r>
  <r>
    <x v="425"/>
    <n v="36"/>
    <x v="1"/>
    <x v="1"/>
    <s v="Single"/>
    <x v="1"/>
    <n v="4.5"/>
    <n v="3"/>
    <n v="5"/>
    <s v="Yes"/>
    <s v="5-30 min"/>
    <n v="5"/>
    <n v="6.9"/>
    <n v="6.9"/>
    <n v="2.2000000000000002"/>
    <n v="2.2000000000000002"/>
    <s v="No"/>
    <s v="No"/>
    <n v="7.2"/>
    <n v="2.6"/>
    <n v="4.5999999999999996"/>
    <n v="4.0999999999999996"/>
    <n v="4.0999999999999996"/>
    <n v="7"/>
    <n v="4.4000000000000004"/>
    <n v="9.3000000000000007"/>
    <n v="4.0999999999999996"/>
    <n v="0.9"/>
    <n v="7.4"/>
    <s v="Moderate"/>
    <x v="2"/>
  </r>
  <r>
    <x v="426"/>
    <n v="17"/>
    <x v="1"/>
    <x v="3"/>
    <s v="Married"/>
    <x v="3"/>
    <n v="2"/>
    <n v="3"/>
    <n v="3"/>
    <s v="Yes"/>
    <s v="After 30 min"/>
    <n v="121"/>
    <n v="9.6999999999999993"/>
    <n v="6.2"/>
    <m/>
    <n v="9.3000000000000007"/>
    <s v="No"/>
    <s v="Yes"/>
    <n v="3.1"/>
    <n v="3.8"/>
    <n v="0.9"/>
    <n v="7.4"/>
    <n v="5.2"/>
    <n v="8"/>
    <n v="5.8"/>
    <n v="9"/>
    <n v="4.3"/>
    <n v="2.2000000000000002"/>
    <n v="6.2"/>
    <s v="High"/>
    <x v="3"/>
  </r>
  <r>
    <x v="427"/>
    <n v="26"/>
    <x v="1"/>
    <x v="0"/>
    <s v="Married"/>
    <x v="5"/>
    <n v="5.9"/>
    <n v="2"/>
    <n v="3"/>
    <s v="No"/>
    <s v="After 30 min"/>
    <n v="110"/>
    <n v="5.3"/>
    <n v="7.2"/>
    <n v="2.2999999999999998"/>
    <n v="8.6999999999999993"/>
    <s v="No"/>
    <s v="No"/>
    <n v="3.3"/>
    <n v="7.6"/>
    <n v="6.1"/>
    <n v="5"/>
    <n v="4.0999999999999996"/>
    <n v="5"/>
    <n v="4.7"/>
    <m/>
    <n v="2.9"/>
    <n v="5.7"/>
    <n v="8.1999999999999993"/>
    <s v="Moderate"/>
    <x v="0"/>
  </r>
  <r>
    <x v="428"/>
    <n v="30"/>
    <x v="0"/>
    <x v="1"/>
    <s v="Single"/>
    <x v="3"/>
    <n v="4"/>
    <n v="4"/>
    <n v="5"/>
    <s v="No"/>
    <s v="5-30 min"/>
    <n v="38"/>
    <n v="0.6"/>
    <n v="4.3"/>
    <n v="7.8"/>
    <n v="4.5999999999999996"/>
    <s v="No"/>
    <s v="No"/>
    <n v="5.9"/>
    <n v="6.9"/>
    <n v="0"/>
    <n v="5.3"/>
    <n v="7.9"/>
    <n v="6.4"/>
    <n v="2"/>
    <n v="8.4"/>
    <n v="1.3"/>
    <n v="0"/>
    <n v="9.6"/>
    <s v="Low"/>
    <x v="0"/>
  </r>
  <r>
    <x v="429"/>
    <n v="26"/>
    <x v="0"/>
    <x v="3"/>
    <s v="In a Relationship"/>
    <x v="1"/>
    <n v="5.4"/>
    <n v="2"/>
    <n v="4"/>
    <s v="Yes"/>
    <s v="Within 5 min"/>
    <n v="31"/>
    <n v="6.2"/>
    <n v="4.7"/>
    <n v="5.3"/>
    <n v="6.3"/>
    <m/>
    <s v="No"/>
    <n v="6.4"/>
    <n v="4.8"/>
    <n v="6"/>
    <n v="7.4"/>
    <n v="4.5999999999999996"/>
    <n v="3"/>
    <n v="3.9"/>
    <m/>
    <n v="1.7"/>
    <n v="3.4"/>
    <n v="4.8"/>
    <s v="High"/>
    <x v="0"/>
  </r>
  <r>
    <x v="430"/>
    <n v="19"/>
    <x v="2"/>
    <x v="1"/>
    <s v="In a Relationship"/>
    <x v="2"/>
    <n v="7.2"/>
    <n v="3"/>
    <n v="5"/>
    <s v="No"/>
    <s v="Within 5 min"/>
    <n v="106"/>
    <n v="8.5"/>
    <n v="6.9"/>
    <n v="8.6"/>
    <n v="2.8"/>
    <s v="No"/>
    <s v="No"/>
    <n v="7.4"/>
    <n v="0"/>
    <n v="2.6"/>
    <n v="3.4"/>
    <n v="4"/>
    <n v="8"/>
    <n v="3.5"/>
    <n v="7.1"/>
    <n v="5"/>
    <n v="3.7"/>
    <n v="5.5"/>
    <s v="High"/>
    <x v="1"/>
  </r>
  <r>
    <x v="431"/>
    <n v="23"/>
    <x v="1"/>
    <x v="0"/>
    <s v="Single"/>
    <x v="1"/>
    <n v="6.1"/>
    <n v="4"/>
    <n v="8"/>
    <s v="No"/>
    <s v="Within 5 min"/>
    <n v="28"/>
    <m/>
    <n v="3.2"/>
    <m/>
    <n v="4.8"/>
    <s v="No"/>
    <s v="Yes"/>
    <n v="5"/>
    <n v="2.6"/>
    <n v="2.9"/>
    <n v="3.7"/>
    <n v="4.5"/>
    <n v="6.6"/>
    <n v="3.3"/>
    <n v="1.1000000000000001"/>
    <n v="3.4"/>
    <n v="4.8"/>
    <n v="6"/>
    <s v="High"/>
    <x v="1"/>
  </r>
  <r>
    <x v="432"/>
    <n v="28"/>
    <x v="0"/>
    <x v="0"/>
    <s v="Single"/>
    <x v="4"/>
    <n v="5"/>
    <n v="5"/>
    <n v="7"/>
    <s v="No"/>
    <s v="5-30 min"/>
    <n v="52"/>
    <n v="3"/>
    <n v="9.6999999999999993"/>
    <n v="2"/>
    <n v="1.1000000000000001"/>
    <s v="No"/>
    <s v="Yes"/>
    <n v="1.9"/>
    <n v="3.2"/>
    <m/>
    <n v="7.2"/>
    <n v="4.4000000000000004"/>
    <n v="5.3"/>
    <n v="7"/>
    <n v="8.3000000000000007"/>
    <n v="5.4"/>
    <n v="4.8"/>
    <n v="9"/>
    <s v="Low"/>
    <x v="0"/>
  </r>
  <r>
    <x v="433"/>
    <n v="26"/>
    <x v="1"/>
    <x v="0"/>
    <s v="In a Relationship"/>
    <x v="1"/>
    <n v="5.3"/>
    <n v="4"/>
    <n v="1"/>
    <s v="Yes"/>
    <s v="After 30 min"/>
    <n v="79"/>
    <n v="7"/>
    <n v="3.7"/>
    <n v="4.4000000000000004"/>
    <n v="4.5"/>
    <s v="Yes"/>
    <s v="No"/>
    <n v="7.6"/>
    <n v="6.2"/>
    <n v="3"/>
    <n v="4.5999999999999996"/>
    <n v="5.5"/>
    <n v="6.8"/>
    <n v="2.9"/>
    <n v="5.4"/>
    <n v="4.5"/>
    <n v="3"/>
    <n v="7.2"/>
    <s v="Low"/>
    <x v="0"/>
  </r>
  <r>
    <x v="434"/>
    <n v="44"/>
    <x v="1"/>
    <x v="0"/>
    <s v="In a Relationship"/>
    <x v="0"/>
    <n v="4.8"/>
    <n v="3"/>
    <n v="0"/>
    <s v="No"/>
    <s v="Within 5 min"/>
    <n v="115"/>
    <n v="7"/>
    <n v="3.4"/>
    <n v="3.3"/>
    <n v="3.8"/>
    <s v="Yes"/>
    <s v="No"/>
    <n v="4"/>
    <n v="6"/>
    <n v="4"/>
    <n v="5.4"/>
    <n v="4.7"/>
    <n v="4.5"/>
    <n v="5.7"/>
    <n v="7.1"/>
    <n v="1"/>
    <n v="4.4000000000000004"/>
    <n v="6.5"/>
    <s v="Low"/>
    <x v="2"/>
  </r>
  <r>
    <x v="435"/>
    <n v="22"/>
    <x v="1"/>
    <x v="3"/>
    <s v="In a Relationship"/>
    <x v="3"/>
    <n v="8"/>
    <n v="3"/>
    <n v="8"/>
    <s v="Yes"/>
    <s v="Within 5 min"/>
    <n v="96"/>
    <n v="4.8"/>
    <n v="5.5"/>
    <n v="6.4"/>
    <n v="7"/>
    <s v="Yes"/>
    <s v="No"/>
    <n v="7.5"/>
    <n v="4.9000000000000004"/>
    <n v="4.5"/>
    <n v="6.7"/>
    <n v="5.8"/>
    <n v="6.3"/>
    <n v="5.4"/>
    <n v="5"/>
    <n v="0"/>
    <n v="3.2"/>
    <n v="4"/>
    <s v="Severe"/>
    <x v="1"/>
  </r>
  <r>
    <x v="436"/>
    <n v="36"/>
    <x v="1"/>
    <x v="0"/>
    <s v="Single"/>
    <x v="4"/>
    <n v="0.6"/>
    <n v="4"/>
    <n v="8"/>
    <s v="Yes"/>
    <s v="Within 5 min"/>
    <n v="73"/>
    <n v="3.4"/>
    <n v="7.2"/>
    <n v="4.4000000000000004"/>
    <n v="6.5"/>
    <s v="Yes"/>
    <s v="No"/>
    <n v="7.9"/>
    <n v="2.2000000000000002"/>
    <n v="5"/>
    <n v="3.5"/>
    <n v="5"/>
    <n v="5.7"/>
    <n v="3.3"/>
    <n v="8.1999999999999993"/>
    <n v="1.7"/>
    <n v="0.5"/>
    <n v="6.1"/>
    <s v="Moderate"/>
    <x v="2"/>
  </r>
  <r>
    <x v="437"/>
    <n v="22"/>
    <x v="0"/>
    <x v="1"/>
    <s v="Single"/>
    <x v="1"/>
    <n v="3.6"/>
    <n v="3"/>
    <n v="1"/>
    <s v="Yes"/>
    <s v="5-30 min"/>
    <n v="112"/>
    <n v="4.9000000000000004"/>
    <n v="5.5"/>
    <m/>
    <n v="4.5"/>
    <s v="Yes"/>
    <s v="No"/>
    <n v="5"/>
    <n v="0"/>
    <n v="2.2999999999999998"/>
    <n v="2.8"/>
    <n v="6.1"/>
    <n v="5.4"/>
    <n v="5.7"/>
    <n v="3.6"/>
    <n v="2.7"/>
    <n v="3.9"/>
    <n v="6.6"/>
    <s v="Moderate"/>
    <x v="1"/>
  </r>
  <r>
    <x v="438"/>
    <n v="36"/>
    <x v="0"/>
    <x v="0"/>
    <s v="Single"/>
    <x v="5"/>
    <m/>
    <n v="1"/>
    <n v="2"/>
    <s v="No"/>
    <s v="5-30 min"/>
    <n v="17"/>
    <n v="6.2"/>
    <n v="3.3"/>
    <n v="1.7"/>
    <n v="4.0999999999999996"/>
    <s v="Yes"/>
    <s v="Yes"/>
    <n v="5.6"/>
    <n v="5"/>
    <n v="3.4"/>
    <n v="5.8"/>
    <n v="8.4"/>
    <n v="5.0999999999999996"/>
    <n v="5.6"/>
    <n v="7.4"/>
    <n v="5.8"/>
    <n v="0"/>
    <n v="8.1999999999999993"/>
    <s v="Low"/>
    <x v="2"/>
  </r>
  <r>
    <x v="439"/>
    <n v="34"/>
    <x v="0"/>
    <x v="0"/>
    <s v="Married"/>
    <x v="1"/>
    <n v="5.4"/>
    <n v="2"/>
    <n v="2"/>
    <s v="Yes"/>
    <s v="5-30 min"/>
    <n v="7"/>
    <n v="6.2"/>
    <n v="6.8"/>
    <n v="5.4"/>
    <n v="7.7"/>
    <s v="Yes"/>
    <s v="No"/>
    <n v="4.4000000000000004"/>
    <n v="1.3"/>
    <n v="7.9"/>
    <n v="10"/>
    <n v="7.5"/>
    <n v="6.1"/>
    <n v="6.7"/>
    <n v="6.5"/>
    <n v="4.3"/>
    <n v="3.3"/>
    <n v="6.6"/>
    <s v="Moderate"/>
    <x v="0"/>
  </r>
  <r>
    <x v="440"/>
    <n v="22"/>
    <x v="0"/>
    <x v="1"/>
    <s v="In a Relationship"/>
    <x v="0"/>
    <n v="4.0999999999999996"/>
    <n v="5"/>
    <n v="6"/>
    <s v="Yes"/>
    <s v="After 30 min"/>
    <n v="5"/>
    <n v="6.3"/>
    <n v="3.8"/>
    <n v="1.9"/>
    <n v="2.2999999999999998"/>
    <s v="No"/>
    <s v="No"/>
    <n v="7.9"/>
    <m/>
    <n v="10"/>
    <n v="4.2"/>
    <n v="4"/>
    <n v="6.8"/>
    <n v="6.5"/>
    <n v="7"/>
    <n v="1.9"/>
    <n v="3.1"/>
    <n v="7.4"/>
    <s v="Low"/>
    <x v="1"/>
  </r>
  <r>
    <x v="441"/>
    <n v="37"/>
    <x v="0"/>
    <x v="0"/>
    <s v="In a Relationship"/>
    <x v="3"/>
    <n v="4.7"/>
    <n v="4"/>
    <n v="4"/>
    <s v="No"/>
    <s v="5-30 min"/>
    <n v="5"/>
    <n v="7.8"/>
    <n v="6.2"/>
    <n v="0"/>
    <n v="3.8"/>
    <s v="Yes"/>
    <s v="Yes"/>
    <n v="6"/>
    <n v="6.5"/>
    <n v="4.5999999999999996"/>
    <n v="2.8"/>
    <n v="6"/>
    <n v="5"/>
    <n v="6"/>
    <n v="4.2"/>
    <n v="1.6"/>
    <n v="3.5"/>
    <n v="7.5"/>
    <s v="Low"/>
    <x v="2"/>
  </r>
  <r>
    <x v="442"/>
    <n v="28"/>
    <x v="1"/>
    <x v="0"/>
    <s v="Single"/>
    <x v="5"/>
    <n v="8.5"/>
    <n v="3"/>
    <n v="3"/>
    <s v="No"/>
    <s v="Within 5 min"/>
    <n v="133"/>
    <n v="4.5999999999999996"/>
    <n v="5.6"/>
    <n v="2.4"/>
    <n v="6.5"/>
    <s v="No"/>
    <s v="No"/>
    <n v="3"/>
    <n v="1.1000000000000001"/>
    <n v="1.2"/>
    <m/>
    <n v="5.4"/>
    <n v="3.4"/>
    <n v="4.7"/>
    <n v="5.3"/>
    <n v="5.5"/>
    <n v="4.4000000000000004"/>
    <n v="6.6"/>
    <s v="Moderate"/>
    <x v="0"/>
  </r>
  <r>
    <x v="443"/>
    <n v="33"/>
    <x v="1"/>
    <x v="0"/>
    <s v="Married"/>
    <x v="4"/>
    <n v="5.0999999999999996"/>
    <n v="2"/>
    <n v="8"/>
    <s v="Yes"/>
    <s v="5-30 min"/>
    <n v="95"/>
    <n v="3.9"/>
    <n v="1.7"/>
    <n v="0.2"/>
    <n v="5.5"/>
    <s v="No"/>
    <s v="No"/>
    <n v="10"/>
    <n v="5.5"/>
    <n v="5.0999999999999996"/>
    <n v="6.5"/>
    <n v="5"/>
    <n v="7.6"/>
    <n v="1.8"/>
    <n v="3.7"/>
    <n v="2.5"/>
    <n v="1.7"/>
    <n v="7.9"/>
    <s v="Low"/>
    <x v="0"/>
  </r>
  <r>
    <x v="444"/>
    <n v="18"/>
    <x v="1"/>
    <x v="1"/>
    <s v="Married"/>
    <x v="3"/>
    <n v="6.3"/>
    <n v="4"/>
    <n v="2"/>
    <s v="No"/>
    <s v="Within 5 min"/>
    <n v="120"/>
    <n v="4.5"/>
    <n v="3.5"/>
    <n v="4.5999999999999996"/>
    <n v="5"/>
    <s v="Yes"/>
    <s v="No"/>
    <n v="3.6"/>
    <n v="5.3"/>
    <n v="6.4"/>
    <n v="3"/>
    <n v="4.7"/>
    <n v="5"/>
    <n v="2.8"/>
    <n v="3.4"/>
    <n v="3.6"/>
    <n v="0.8"/>
    <n v="6.3"/>
    <s v="Moderate"/>
    <x v="1"/>
  </r>
  <r>
    <x v="445"/>
    <n v="32"/>
    <x v="2"/>
    <x v="0"/>
    <s v="Married"/>
    <x v="3"/>
    <n v="3.7"/>
    <n v="6"/>
    <n v="4"/>
    <s v="Yes"/>
    <s v="After 30 min"/>
    <n v="5"/>
    <n v="3.8"/>
    <n v="4.4000000000000004"/>
    <n v="6.3"/>
    <n v="4.5999999999999996"/>
    <s v="No"/>
    <s v="No"/>
    <n v="5.5"/>
    <n v="6.6"/>
    <n v="3.4"/>
    <n v="4"/>
    <n v="5.2"/>
    <n v="6.8"/>
    <n v="2.1"/>
    <n v="5.3"/>
    <m/>
    <n v="1.8"/>
    <n v="8.4"/>
    <s v="Low"/>
    <x v="0"/>
  </r>
  <r>
    <x v="446"/>
    <n v="16"/>
    <x v="0"/>
    <x v="0"/>
    <s v="Single"/>
    <x v="3"/>
    <n v="3.1"/>
    <n v="7"/>
    <n v="5"/>
    <s v="No"/>
    <s v="5-30 min"/>
    <n v="103"/>
    <n v="3.7"/>
    <n v="7.1"/>
    <n v="6.8"/>
    <n v="4.9000000000000004"/>
    <s v="Yes"/>
    <s v="No"/>
    <n v="3.5"/>
    <n v="8.8000000000000007"/>
    <n v="5.3"/>
    <n v="3.1"/>
    <n v="7.1"/>
    <n v="6.8"/>
    <n v="3.7"/>
    <n v="3.8"/>
    <n v="3.5"/>
    <n v="5.7"/>
    <n v="7.3"/>
    <s v="Low"/>
    <x v="3"/>
  </r>
  <r>
    <x v="447"/>
    <n v="23"/>
    <x v="0"/>
    <x v="0"/>
    <m/>
    <x v="1"/>
    <n v="2.4"/>
    <n v="1"/>
    <n v="3"/>
    <s v="No"/>
    <s v="After 30 min"/>
    <n v="56"/>
    <n v="5.9"/>
    <n v="4"/>
    <n v="5.2"/>
    <n v="5.3"/>
    <s v="No"/>
    <s v="Yes"/>
    <n v="7.3"/>
    <n v="6.5"/>
    <n v="4.8"/>
    <n v="6.5"/>
    <n v="6.6"/>
    <n v="7.3"/>
    <n v="3.7"/>
    <n v="2.2999999999999998"/>
    <n v="2.2000000000000002"/>
    <n v="1"/>
    <n v="7.4"/>
    <s v="Low"/>
    <x v="1"/>
  </r>
  <r>
    <x v="448"/>
    <n v="35"/>
    <x v="1"/>
    <x v="3"/>
    <s v="In a Relationship"/>
    <x v="3"/>
    <n v="7.5"/>
    <n v="4"/>
    <n v="7"/>
    <s v="No"/>
    <s v="5-30 min"/>
    <n v="5"/>
    <n v="3.6"/>
    <n v="4.5999999999999996"/>
    <n v="1.9"/>
    <n v="6.9"/>
    <s v="Yes"/>
    <s v="No"/>
    <n v="6.8"/>
    <n v="6.9"/>
    <n v="3.9"/>
    <n v="6.3"/>
    <n v="6"/>
    <n v="4.7"/>
    <n v="5.5"/>
    <n v="9.6999999999999993"/>
    <n v="5.6"/>
    <n v="1.8"/>
    <n v="7.7"/>
    <s v="Low"/>
    <x v="4"/>
  </r>
  <r>
    <x v="449"/>
    <n v="30"/>
    <x v="1"/>
    <x v="1"/>
    <s v="In a Relationship"/>
    <x v="1"/>
    <n v="2.2000000000000002"/>
    <n v="4"/>
    <n v="3"/>
    <s v="No"/>
    <s v="Within 5 min"/>
    <n v="21"/>
    <n v="5.3"/>
    <n v="4.4000000000000004"/>
    <n v="3.2"/>
    <n v="6.1"/>
    <s v="Yes"/>
    <s v="No"/>
    <n v="2"/>
    <n v="2.4"/>
    <n v="4.3"/>
    <n v="3.9"/>
    <n v="4.9000000000000004"/>
    <n v="6.9"/>
    <m/>
    <n v="6"/>
    <n v="2.4"/>
    <n v="2"/>
    <n v="8.1"/>
    <s v="Low"/>
    <x v="0"/>
  </r>
  <r>
    <x v="450"/>
    <n v="25"/>
    <x v="0"/>
    <x v="1"/>
    <s v="Single"/>
    <x v="1"/>
    <n v="3.5"/>
    <n v="5"/>
    <n v="5"/>
    <s v="Yes"/>
    <s v="After 30 min"/>
    <n v="72"/>
    <n v="0.3"/>
    <n v="5.8"/>
    <n v="1.7"/>
    <n v="3"/>
    <m/>
    <s v="No"/>
    <n v="6.8"/>
    <n v="8.1"/>
    <n v="7"/>
    <n v="10"/>
    <m/>
    <n v="4.8"/>
    <n v="5.5"/>
    <n v="2.8"/>
    <m/>
    <n v="3.8"/>
    <n v="8.4"/>
    <s v="Low"/>
    <x v="0"/>
  </r>
  <r>
    <x v="451"/>
    <n v="33"/>
    <x v="2"/>
    <x v="1"/>
    <s v="Single"/>
    <x v="4"/>
    <n v="9.3000000000000007"/>
    <n v="1"/>
    <n v="2"/>
    <s v="No"/>
    <s v="Within 5 min"/>
    <n v="33"/>
    <n v="9.1999999999999993"/>
    <n v="2"/>
    <n v="3.8"/>
    <n v="6.2"/>
    <s v="No"/>
    <s v="Yes"/>
    <n v="8.6999999999999993"/>
    <n v="3.9"/>
    <n v="2.6"/>
    <n v="0.5"/>
    <n v="2"/>
    <n v="6.1"/>
    <n v="1.5"/>
    <n v="3.7"/>
    <n v="5"/>
    <n v="0"/>
    <n v="4.5999999999999996"/>
    <s v="Severe"/>
    <x v="0"/>
  </r>
  <r>
    <x v="452"/>
    <n v="42"/>
    <x v="1"/>
    <x v="3"/>
    <s v="Married"/>
    <x v="1"/>
    <n v="5.3"/>
    <n v="5"/>
    <n v="5"/>
    <s v="Yes"/>
    <s v="5-30 min"/>
    <n v="71"/>
    <n v="6.6"/>
    <n v="5.4"/>
    <n v="9.3000000000000007"/>
    <n v="7.3"/>
    <s v="No"/>
    <s v="Yes"/>
    <n v="4.3"/>
    <n v="3.9"/>
    <n v="4.5"/>
    <n v="6"/>
    <n v="6.3"/>
    <n v="8.5"/>
    <n v="5.4"/>
    <n v="7.1"/>
    <n v="5.0999999999999996"/>
    <n v="1.5"/>
    <n v="4.5999999999999996"/>
    <s v="Severe"/>
    <x v="2"/>
  </r>
  <r>
    <x v="453"/>
    <n v="42"/>
    <x v="1"/>
    <x v="3"/>
    <s v="Married"/>
    <x v="4"/>
    <n v="4.5999999999999996"/>
    <n v="4"/>
    <n v="5"/>
    <s v="Yes"/>
    <s v="After 30 min"/>
    <n v="38"/>
    <n v="5.0999999999999996"/>
    <n v="5.4"/>
    <n v="0"/>
    <n v="3.9"/>
    <s v="No"/>
    <s v="Yes"/>
    <n v="3.3"/>
    <n v="5.2"/>
    <n v="5.2"/>
    <n v="3.8"/>
    <n v="9.4"/>
    <n v="6.3"/>
    <n v="6.3"/>
    <n v="6.2"/>
    <n v="4.3"/>
    <n v="3.7"/>
    <n v="8"/>
    <s v="Low"/>
    <x v="2"/>
  </r>
  <r>
    <x v="454"/>
    <n v="32"/>
    <x v="0"/>
    <x v="1"/>
    <s v="In a Relationship"/>
    <x v="1"/>
    <n v="4"/>
    <n v="3"/>
    <n v="5"/>
    <s v="No"/>
    <s v="After 30 min"/>
    <n v="38"/>
    <n v="4.8"/>
    <n v="2.6"/>
    <n v="2.1"/>
    <n v="3.4"/>
    <s v="Yes"/>
    <s v="Yes"/>
    <n v="4.5"/>
    <n v="0.4"/>
    <n v="4.5"/>
    <m/>
    <n v="7.4"/>
    <n v="8.1999999999999993"/>
    <n v="3.8"/>
    <n v="4.5999999999999996"/>
    <n v="3.9"/>
    <n v="2.2999999999999998"/>
    <n v="10"/>
    <s v="Low"/>
    <x v="0"/>
  </r>
  <r>
    <x v="455"/>
    <n v="41"/>
    <x v="1"/>
    <x v="3"/>
    <s v="Single"/>
    <x v="4"/>
    <n v="2.1"/>
    <n v="4"/>
    <n v="4"/>
    <s v="Yes"/>
    <s v="5-30 min"/>
    <n v="23"/>
    <n v="4.9000000000000004"/>
    <n v="2.2000000000000002"/>
    <n v="7.2"/>
    <n v="7"/>
    <s v="Yes"/>
    <s v="No"/>
    <n v="6.7"/>
    <n v="6.5"/>
    <n v="2.8"/>
    <n v="3.2"/>
    <n v="7.4"/>
    <n v="4.5999999999999996"/>
    <n v="7.6"/>
    <n v="7.6"/>
    <n v="2.6"/>
    <n v="2.7"/>
    <n v="7.6"/>
    <s v="Low"/>
    <x v="2"/>
  </r>
  <r>
    <x v="456"/>
    <n v="22"/>
    <x v="0"/>
    <x v="0"/>
    <m/>
    <x v="0"/>
    <n v="5.3"/>
    <n v="1"/>
    <n v="1"/>
    <s v="No"/>
    <s v="5-30 min"/>
    <n v="53"/>
    <n v="7.1"/>
    <n v="3.3"/>
    <m/>
    <n v="5.4"/>
    <s v="Yes"/>
    <s v="Yes"/>
    <n v="3"/>
    <n v="7.1"/>
    <n v="5.4"/>
    <n v="2.2000000000000002"/>
    <n v="2.7"/>
    <n v="7.5"/>
    <n v="10"/>
    <n v="6.9"/>
    <n v="1.4"/>
    <n v="4.4000000000000004"/>
    <n v="6.8"/>
    <s v="Moderate"/>
    <x v="1"/>
  </r>
  <r>
    <x v="457"/>
    <n v="15"/>
    <x v="0"/>
    <x v="2"/>
    <s v="In a Relationship"/>
    <x v="1"/>
    <n v="6.6"/>
    <n v="2"/>
    <n v="3"/>
    <s v="Yes"/>
    <s v="After 30 min"/>
    <n v="19"/>
    <n v="7.6"/>
    <n v="6.8"/>
    <n v="2.8"/>
    <n v="6.9"/>
    <s v="Yes"/>
    <s v="Yes"/>
    <n v="6.6"/>
    <n v="2.9"/>
    <n v="2.4"/>
    <n v="3.7"/>
    <n v="5.6"/>
    <n v="6"/>
    <n v="4.9000000000000004"/>
    <n v="6.8"/>
    <n v="3.1"/>
    <n v="1.4"/>
    <n v="5.5"/>
    <s v="High"/>
    <x v="3"/>
  </r>
  <r>
    <x v="458"/>
    <n v="23"/>
    <x v="1"/>
    <x v="0"/>
    <s v="In a Relationship"/>
    <x v="5"/>
    <n v="2.7"/>
    <n v="2"/>
    <n v="0"/>
    <s v="No"/>
    <s v="5-30 min"/>
    <n v="64"/>
    <n v="3.1"/>
    <n v="6.3"/>
    <n v="3"/>
    <n v="4"/>
    <s v="Yes"/>
    <s v="Yes"/>
    <n v="2"/>
    <n v="5.5"/>
    <n v="5.9"/>
    <n v="7.4"/>
    <n v="4.5"/>
    <n v="7.3"/>
    <n v="4.4000000000000004"/>
    <n v="3.4"/>
    <n v="0"/>
    <n v="0.2"/>
    <n v="7.8"/>
    <s v="Low"/>
    <x v="1"/>
  </r>
  <r>
    <x v="459"/>
    <n v="28"/>
    <x v="1"/>
    <x v="3"/>
    <s v="Single"/>
    <x v="0"/>
    <n v="3.5"/>
    <n v="6"/>
    <n v="4"/>
    <s v="Yes"/>
    <s v="5-30 min"/>
    <n v="93"/>
    <n v="10"/>
    <n v="5"/>
    <n v="7.2"/>
    <n v="5.2"/>
    <s v="Yes"/>
    <s v="Yes"/>
    <n v="4.2"/>
    <n v="1.3"/>
    <n v="4.0999999999999996"/>
    <n v="4.2"/>
    <n v="5.0999999999999996"/>
    <n v="8.3000000000000007"/>
    <n v="2.2000000000000002"/>
    <n v="1.5"/>
    <n v="5.0999999999999996"/>
    <n v="3.3"/>
    <n v="4.4000000000000004"/>
    <s v="Severe"/>
    <x v="0"/>
  </r>
  <r>
    <x v="460"/>
    <n v="39"/>
    <x v="1"/>
    <x v="0"/>
    <s v="Single"/>
    <x v="0"/>
    <n v="8"/>
    <n v="5"/>
    <n v="4"/>
    <m/>
    <s v="5-30 min"/>
    <n v="49"/>
    <n v="6.8"/>
    <n v="4.8"/>
    <n v="7.5"/>
    <n v="7.2"/>
    <s v="No"/>
    <s v="Yes"/>
    <n v="6.8"/>
    <n v="6.7"/>
    <n v="5.9"/>
    <n v="1.2"/>
    <n v="2.4"/>
    <n v="6.9"/>
    <n v="7.9"/>
    <n v="6.7"/>
    <n v="3.6"/>
    <n v="3.3"/>
    <n v="5.5"/>
    <s v="Severe"/>
    <x v="2"/>
  </r>
  <r>
    <x v="461"/>
    <n v="27"/>
    <x v="0"/>
    <x v="1"/>
    <s v="In a Relationship"/>
    <x v="1"/>
    <n v="3.8"/>
    <n v="6"/>
    <n v="2"/>
    <s v="Yes"/>
    <s v="After 30 min"/>
    <n v="90"/>
    <m/>
    <n v="5.5"/>
    <n v="4.3"/>
    <n v="3.3"/>
    <s v="Yes"/>
    <s v="No"/>
    <n v="3.5"/>
    <n v="3.9"/>
    <n v="5.7"/>
    <n v="6.8"/>
    <n v="5.9"/>
    <n v="6.4"/>
    <n v="6.8"/>
    <n v="7.4"/>
    <n v="1.4"/>
    <n v="3.5"/>
    <n v="6.4"/>
    <s v="Moderate"/>
    <x v="0"/>
  </r>
  <r>
    <x v="462"/>
    <n v="32"/>
    <x v="0"/>
    <x v="3"/>
    <s v="In a Relationship"/>
    <x v="1"/>
    <n v="6.1"/>
    <n v="4"/>
    <n v="4"/>
    <s v="Yes"/>
    <s v="Within 5 min"/>
    <n v="20"/>
    <n v="8.1999999999999993"/>
    <n v="2.8"/>
    <n v="4.9000000000000004"/>
    <n v="4.7"/>
    <s v="Yes"/>
    <s v="Yes"/>
    <n v="8"/>
    <n v="7.8"/>
    <n v="4"/>
    <n v="5.4"/>
    <n v="4.5999999999999996"/>
    <n v="5.6"/>
    <n v="5.2"/>
    <n v="1.4"/>
    <n v="2.7"/>
    <n v="3.5"/>
    <n v="4.2"/>
    <s v="Severe"/>
    <x v="0"/>
  </r>
  <r>
    <x v="463"/>
    <n v="17"/>
    <x v="2"/>
    <x v="1"/>
    <s v="Single"/>
    <x v="3"/>
    <n v="9.3000000000000007"/>
    <n v="3"/>
    <n v="5"/>
    <s v="Yes"/>
    <s v="Within 5 min"/>
    <n v="5"/>
    <n v="7.8"/>
    <n v="3.4"/>
    <n v="7.1"/>
    <n v="1.9"/>
    <s v="Yes"/>
    <s v="No"/>
    <n v="6.8"/>
    <n v="3.3"/>
    <n v="5.9"/>
    <n v="5.8"/>
    <n v="7.7"/>
    <m/>
    <m/>
    <n v="0"/>
    <n v="0"/>
    <n v="4.4000000000000004"/>
    <n v="6.1"/>
    <s v="High"/>
    <x v="3"/>
  </r>
  <r>
    <x v="464"/>
    <n v="18"/>
    <x v="2"/>
    <x v="3"/>
    <s v="Single"/>
    <x v="2"/>
    <n v="2.7"/>
    <n v="5"/>
    <n v="2"/>
    <s v="Yes"/>
    <s v="5-30 min"/>
    <n v="102"/>
    <n v="4.4000000000000004"/>
    <n v="4.4000000000000004"/>
    <n v="2.5"/>
    <n v="4.7"/>
    <s v="Yes"/>
    <s v="No"/>
    <n v="6.7"/>
    <n v="3.1"/>
    <n v="6.7"/>
    <n v="1.4"/>
    <n v="5"/>
    <n v="7.1"/>
    <n v="4"/>
    <n v="4.4000000000000004"/>
    <n v="0.7"/>
    <n v="3.7"/>
    <n v="7.3"/>
    <s v="Low"/>
    <x v="1"/>
  </r>
  <r>
    <x v="465"/>
    <n v="43"/>
    <x v="1"/>
    <x v="0"/>
    <s v="Married"/>
    <x v="3"/>
    <n v="4.4000000000000004"/>
    <n v="7"/>
    <n v="7"/>
    <s v="Yes"/>
    <s v="Within 5 min"/>
    <n v="53"/>
    <n v="6.8"/>
    <n v="3.6"/>
    <n v="4.4000000000000004"/>
    <n v="5"/>
    <s v="No"/>
    <s v="No"/>
    <n v="2.1"/>
    <n v="5.2"/>
    <n v="4.4000000000000004"/>
    <n v="5.8"/>
    <n v="6.2"/>
    <n v="9.1999999999999993"/>
    <n v="3.4"/>
    <n v="6.1"/>
    <n v="3"/>
    <n v="1.2"/>
    <n v="5.5"/>
    <s v="Moderate"/>
    <x v="2"/>
  </r>
  <r>
    <x v="466"/>
    <n v="15"/>
    <x v="0"/>
    <x v="1"/>
    <s v="In a Relationship"/>
    <x v="4"/>
    <n v="2.6"/>
    <n v="2"/>
    <n v="6"/>
    <s v="Yes"/>
    <s v="5-30 min"/>
    <n v="61"/>
    <n v="6.5"/>
    <n v="5.9"/>
    <n v="9.3000000000000007"/>
    <n v="7.4"/>
    <s v="Yes"/>
    <s v="No"/>
    <n v="4.5"/>
    <m/>
    <n v="5.5"/>
    <n v="3.8"/>
    <n v="3.9"/>
    <n v="4.4000000000000004"/>
    <n v="4.5999999999999996"/>
    <n v="3"/>
    <n v="3.4"/>
    <n v="2.2000000000000002"/>
    <n v="6.3"/>
    <s v="High"/>
    <x v="3"/>
  </r>
  <r>
    <x v="467"/>
    <n v="41"/>
    <x v="0"/>
    <x v="0"/>
    <s v="Single"/>
    <x v="1"/>
    <n v="0.5"/>
    <n v="3"/>
    <n v="1"/>
    <s v="Yes"/>
    <s v="After 30 min"/>
    <n v="63"/>
    <n v="5.2"/>
    <n v="7.1"/>
    <n v="8.8000000000000007"/>
    <n v="4.0999999999999996"/>
    <s v="Yes"/>
    <s v="Yes"/>
    <n v="4.5"/>
    <m/>
    <n v="7"/>
    <n v="4.4000000000000004"/>
    <n v="5.2"/>
    <n v="5.2"/>
    <n v="2.2999999999999998"/>
    <n v="2.6"/>
    <n v="0.7"/>
    <n v="2.9"/>
    <n v="6.2"/>
    <s v="High"/>
    <x v="2"/>
  </r>
  <r>
    <x v="468"/>
    <n v="32"/>
    <x v="0"/>
    <x v="3"/>
    <s v="Single"/>
    <x v="2"/>
    <n v="7.2"/>
    <n v="3"/>
    <n v="5"/>
    <s v="Yes"/>
    <s v="After 30 min"/>
    <n v="5"/>
    <n v="5.2"/>
    <n v="4.7"/>
    <n v="6.2"/>
    <n v="7.1"/>
    <s v="Yes"/>
    <s v="Yes"/>
    <n v="8.6"/>
    <n v="1.4"/>
    <n v="4.8"/>
    <n v="5.9"/>
    <n v="6.5"/>
    <n v="5.4"/>
    <n v="2.8"/>
    <n v="8.3000000000000007"/>
    <n v="3.4"/>
    <n v="1.6"/>
    <n v="6.4"/>
    <s v="High"/>
    <x v="0"/>
  </r>
  <r>
    <x v="469"/>
    <n v="26"/>
    <x v="1"/>
    <x v="1"/>
    <s v="In a Relationship"/>
    <x v="2"/>
    <n v="5.8"/>
    <n v="3"/>
    <n v="3"/>
    <s v="No"/>
    <s v="Within 5 min"/>
    <n v="54"/>
    <n v="6"/>
    <n v="4.5"/>
    <n v="9.9"/>
    <n v="8"/>
    <s v="No"/>
    <s v="No"/>
    <n v="2.8"/>
    <n v="4.3"/>
    <n v="3.3"/>
    <n v="6.3"/>
    <n v="8.8000000000000007"/>
    <n v="5.6"/>
    <n v="5.3"/>
    <n v="4.7"/>
    <n v="2.9"/>
    <n v="1.4"/>
    <n v="6.4"/>
    <s v="Moderate"/>
    <x v="0"/>
  </r>
  <r>
    <x v="470"/>
    <n v="16"/>
    <x v="0"/>
    <x v="1"/>
    <s v="Single"/>
    <x v="1"/>
    <n v="3.9"/>
    <n v="2"/>
    <n v="2"/>
    <s v="Yes"/>
    <s v="After 30 min"/>
    <n v="14"/>
    <n v="7.7"/>
    <n v="7.6"/>
    <n v="10"/>
    <n v="6.3"/>
    <s v="No"/>
    <s v="Yes"/>
    <n v="2.8"/>
    <n v="3.1"/>
    <n v="5.6"/>
    <m/>
    <n v="6.3"/>
    <n v="6.8"/>
    <n v="4.0999999999999996"/>
    <n v="4.5999999999999996"/>
    <n v="1.7"/>
    <n v="0"/>
    <n v="6.3"/>
    <s v="High"/>
    <x v="3"/>
  </r>
  <r>
    <x v="471"/>
    <n v="20"/>
    <x v="0"/>
    <x v="3"/>
    <s v="Married"/>
    <x v="0"/>
    <n v="5.5"/>
    <n v="5"/>
    <n v="2"/>
    <s v="Yes"/>
    <s v="After 30 min"/>
    <n v="117"/>
    <n v="4.9000000000000004"/>
    <n v="8.1999999999999993"/>
    <n v="5.2"/>
    <n v="3.4"/>
    <s v="No"/>
    <s v="No"/>
    <n v="3.4"/>
    <n v="3.5"/>
    <n v="3.8"/>
    <n v="3.3"/>
    <n v="5.0999999999999996"/>
    <m/>
    <n v="5.2"/>
    <n v="7.8"/>
    <n v="6.6"/>
    <n v="2.4"/>
    <n v="7.6"/>
    <s v="Low"/>
    <x v="1"/>
  </r>
  <r>
    <x v="472"/>
    <n v="20"/>
    <x v="0"/>
    <x v="1"/>
    <s v="In a Relationship"/>
    <x v="0"/>
    <n v="3.3"/>
    <n v="4"/>
    <n v="5"/>
    <s v="No"/>
    <s v="5-30 min"/>
    <n v="51"/>
    <n v="6.6"/>
    <n v="5.7"/>
    <n v="6.7"/>
    <n v="7.5"/>
    <s v="Yes"/>
    <s v="No"/>
    <n v="8.1"/>
    <n v="5.0999999999999996"/>
    <n v="4.8"/>
    <n v="7.6"/>
    <n v="5.6"/>
    <n v="7.2"/>
    <n v="2"/>
    <n v="6.7"/>
    <n v="3.8"/>
    <n v="0"/>
    <n v="6.6"/>
    <s v="Moderate"/>
    <x v="1"/>
  </r>
  <r>
    <x v="473"/>
    <n v="37"/>
    <x v="1"/>
    <x v="1"/>
    <s v="Single"/>
    <x v="2"/>
    <n v="1.5"/>
    <n v="5"/>
    <n v="9"/>
    <s v="No"/>
    <s v="5-30 min"/>
    <n v="6"/>
    <n v="6.3"/>
    <n v="2.2000000000000002"/>
    <n v="8"/>
    <n v="7.3"/>
    <s v="No"/>
    <s v="No"/>
    <m/>
    <n v="3.4"/>
    <n v="3"/>
    <n v="6.5"/>
    <n v="6.5"/>
    <n v="6.5"/>
    <n v="3"/>
    <n v="7.7"/>
    <n v="0"/>
    <n v="3.1"/>
    <n v="9.1999999999999993"/>
    <s v="Low"/>
    <x v="2"/>
  </r>
  <r>
    <x v="474"/>
    <n v="31"/>
    <x v="1"/>
    <x v="4"/>
    <s v="Single"/>
    <x v="1"/>
    <n v="3.2"/>
    <n v="3"/>
    <n v="3"/>
    <s v="Yes"/>
    <s v="After 30 min"/>
    <n v="109"/>
    <n v="4.0999999999999996"/>
    <n v="6.5"/>
    <n v="5.8"/>
    <n v="4.3"/>
    <s v="Yes"/>
    <s v="Yes"/>
    <n v="3.5"/>
    <n v="1.7"/>
    <n v="2.2000000000000002"/>
    <n v="7.1"/>
    <n v="5.3"/>
    <n v="6.5"/>
    <n v="3.7"/>
    <n v="4.2"/>
    <n v="6"/>
    <n v="3"/>
    <n v="6.2"/>
    <s v="Moderate"/>
    <x v="0"/>
  </r>
  <r>
    <x v="475"/>
    <n v="24"/>
    <x v="1"/>
    <x v="0"/>
    <s v="Married"/>
    <x v="3"/>
    <n v="2.9"/>
    <n v="3"/>
    <n v="3"/>
    <s v="No"/>
    <s v="Within 5 min"/>
    <n v="53"/>
    <n v="6.4"/>
    <n v="10"/>
    <n v="4.8"/>
    <n v="6.1"/>
    <s v="Yes"/>
    <s v="No"/>
    <n v="0.2"/>
    <n v="0.6"/>
    <m/>
    <n v="4.3"/>
    <n v="7.8"/>
    <n v="5.4"/>
    <n v="5.8"/>
    <n v="5.3"/>
    <n v="0.5"/>
    <n v="1"/>
    <n v="7"/>
    <s v="Moderate"/>
    <x v="1"/>
  </r>
  <r>
    <x v="476"/>
    <n v="42"/>
    <x v="0"/>
    <x v="2"/>
    <s v="Single"/>
    <x v="1"/>
    <n v="2.4"/>
    <n v="3"/>
    <n v="0"/>
    <s v="No"/>
    <s v="After 30 min"/>
    <n v="48"/>
    <n v="7.6"/>
    <n v="5.0999999999999996"/>
    <n v="6.2"/>
    <n v="7.7"/>
    <s v="Yes"/>
    <s v="Yes"/>
    <n v="6.6"/>
    <n v="4"/>
    <n v="3.7"/>
    <n v="6.5"/>
    <n v="2.1"/>
    <n v="4.8"/>
    <n v="6.7"/>
    <n v="6.4"/>
    <n v="3.8"/>
    <n v="2"/>
    <n v="6.6"/>
    <s v="High"/>
    <x v="2"/>
  </r>
  <r>
    <x v="477"/>
    <n v="34"/>
    <x v="0"/>
    <x v="1"/>
    <s v="In a Relationship"/>
    <x v="1"/>
    <n v="6.7"/>
    <n v="5"/>
    <n v="4"/>
    <s v="Yes"/>
    <s v="5-30 min"/>
    <n v="40"/>
    <n v="5.9"/>
    <n v="3.9"/>
    <n v="1.8"/>
    <n v="5"/>
    <s v="Yes"/>
    <s v="Yes"/>
    <n v="5.5"/>
    <n v="6"/>
    <n v="4.5999999999999996"/>
    <n v="9.3000000000000007"/>
    <n v="2"/>
    <n v="7.3"/>
    <n v="4.2"/>
    <n v="6.5"/>
    <n v="4.4000000000000004"/>
    <n v="2.6"/>
    <n v="5.6"/>
    <s v="High"/>
    <x v="0"/>
  </r>
  <r>
    <x v="478"/>
    <n v="26"/>
    <x v="1"/>
    <x v="1"/>
    <s v="Married"/>
    <x v="3"/>
    <n v="2.7"/>
    <n v="2"/>
    <n v="2"/>
    <s v="Yes"/>
    <s v="After 30 min"/>
    <n v="100"/>
    <n v="1.6"/>
    <n v="3.8"/>
    <n v="5.7"/>
    <n v="4.9000000000000004"/>
    <s v="Yes"/>
    <s v="Yes"/>
    <n v="4.5999999999999996"/>
    <n v="5.7"/>
    <n v="3.5"/>
    <n v="2.5"/>
    <n v="2.8"/>
    <n v="6.5"/>
    <n v="7.1"/>
    <n v="5.0999999999999996"/>
    <n v="2.4"/>
    <n v="2.2000000000000002"/>
    <n v="6.9"/>
    <s v="Moderate"/>
    <x v="0"/>
  </r>
  <r>
    <x v="479"/>
    <n v="33"/>
    <x v="0"/>
    <x v="2"/>
    <s v="Single"/>
    <x v="0"/>
    <n v="2.2000000000000002"/>
    <n v="4"/>
    <n v="5"/>
    <s v="No"/>
    <s v="Within 5 min"/>
    <n v="5"/>
    <n v="3.3"/>
    <n v="3.3"/>
    <n v="5.6"/>
    <n v="5.2"/>
    <s v="Yes"/>
    <s v="Yes"/>
    <n v="4.3"/>
    <n v="5"/>
    <n v="1.2"/>
    <n v="8"/>
    <n v="3.5"/>
    <n v="7.3"/>
    <n v="4.7"/>
    <n v="2"/>
    <n v="3.8"/>
    <n v="3.6"/>
    <n v="7.8"/>
    <s v="Low"/>
    <x v="0"/>
  </r>
  <r>
    <x v="480"/>
    <n v="35"/>
    <x v="1"/>
    <x v="0"/>
    <s v="Married"/>
    <x v="4"/>
    <n v="4.9000000000000004"/>
    <n v="4"/>
    <n v="4"/>
    <s v="Yes"/>
    <s v="Within 5 min"/>
    <n v="144"/>
    <n v="2.9"/>
    <n v="5.7"/>
    <n v="1.4"/>
    <n v="3.9"/>
    <s v="Yes"/>
    <s v="No"/>
    <n v="5.8"/>
    <n v="3.2"/>
    <n v="3.9"/>
    <n v="5"/>
    <n v="5.0999999999999996"/>
    <n v="8.4"/>
    <n v="4.3"/>
    <n v="9.4"/>
    <n v="2.2000000000000002"/>
    <n v="3.2"/>
    <n v="7.1"/>
    <s v="Low"/>
    <x v="4"/>
  </r>
  <r>
    <x v="481"/>
    <n v="17"/>
    <x v="1"/>
    <x v="3"/>
    <s v="Single"/>
    <x v="1"/>
    <n v="5.5"/>
    <n v="3"/>
    <n v="2"/>
    <s v="Yes"/>
    <s v="5-30 min"/>
    <n v="49"/>
    <n v="6.7"/>
    <n v="5"/>
    <n v="7.1"/>
    <n v="4.5"/>
    <s v="Yes"/>
    <s v="Yes"/>
    <n v="3.9"/>
    <n v="9.6"/>
    <n v="4.7"/>
    <n v="4.9000000000000004"/>
    <n v="7.6"/>
    <n v="5.6"/>
    <n v="3.2"/>
    <n v="5.8"/>
    <n v="1.8"/>
    <n v="3.9"/>
    <n v="5.3"/>
    <s v="High"/>
    <x v="3"/>
  </r>
  <r>
    <x v="482"/>
    <n v="30"/>
    <x v="0"/>
    <x v="1"/>
    <s v="Married"/>
    <x v="4"/>
    <n v="8"/>
    <n v="1"/>
    <n v="5"/>
    <s v="No"/>
    <s v="5-30 min"/>
    <n v="122"/>
    <n v="1.6"/>
    <n v="9"/>
    <n v="3.9"/>
    <n v="4.4000000000000004"/>
    <s v="No"/>
    <s v="Yes"/>
    <n v="3.8"/>
    <n v="0.8"/>
    <n v="5"/>
    <n v="4.5999999999999996"/>
    <n v="8.8000000000000007"/>
    <n v="6.3"/>
    <n v="7.2"/>
    <m/>
    <m/>
    <n v="2.2000000000000002"/>
    <n v="5.0999999999999996"/>
    <s v="Moderate"/>
    <x v="0"/>
  </r>
  <r>
    <x v="483"/>
    <n v="23"/>
    <x v="0"/>
    <x v="1"/>
    <s v="In a Relationship"/>
    <x v="3"/>
    <n v="5.0999999999999996"/>
    <n v="2"/>
    <n v="3"/>
    <s v="No"/>
    <s v="5-30 min"/>
    <n v="5"/>
    <n v="7"/>
    <n v="3.1"/>
    <n v="7.2"/>
    <n v="7"/>
    <s v="No"/>
    <s v="No"/>
    <n v="6.3"/>
    <n v="7"/>
    <n v="5.3"/>
    <n v="5.3"/>
    <n v="8.1999999999999993"/>
    <m/>
    <n v="4.3"/>
    <n v="8.6"/>
    <n v="0"/>
    <n v="5.4"/>
    <n v="8"/>
    <s v="Low"/>
    <x v="1"/>
  </r>
  <r>
    <x v="484"/>
    <n v="41"/>
    <x v="1"/>
    <x v="3"/>
    <s v="In a Relationship"/>
    <x v="2"/>
    <n v="1.6"/>
    <n v="1"/>
    <n v="2"/>
    <s v="Yes"/>
    <s v="5-30 min"/>
    <n v="88"/>
    <n v="6.9"/>
    <n v="1.7"/>
    <n v="2.8"/>
    <n v="5.0999999999999996"/>
    <s v="Yes"/>
    <s v="No"/>
    <n v="5.6"/>
    <n v="2.4"/>
    <n v="5.8"/>
    <n v="7.3"/>
    <n v="7"/>
    <n v="4.8"/>
    <n v="0"/>
    <n v="6.7"/>
    <n v="0"/>
    <n v="4.4000000000000004"/>
    <n v="8.9"/>
    <s v="Low"/>
    <x v="2"/>
  </r>
  <r>
    <x v="485"/>
    <n v="35"/>
    <x v="3"/>
    <x v="1"/>
    <s v="Married"/>
    <x v="1"/>
    <n v="2.6"/>
    <n v="2"/>
    <n v="3"/>
    <s v="No"/>
    <s v="5-30 min"/>
    <n v="69"/>
    <n v="7.9"/>
    <n v="3.3"/>
    <n v="8.3000000000000007"/>
    <n v="3.1"/>
    <s v="Yes"/>
    <s v="Yes"/>
    <n v="6.6"/>
    <n v="1.4"/>
    <n v="6"/>
    <n v="4.5999999999999996"/>
    <n v="7.1"/>
    <n v="8.3000000000000007"/>
    <n v="3.2"/>
    <m/>
    <n v="0.9"/>
    <n v="4"/>
    <n v="7"/>
    <s v="Moderate"/>
    <x v="4"/>
  </r>
  <r>
    <x v="486"/>
    <n v="40"/>
    <x v="2"/>
    <x v="1"/>
    <s v="Married"/>
    <x v="2"/>
    <n v="6.5"/>
    <n v="5"/>
    <n v="3"/>
    <s v="No"/>
    <s v="Within 5 min"/>
    <n v="53"/>
    <n v="7.1"/>
    <n v="8"/>
    <n v="1.9"/>
    <n v="5.4"/>
    <s v="Yes"/>
    <s v="Yes"/>
    <n v="3.5"/>
    <n v="8"/>
    <n v="4.4000000000000004"/>
    <n v="6.2"/>
    <n v="5.0999999999999996"/>
    <n v="6.2"/>
    <n v="7.3"/>
    <n v="2.6"/>
    <n v="5.5"/>
    <n v="3.2"/>
    <n v="5.9"/>
    <s v="High"/>
    <x v="2"/>
  </r>
  <r>
    <x v="487"/>
    <n v="31"/>
    <x v="0"/>
    <x v="1"/>
    <s v="Single"/>
    <x v="1"/>
    <n v="3.1"/>
    <n v="3"/>
    <n v="4"/>
    <s v="No"/>
    <s v="5-30 min"/>
    <n v="82"/>
    <n v="8.9"/>
    <n v="9.1"/>
    <n v="5.7"/>
    <n v="2.7"/>
    <s v="No"/>
    <s v="No"/>
    <n v="7.4"/>
    <n v="4.5"/>
    <n v="5.5"/>
    <n v="5.4"/>
    <n v="6.3"/>
    <m/>
    <n v="5.4"/>
    <n v="9.5"/>
    <n v="0.9"/>
    <n v="0"/>
    <n v="7"/>
    <s v="Moderate"/>
    <x v="0"/>
  </r>
  <r>
    <x v="488"/>
    <n v="25"/>
    <x v="0"/>
    <x v="1"/>
    <s v="Single"/>
    <x v="3"/>
    <n v="5.5"/>
    <n v="3"/>
    <n v="2"/>
    <s v="Yes"/>
    <s v="Within 5 min"/>
    <n v="26"/>
    <n v="6.4"/>
    <n v="6.9"/>
    <n v="4.2"/>
    <n v="5.9"/>
    <s v="No"/>
    <s v="Yes"/>
    <n v="4.0999999999999996"/>
    <n v="3.5"/>
    <n v="3.6"/>
    <n v="5"/>
    <m/>
    <m/>
    <n v="4.5"/>
    <n v="8"/>
    <n v="2.2000000000000002"/>
    <n v="5.0999999999999996"/>
    <n v="5.7"/>
    <s v="High"/>
    <x v="0"/>
  </r>
  <r>
    <x v="489"/>
    <n v="15"/>
    <x v="1"/>
    <x v="1"/>
    <s v="Married"/>
    <x v="1"/>
    <n v="8.4"/>
    <n v="3"/>
    <n v="2"/>
    <s v="Yes"/>
    <s v="5-30 min"/>
    <n v="55"/>
    <n v="3.4"/>
    <n v="5"/>
    <n v="4.4000000000000004"/>
    <n v="9"/>
    <s v="No"/>
    <s v="No"/>
    <m/>
    <n v="6.2"/>
    <n v="5.7"/>
    <n v="8.3000000000000007"/>
    <n v="8.5"/>
    <n v="7.5"/>
    <m/>
    <n v="6.1"/>
    <n v="3.9"/>
    <n v="3.1"/>
    <n v="6.1"/>
    <s v="High"/>
    <x v="3"/>
  </r>
  <r>
    <x v="490"/>
    <n v="41"/>
    <x v="0"/>
    <x v="4"/>
    <s v="Single"/>
    <x v="3"/>
    <n v="1.4"/>
    <n v="5"/>
    <n v="2"/>
    <m/>
    <s v="5-30 min"/>
    <n v="79"/>
    <n v="5.4"/>
    <n v="7.2"/>
    <n v="4.0999999999999996"/>
    <n v="6.8"/>
    <s v="No"/>
    <s v="No"/>
    <n v="5.8"/>
    <n v="3.3"/>
    <n v="7.2"/>
    <m/>
    <n v="5.2"/>
    <n v="6.1"/>
    <n v="5.7"/>
    <n v="3.7"/>
    <n v="3"/>
    <n v="0"/>
    <n v="6"/>
    <s v="High"/>
    <x v="2"/>
  </r>
  <r>
    <x v="491"/>
    <n v="28"/>
    <x v="2"/>
    <x v="1"/>
    <s v="In a Relationship"/>
    <x v="1"/>
    <n v="1.4"/>
    <n v="4"/>
    <n v="4"/>
    <s v="No"/>
    <s v="After 30 min"/>
    <n v="54"/>
    <n v="9.1"/>
    <n v="5"/>
    <n v="3.6"/>
    <n v="6.5"/>
    <m/>
    <s v="Yes"/>
    <n v="7.8"/>
    <n v="3"/>
    <n v="6.7"/>
    <n v="4.5999999999999996"/>
    <n v="7"/>
    <n v="8.1"/>
    <n v="4.9000000000000004"/>
    <n v="6.7"/>
    <n v="2.6"/>
    <n v="4.8"/>
    <n v="7"/>
    <s v="Moderate"/>
    <x v="0"/>
  </r>
  <r>
    <x v="492"/>
    <n v="17"/>
    <x v="0"/>
    <x v="0"/>
    <s v="Married"/>
    <x v="4"/>
    <n v="4.0999999999999996"/>
    <n v="3"/>
    <n v="3"/>
    <s v="No"/>
    <s v="Within 5 min"/>
    <n v="5"/>
    <n v="6.2"/>
    <n v="7.3"/>
    <m/>
    <n v="6"/>
    <s v="No"/>
    <s v="No"/>
    <n v="5.0999999999999996"/>
    <n v="4.7"/>
    <n v="5.5"/>
    <n v="6.8"/>
    <n v="6.7"/>
    <n v="7.2"/>
    <n v="8.5"/>
    <n v="4.5999999999999996"/>
    <n v="3.9"/>
    <n v="4.5"/>
    <n v="5.7"/>
    <s v="High"/>
    <x v="3"/>
  </r>
  <r>
    <x v="493"/>
    <n v="37"/>
    <x v="0"/>
    <x v="0"/>
    <s v="Married"/>
    <x v="3"/>
    <n v="4.4000000000000004"/>
    <n v="7"/>
    <n v="2"/>
    <s v="Yes"/>
    <s v="5-30 min"/>
    <n v="5"/>
    <n v="7.4"/>
    <n v="2.7"/>
    <n v="4.3"/>
    <n v="7.7"/>
    <s v="Yes"/>
    <s v="Yes"/>
    <n v="6"/>
    <n v="3.6"/>
    <n v="5.9"/>
    <n v="2.8"/>
    <n v="5.2"/>
    <n v="7.8"/>
    <n v="2.1"/>
    <n v="0"/>
    <n v="1.1000000000000001"/>
    <n v="4.0999999999999996"/>
    <n v="5.0999999999999996"/>
    <s v="Severe"/>
    <x v="2"/>
  </r>
  <r>
    <x v="494"/>
    <n v="43"/>
    <x v="0"/>
    <x v="0"/>
    <s v="In a Relationship"/>
    <x v="0"/>
    <n v="6.3"/>
    <n v="4"/>
    <n v="2"/>
    <s v="Yes"/>
    <s v="Within 5 min"/>
    <n v="53"/>
    <n v="2"/>
    <n v="3.2"/>
    <n v="5.7"/>
    <n v="5.7"/>
    <s v="Yes"/>
    <s v="Yes"/>
    <n v="3.4"/>
    <n v="7.6"/>
    <n v="1.7"/>
    <m/>
    <n v="7.6"/>
    <n v="5.8"/>
    <n v="4.7"/>
    <n v="6.7"/>
    <n v="3.9"/>
    <n v="3"/>
    <n v="6.8"/>
    <s v="Moderate"/>
    <x v="2"/>
  </r>
  <r>
    <x v="495"/>
    <n v="18"/>
    <x v="1"/>
    <x v="1"/>
    <s v="Married"/>
    <x v="0"/>
    <n v="1.1000000000000001"/>
    <n v="1"/>
    <n v="8"/>
    <m/>
    <s v="5-30 min"/>
    <n v="22"/>
    <n v="4.7"/>
    <n v="8.1"/>
    <n v="6.1"/>
    <n v="4.5999999999999996"/>
    <s v="No"/>
    <s v="No"/>
    <n v="1.2"/>
    <n v="1.7"/>
    <n v="4.7"/>
    <n v="7.7"/>
    <n v="10"/>
    <n v="7.5"/>
    <n v="3.5"/>
    <n v="4.4000000000000004"/>
    <n v="5.6"/>
    <n v="2.2999999999999998"/>
    <n v="9.3000000000000007"/>
    <s v="Low"/>
    <x v="1"/>
  </r>
  <r>
    <x v="496"/>
    <n v="24"/>
    <x v="1"/>
    <x v="0"/>
    <s v="Married"/>
    <x v="0"/>
    <n v="5.7"/>
    <n v="4"/>
    <n v="3"/>
    <s v="No"/>
    <s v="After 30 min"/>
    <n v="92"/>
    <n v="7.4"/>
    <n v="8.4"/>
    <n v="0"/>
    <n v="4.2"/>
    <s v="Yes"/>
    <s v="Yes"/>
    <n v="2"/>
    <n v="3.7"/>
    <n v="6.5"/>
    <n v="7.9"/>
    <n v="3.2"/>
    <n v="6.2"/>
    <n v="6"/>
    <n v="8.9"/>
    <n v="2.9"/>
    <n v="2.5"/>
    <n v="8.1999999999999993"/>
    <s v="Low"/>
    <x v="1"/>
  </r>
  <r>
    <x v="497"/>
    <n v="43"/>
    <x v="0"/>
    <x v="0"/>
    <s v="Single"/>
    <x v="1"/>
    <n v="4"/>
    <n v="3"/>
    <n v="3"/>
    <s v="No"/>
    <s v="After 30 min"/>
    <n v="50"/>
    <n v="8.1999999999999993"/>
    <n v="4.2"/>
    <n v="0"/>
    <n v="5.9"/>
    <s v="No"/>
    <s v="Yes"/>
    <n v="4.2"/>
    <n v="7.4"/>
    <n v="9.1999999999999993"/>
    <m/>
    <n v="8.6"/>
    <n v="6.8"/>
    <n v="5.2"/>
    <n v="5.3"/>
    <n v="0.4"/>
    <n v="4"/>
    <n v="7.4"/>
    <s v="Low"/>
    <x v="2"/>
  </r>
  <r>
    <x v="498"/>
    <n v="36"/>
    <x v="0"/>
    <x v="1"/>
    <s v="Married"/>
    <x v="1"/>
    <n v="0.9"/>
    <n v="4"/>
    <n v="3"/>
    <s v="No"/>
    <s v="Within 5 min"/>
    <n v="73"/>
    <n v="4.2"/>
    <n v="9.4"/>
    <n v="1.3"/>
    <n v="6.8"/>
    <s v="No"/>
    <s v="No"/>
    <n v="5.9"/>
    <n v="4.5"/>
    <n v="0"/>
    <n v="7.8"/>
    <n v="6.4"/>
    <n v="7.3"/>
    <n v="4.0999999999999996"/>
    <n v="2.2999999999999998"/>
    <n v="2"/>
    <m/>
    <n v="6.7"/>
    <s v="Low"/>
    <x v="2"/>
  </r>
  <r>
    <x v="499"/>
    <n v="30"/>
    <x v="1"/>
    <x v="0"/>
    <s v="In a Relationship"/>
    <x v="5"/>
    <n v="4"/>
    <n v="4"/>
    <n v="5"/>
    <s v="Yes"/>
    <s v="5-30 min"/>
    <n v="75"/>
    <n v="5"/>
    <n v="3.4"/>
    <n v="6.4"/>
    <n v="4.2"/>
    <s v="Yes"/>
    <s v="No"/>
    <n v="2"/>
    <n v="4.5999999999999996"/>
    <n v="2.6"/>
    <m/>
    <n v="5.2"/>
    <n v="7.7"/>
    <n v="6.1"/>
    <n v="4"/>
    <n v="2.2999999999999998"/>
    <m/>
    <n v="7.1"/>
    <s v="Moderate"/>
    <x v="0"/>
  </r>
  <r>
    <x v="500"/>
    <n v="35"/>
    <x v="1"/>
    <x v="2"/>
    <s v="Single"/>
    <x v="1"/>
    <n v="5.5"/>
    <n v="1"/>
    <n v="4"/>
    <s v="Yes"/>
    <s v="Within 5 min"/>
    <n v="98"/>
    <n v="3.6"/>
    <n v="5.4"/>
    <n v="5.0999999999999996"/>
    <n v="6.3"/>
    <s v="Yes"/>
    <s v="No"/>
    <n v="3.3"/>
    <n v="4.3"/>
    <n v="4.3"/>
    <n v="6.8"/>
    <n v="3.8"/>
    <n v="5.6"/>
    <n v="6.9"/>
    <n v="5.0999999999999996"/>
    <n v="2.9"/>
    <n v="2.5"/>
    <n v="6.3"/>
    <s v="Moderate"/>
    <x v="4"/>
  </r>
  <r>
    <x v="501"/>
    <n v="28"/>
    <x v="1"/>
    <x v="3"/>
    <s v="Single"/>
    <x v="1"/>
    <n v="8.1999999999999993"/>
    <n v="5"/>
    <n v="6"/>
    <s v="Yes"/>
    <s v="5-30 min"/>
    <n v="109"/>
    <n v="4.9000000000000004"/>
    <n v="5.8"/>
    <n v="0.5"/>
    <n v="3"/>
    <s v="No"/>
    <s v="No"/>
    <n v="5.5"/>
    <m/>
    <n v="10"/>
    <n v="7.6"/>
    <n v="9.4"/>
    <n v="8.1"/>
    <n v="7.2"/>
    <n v="2.9"/>
    <n v="2.9"/>
    <n v="3.7"/>
    <n v="6.3"/>
    <s v="Moderate"/>
    <x v="0"/>
  </r>
  <r>
    <x v="502"/>
    <n v="21"/>
    <x v="0"/>
    <x v="0"/>
    <s v="Single"/>
    <x v="4"/>
    <n v="3.2"/>
    <n v="3"/>
    <n v="5"/>
    <s v="Yes"/>
    <s v="Within 5 min"/>
    <n v="134"/>
    <n v="4.2"/>
    <n v="8.3000000000000007"/>
    <n v="2.2000000000000002"/>
    <n v="4.0999999999999996"/>
    <s v="No"/>
    <s v="No"/>
    <n v="7.2"/>
    <n v="4.3"/>
    <n v="0.7"/>
    <n v="6.1"/>
    <m/>
    <n v="6.7"/>
    <n v="6.3"/>
    <n v="5.6"/>
    <n v="3.8"/>
    <m/>
    <n v="6.5"/>
    <s v="High"/>
    <x v="1"/>
  </r>
  <r>
    <x v="503"/>
    <n v="24"/>
    <x v="0"/>
    <x v="1"/>
    <s v="Married"/>
    <x v="0"/>
    <n v="6"/>
    <n v="2"/>
    <n v="8"/>
    <s v="No"/>
    <s v="Within 5 min"/>
    <n v="51"/>
    <n v="9.8000000000000007"/>
    <n v="2.9"/>
    <n v="3.5"/>
    <n v="6.8"/>
    <s v="Yes"/>
    <s v="Yes"/>
    <n v="3.8"/>
    <n v="5.6"/>
    <n v="7.6"/>
    <n v="6.5"/>
    <n v="4.8"/>
    <n v="7.8"/>
    <n v="5.9"/>
    <n v="8.3000000000000007"/>
    <n v="5.9"/>
    <n v="0"/>
    <n v="5.7"/>
    <s v="High"/>
    <x v="1"/>
  </r>
  <r>
    <x v="504"/>
    <n v="24"/>
    <x v="1"/>
    <x v="1"/>
    <s v="Married"/>
    <x v="5"/>
    <n v="1.7"/>
    <n v="1"/>
    <n v="6"/>
    <s v="Yes"/>
    <s v="5-30 min"/>
    <n v="31"/>
    <n v="1.2"/>
    <n v="6.5"/>
    <n v="0.2"/>
    <n v="7.4"/>
    <s v="Yes"/>
    <s v="Yes"/>
    <n v="5.0999999999999996"/>
    <n v="1.6"/>
    <n v="4.3"/>
    <n v="8.1999999999999993"/>
    <n v="7.2"/>
    <n v="6.5"/>
    <n v="1.8"/>
    <n v="7.1"/>
    <n v="3.4"/>
    <n v="2.9"/>
    <n v="8.4"/>
    <s v="Low"/>
    <x v="1"/>
  </r>
  <r>
    <x v="505"/>
    <n v="24"/>
    <x v="2"/>
    <x v="1"/>
    <s v="Single"/>
    <x v="1"/>
    <n v="6.7"/>
    <n v="5"/>
    <n v="5"/>
    <s v="No"/>
    <s v="5-30 min"/>
    <n v="102"/>
    <n v="2.1"/>
    <n v="7.6"/>
    <n v="5.3"/>
    <n v="4.9000000000000004"/>
    <s v="Yes"/>
    <s v="Yes"/>
    <n v="6.6"/>
    <n v="7.6"/>
    <n v="6.2"/>
    <n v="5.6"/>
    <n v="5.5"/>
    <m/>
    <n v="1.3"/>
    <m/>
    <n v="2.5"/>
    <n v="0.7"/>
    <n v="5.5"/>
    <s v="Severe"/>
    <x v="1"/>
  </r>
  <r>
    <x v="506"/>
    <n v="19"/>
    <x v="0"/>
    <x v="1"/>
    <s v="Single"/>
    <x v="1"/>
    <n v="4.7"/>
    <n v="7"/>
    <n v="3"/>
    <s v="Yes"/>
    <s v="5-30 min"/>
    <n v="61"/>
    <n v="6.7"/>
    <n v="5.6"/>
    <n v="5.5"/>
    <n v="4.5"/>
    <s v="No"/>
    <s v="Yes"/>
    <n v="7.6"/>
    <n v="3.3"/>
    <n v="7.4"/>
    <n v="7.8"/>
    <n v="6.2"/>
    <m/>
    <n v="2"/>
    <n v="7.6"/>
    <n v="4.9000000000000004"/>
    <n v="2.2999999999999998"/>
    <n v="5.5"/>
    <s v="Severe"/>
    <x v="1"/>
  </r>
  <r>
    <x v="507"/>
    <n v="23"/>
    <x v="2"/>
    <x v="0"/>
    <m/>
    <x v="3"/>
    <n v="7.8"/>
    <n v="3"/>
    <n v="5"/>
    <s v="Yes"/>
    <s v="5-30 min"/>
    <n v="55"/>
    <n v="3.2"/>
    <n v="4.0999999999999996"/>
    <n v="1.7"/>
    <n v="7.3"/>
    <s v="Yes"/>
    <s v="No"/>
    <n v="0"/>
    <m/>
    <n v="6.6"/>
    <n v="3.7"/>
    <n v="4.7"/>
    <n v="6.1"/>
    <n v="8.5"/>
    <n v="5.2"/>
    <n v="0"/>
    <n v="0.6"/>
    <n v="5.7"/>
    <s v="Moderate"/>
    <x v="1"/>
  </r>
  <r>
    <x v="508"/>
    <n v="27"/>
    <x v="0"/>
    <x v="0"/>
    <s v="Single"/>
    <x v="1"/>
    <n v="1.7"/>
    <n v="4"/>
    <n v="7"/>
    <s v="Yes"/>
    <s v="5-30 min"/>
    <n v="48"/>
    <n v="2.7"/>
    <n v="6.4"/>
    <n v="7.7"/>
    <n v="4.2"/>
    <s v="Yes"/>
    <s v="Yes"/>
    <n v="3.8"/>
    <n v="4"/>
    <n v="5.8"/>
    <n v="4.2"/>
    <n v="9"/>
    <n v="7.1"/>
    <n v="3.2"/>
    <n v="6"/>
    <n v="4.3"/>
    <n v="1.4"/>
    <n v="8.4"/>
    <s v="Low"/>
    <x v="0"/>
  </r>
  <r>
    <x v="509"/>
    <n v="17"/>
    <x v="1"/>
    <x v="1"/>
    <s v="Single"/>
    <x v="5"/>
    <n v="2.1"/>
    <n v="6"/>
    <n v="3"/>
    <s v="No"/>
    <s v="After 30 min"/>
    <n v="45"/>
    <m/>
    <n v="4.5999999999999996"/>
    <n v="5.5"/>
    <n v="0"/>
    <s v="Yes"/>
    <s v="Yes"/>
    <n v="4.0999999999999996"/>
    <n v="6.8"/>
    <n v="2.2000000000000002"/>
    <n v="3.7"/>
    <n v="6.6"/>
    <n v="6.9"/>
    <n v="5.7"/>
    <n v="5.8"/>
    <n v="4.7"/>
    <n v="4"/>
    <n v="8.3000000000000007"/>
    <s v="Low"/>
    <x v="3"/>
  </r>
  <r>
    <x v="510"/>
    <n v="19"/>
    <x v="2"/>
    <x v="0"/>
    <s v="Single"/>
    <x v="0"/>
    <n v="0.9"/>
    <n v="6"/>
    <n v="5"/>
    <s v="Yes"/>
    <s v="5-30 min"/>
    <n v="16"/>
    <n v="9"/>
    <n v="3.4"/>
    <n v="5.8"/>
    <n v="6.4"/>
    <s v="Yes"/>
    <s v="No"/>
    <n v="4.3"/>
    <n v="2.9"/>
    <n v="5.2"/>
    <n v="3.3"/>
    <n v="1.7"/>
    <n v="6.9"/>
    <n v="6.8"/>
    <n v="2"/>
    <m/>
    <n v="1.8"/>
    <n v="5.5"/>
    <s v="High"/>
    <x v="1"/>
  </r>
  <r>
    <x v="511"/>
    <n v="37"/>
    <x v="1"/>
    <x v="0"/>
    <s v="Married"/>
    <x v="5"/>
    <n v="8.1999999999999993"/>
    <n v="2"/>
    <n v="5"/>
    <s v="No"/>
    <s v="Within 5 min"/>
    <n v="70"/>
    <n v="0.7"/>
    <n v="9.1999999999999993"/>
    <n v="5.2"/>
    <n v="4.3"/>
    <s v="No"/>
    <s v="No"/>
    <n v="10"/>
    <n v="4.2"/>
    <n v="5.7"/>
    <n v="3.8"/>
    <n v="3.4"/>
    <n v="4.5"/>
    <n v="1.3"/>
    <n v="6.1"/>
    <n v="3.2"/>
    <n v="3.3"/>
    <n v="6.1"/>
    <s v="High"/>
    <x v="2"/>
  </r>
  <r>
    <x v="512"/>
    <n v="20"/>
    <x v="1"/>
    <x v="3"/>
    <s v="Married"/>
    <x v="0"/>
    <n v="3.5"/>
    <n v="3"/>
    <n v="6"/>
    <s v="Yes"/>
    <s v="5-30 min"/>
    <n v="112"/>
    <n v="6.1"/>
    <n v="2.1"/>
    <n v="2.6"/>
    <n v="8.6"/>
    <s v="Yes"/>
    <s v="No"/>
    <n v="7.6"/>
    <n v="3.4"/>
    <n v="4.5"/>
    <n v="6.8"/>
    <n v="8.3000000000000007"/>
    <n v="6.9"/>
    <n v="4.5"/>
    <n v="5.6"/>
    <n v="2.7"/>
    <n v="2.4"/>
    <n v="7.5"/>
    <s v="Low"/>
    <x v="1"/>
  </r>
  <r>
    <x v="513"/>
    <n v="42"/>
    <x v="0"/>
    <x v="2"/>
    <s v="Single"/>
    <x v="4"/>
    <n v="0.7"/>
    <n v="2"/>
    <n v="5"/>
    <s v="No"/>
    <s v="5-30 min"/>
    <n v="62"/>
    <n v="3.9"/>
    <n v="5.2"/>
    <n v="2.7"/>
    <n v="4.5999999999999996"/>
    <s v="No"/>
    <s v="Yes"/>
    <m/>
    <n v="5.2"/>
    <n v="2"/>
    <n v="1.8"/>
    <n v="5.2"/>
    <n v="4.4000000000000004"/>
    <n v="4.3"/>
    <n v="7"/>
    <n v="2.2999999999999998"/>
    <n v="3.3"/>
    <n v="9"/>
    <s v="Low"/>
    <x v="2"/>
  </r>
  <r>
    <x v="514"/>
    <n v="30"/>
    <x v="1"/>
    <x v="2"/>
    <s v="Single"/>
    <x v="5"/>
    <n v="2.9"/>
    <n v="5"/>
    <n v="6"/>
    <s v="No"/>
    <s v="5-30 min"/>
    <n v="42"/>
    <n v="2.7"/>
    <n v="5.0999999999999996"/>
    <n v="1.8"/>
    <n v="8.4"/>
    <s v="No"/>
    <s v="Yes"/>
    <m/>
    <n v="3.3"/>
    <n v="5.6"/>
    <n v="7.2"/>
    <n v="8.1999999999999993"/>
    <n v="5.9"/>
    <n v="8.9"/>
    <n v="5.2"/>
    <n v="6"/>
    <n v="4.8"/>
    <n v="7.5"/>
    <s v="Low"/>
    <x v="0"/>
  </r>
  <r>
    <x v="515"/>
    <n v="18"/>
    <x v="1"/>
    <x v="0"/>
    <s v="Single"/>
    <x v="2"/>
    <n v="6.2"/>
    <n v="4"/>
    <n v="5"/>
    <s v="Yes"/>
    <s v="5-30 min"/>
    <n v="55"/>
    <n v="5.3"/>
    <n v="5"/>
    <n v="5.4"/>
    <n v="5.8"/>
    <s v="No"/>
    <s v="Yes"/>
    <n v="9.4"/>
    <n v="1"/>
    <n v="3"/>
    <n v="6.2"/>
    <n v="2.1"/>
    <n v="4.2"/>
    <n v="3.9"/>
    <n v="8.1999999999999993"/>
    <n v="2.2000000000000002"/>
    <n v="5.4"/>
    <n v="5.3"/>
    <s v="Severe"/>
    <x v="1"/>
  </r>
  <r>
    <x v="516"/>
    <n v="20"/>
    <x v="1"/>
    <x v="3"/>
    <s v="In a Relationship"/>
    <x v="5"/>
    <n v="5.8"/>
    <n v="1"/>
    <n v="9"/>
    <s v="No"/>
    <s v="Within 5 min"/>
    <n v="20"/>
    <n v="2.2999999999999998"/>
    <n v="6.2"/>
    <n v="4"/>
    <n v="6"/>
    <s v="No"/>
    <s v="Yes"/>
    <n v="5.6"/>
    <n v="0"/>
    <n v="6.2"/>
    <n v="10"/>
    <n v="6"/>
    <n v="8"/>
    <n v="2.5"/>
    <n v="6.4"/>
    <n v="2.8"/>
    <n v="6.3"/>
    <n v="7.8"/>
    <s v="Low"/>
    <x v="1"/>
  </r>
  <r>
    <x v="517"/>
    <n v="33"/>
    <x v="1"/>
    <x v="4"/>
    <s v="Single"/>
    <x v="1"/>
    <n v="5.4"/>
    <n v="1"/>
    <n v="5"/>
    <s v="No"/>
    <s v="After 30 min"/>
    <n v="27"/>
    <n v="7.7"/>
    <n v="3"/>
    <n v="7.5"/>
    <n v="9.8000000000000007"/>
    <s v="No"/>
    <s v="No"/>
    <n v="8.9"/>
    <n v="2"/>
    <n v="5.5"/>
    <n v="5"/>
    <n v="8.9"/>
    <n v="8"/>
    <m/>
    <n v="8.1999999999999993"/>
    <n v="2.8"/>
    <n v="6"/>
    <n v="7"/>
    <s v="Moderate"/>
    <x v="0"/>
  </r>
  <r>
    <x v="518"/>
    <n v="37"/>
    <x v="3"/>
    <x v="1"/>
    <s v="In a Relationship"/>
    <x v="1"/>
    <n v="1.7"/>
    <n v="3"/>
    <n v="7"/>
    <s v="No"/>
    <s v="5-30 min"/>
    <n v="29"/>
    <n v="9.1"/>
    <n v="10"/>
    <n v="5.2"/>
    <n v="3.9"/>
    <s v="Yes"/>
    <s v="Yes"/>
    <n v="4"/>
    <n v="6.6"/>
    <n v="4.3"/>
    <n v="4.2"/>
    <n v="5.7"/>
    <n v="7.1"/>
    <n v="5.2"/>
    <n v="5.4"/>
    <n v="2.6"/>
    <n v="3.1"/>
    <n v="5.9"/>
    <s v="High"/>
    <x v="2"/>
  </r>
  <r>
    <x v="519"/>
    <n v="29"/>
    <x v="1"/>
    <x v="1"/>
    <s v="Single"/>
    <x v="1"/>
    <n v="4.0999999999999996"/>
    <n v="5"/>
    <n v="6"/>
    <s v="Yes"/>
    <s v="Within 5 min"/>
    <n v="67"/>
    <n v="8.5"/>
    <n v="1.9"/>
    <n v="1.7"/>
    <n v="7.2"/>
    <s v="No"/>
    <s v="Yes"/>
    <n v="9.5"/>
    <n v="1.4"/>
    <n v="2.5"/>
    <n v="1.1000000000000001"/>
    <n v="4.3"/>
    <n v="9.3000000000000007"/>
    <n v="4.3"/>
    <n v="7.7"/>
    <n v="1.8"/>
    <n v="3.4"/>
    <n v="4.5999999999999996"/>
    <s v="Severe"/>
    <x v="0"/>
  </r>
  <r>
    <x v="520"/>
    <n v="29"/>
    <x v="1"/>
    <x v="0"/>
    <s v="Single"/>
    <x v="0"/>
    <n v="0.5"/>
    <n v="3"/>
    <n v="2"/>
    <s v="No"/>
    <s v="After 30 min"/>
    <n v="55"/>
    <n v="4.7"/>
    <n v="5.5"/>
    <n v="6.1"/>
    <n v="6"/>
    <s v="No"/>
    <s v="No"/>
    <n v="6.9"/>
    <n v="5.2"/>
    <n v="3.3"/>
    <n v="7.4"/>
    <n v="3.3"/>
    <n v="7.1"/>
    <n v="6"/>
    <n v="6"/>
    <n v="4.4000000000000004"/>
    <n v="3.6"/>
    <n v="8"/>
    <s v="Low"/>
    <x v="0"/>
  </r>
  <r>
    <x v="521"/>
    <n v="19"/>
    <x v="1"/>
    <x v="0"/>
    <s v="Single"/>
    <x v="4"/>
    <n v="1.3"/>
    <n v="3"/>
    <n v="5"/>
    <s v="Yes"/>
    <s v="After 30 min"/>
    <n v="51"/>
    <n v="6.7"/>
    <n v="4.2"/>
    <n v="2.9"/>
    <n v="2.8"/>
    <s v="Yes"/>
    <s v="Yes"/>
    <n v="3.6"/>
    <n v="6.3"/>
    <n v="6.6"/>
    <n v="5"/>
    <n v="9.9"/>
    <n v="6.4"/>
    <n v="6.6"/>
    <n v="9.3000000000000007"/>
    <n v="3.5"/>
    <n v="0"/>
    <n v="8.8000000000000007"/>
    <s v="Low"/>
    <x v="1"/>
  </r>
  <r>
    <x v="522"/>
    <n v="34"/>
    <x v="0"/>
    <x v="0"/>
    <s v="Married"/>
    <x v="3"/>
    <n v="5.7"/>
    <n v="5"/>
    <n v="5"/>
    <s v="No"/>
    <s v="After 30 min"/>
    <n v="61"/>
    <n v="7.9"/>
    <n v="4.9000000000000004"/>
    <n v="5.2"/>
    <n v="3.4"/>
    <s v="Yes"/>
    <s v="Yes"/>
    <n v="1.2"/>
    <n v="3.5"/>
    <n v="6.5"/>
    <n v="4.5999999999999996"/>
    <n v="3"/>
    <n v="6.2"/>
    <m/>
    <n v="0"/>
    <n v="0.1"/>
    <n v="2.2999999999999998"/>
    <n v="4"/>
    <s v="Severe"/>
    <x v="0"/>
  </r>
  <r>
    <x v="523"/>
    <n v="33"/>
    <x v="3"/>
    <x v="4"/>
    <s v="Single"/>
    <x v="1"/>
    <n v="6.3"/>
    <n v="1"/>
    <n v="3"/>
    <s v="No"/>
    <s v="Within 5 min"/>
    <n v="67"/>
    <n v="6.1"/>
    <n v="3.3"/>
    <n v="1.7"/>
    <n v="5.5"/>
    <s v="No"/>
    <s v="No"/>
    <n v="4"/>
    <n v="6.9"/>
    <n v="7.5"/>
    <n v="6.3"/>
    <n v="4.8"/>
    <n v="7.8"/>
    <n v="4.2"/>
    <n v="4.7"/>
    <n v="4.9000000000000004"/>
    <n v="6.6"/>
    <n v="7.2"/>
    <s v="Moderate"/>
    <x v="0"/>
  </r>
  <r>
    <x v="524"/>
    <n v="27"/>
    <x v="0"/>
    <x v="0"/>
    <s v="Single"/>
    <x v="4"/>
    <n v="4"/>
    <n v="4"/>
    <n v="4"/>
    <s v="No"/>
    <s v="5-30 min"/>
    <n v="53"/>
    <n v="3.7"/>
    <n v="0"/>
    <n v="6.7"/>
    <n v="8.1999999999999993"/>
    <s v="No"/>
    <s v="Yes"/>
    <n v="8.1"/>
    <n v="8.3000000000000007"/>
    <n v="3.1"/>
    <n v="2.5"/>
    <n v="5.3"/>
    <n v="10"/>
    <n v="3.8"/>
    <n v="3.2"/>
    <n v="3.1"/>
    <n v="2.2000000000000002"/>
    <n v="7.1"/>
    <s v="Moderate"/>
    <x v="0"/>
  </r>
  <r>
    <x v="525"/>
    <n v="20"/>
    <x v="1"/>
    <x v="0"/>
    <s v="In a Relationship"/>
    <x v="4"/>
    <n v="0.6"/>
    <n v="3"/>
    <n v="3"/>
    <s v="Yes"/>
    <s v="Within 5 min"/>
    <n v="18"/>
    <n v="4.5999999999999996"/>
    <n v="7.4"/>
    <n v="6.7"/>
    <n v="5.9"/>
    <s v="No"/>
    <s v="No"/>
    <n v="1"/>
    <n v="3.3"/>
    <n v="6"/>
    <n v="2.9"/>
    <n v="4.3"/>
    <n v="7.2"/>
    <n v="2.2999999999999998"/>
    <n v="4.0999999999999996"/>
    <n v="5.2"/>
    <n v="0"/>
    <n v="7.3"/>
    <s v="Moderate"/>
    <x v="1"/>
  </r>
  <r>
    <x v="526"/>
    <n v="40"/>
    <x v="0"/>
    <x v="4"/>
    <m/>
    <x v="0"/>
    <n v="2.4"/>
    <n v="6"/>
    <n v="4"/>
    <s v="No"/>
    <s v="Within 5 min"/>
    <n v="11"/>
    <n v="7"/>
    <n v="5.9"/>
    <n v="1.6"/>
    <n v="3.7"/>
    <s v="Yes"/>
    <s v="No"/>
    <n v="5.2"/>
    <n v="2.2000000000000002"/>
    <n v="2.9"/>
    <n v="7.3"/>
    <n v="5.4"/>
    <n v="6.1"/>
    <n v="2.5"/>
    <n v="8.1999999999999993"/>
    <n v="4.3"/>
    <n v="0.9"/>
    <n v="7.7"/>
    <s v="Low"/>
    <x v="2"/>
  </r>
  <r>
    <x v="527"/>
    <n v="29"/>
    <x v="0"/>
    <x v="1"/>
    <s v="Single"/>
    <x v="5"/>
    <n v="3.7"/>
    <n v="4"/>
    <n v="7"/>
    <s v="No"/>
    <s v="Within 5 min"/>
    <n v="35"/>
    <n v="6.5"/>
    <n v="5.5"/>
    <n v="8.1"/>
    <n v="6.4"/>
    <s v="Yes"/>
    <s v="Yes"/>
    <n v="8.6999999999999993"/>
    <n v="2.8"/>
    <n v="6.2"/>
    <n v="4.5"/>
    <n v="2.7"/>
    <n v="4.5"/>
    <n v="1.7"/>
    <n v="5.3"/>
    <n v="1"/>
    <m/>
    <n v="5.8"/>
    <s v="Moderate"/>
    <x v="0"/>
  </r>
  <r>
    <x v="528"/>
    <n v="38"/>
    <x v="0"/>
    <x v="0"/>
    <s v="Married"/>
    <x v="1"/>
    <n v="7.8"/>
    <n v="1"/>
    <n v="1"/>
    <s v="No"/>
    <s v="Within 5 min"/>
    <n v="21"/>
    <n v="4.2"/>
    <n v="4.9000000000000004"/>
    <n v="5.8"/>
    <n v="5"/>
    <s v="Yes"/>
    <s v="Yes"/>
    <n v="7.3"/>
    <n v="4.7"/>
    <n v="5.2"/>
    <n v="4.9000000000000004"/>
    <n v="5.5"/>
    <n v="5"/>
    <n v="3.6"/>
    <n v="4.3"/>
    <n v="0.9"/>
    <n v="4.0999999999999996"/>
    <n v="5.5"/>
    <s v="High"/>
    <x v="2"/>
  </r>
  <r>
    <x v="529"/>
    <n v="20"/>
    <x v="0"/>
    <x v="4"/>
    <s v="Single"/>
    <x v="4"/>
    <n v="3.1"/>
    <n v="2"/>
    <n v="7"/>
    <s v="No"/>
    <s v="Within 5 min"/>
    <n v="126"/>
    <n v="8.4"/>
    <n v="6.8"/>
    <n v="5.3"/>
    <n v="1.3"/>
    <s v="No"/>
    <s v="No"/>
    <n v="8.5"/>
    <n v="2.5"/>
    <n v="5.9"/>
    <n v="5.2"/>
    <n v="5.0999999999999996"/>
    <n v="3.8"/>
    <n v="3.5"/>
    <n v="3"/>
    <n v="2.5"/>
    <n v="3.2"/>
    <n v="5.8"/>
    <s v="High"/>
    <x v="1"/>
  </r>
  <r>
    <x v="530"/>
    <n v="39"/>
    <x v="1"/>
    <x v="0"/>
    <s v="Married"/>
    <x v="1"/>
    <n v="1.4"/>
    <n v="2"/>
    <n v="3"/>
    <s v="Yes"/>
    <s v="Within 5 min"/>
    <n v="63"/>
    <n v="6.9"/>
    <n v="5.0999999999999996"/>
    <n v="7.2"/>
    <n v="5"/>
    <s v="No"/>
    <s v="Yes"/>
    <n v="3.9"/>
    <n v="0.8"/>
    <n v="0.1"/>
    <n v="7.9"/>
    <n v="7.4"/>
    <n v="6.1"/>
    <n v="2.6"/>
    <n v="5.7"/>
    <n v="1.3"/>
    <n v="5.0999999999999996"/>
    <n v="6.9"/>
    <s v="Moderate"/>
    <x v="2"/>
  </r>
  <r>
    <x v="531"/>
    <n v="26"/>
    <x v="0"/>
    <x v="1"/>
    <m/>
    <x v="3"/>
    <n v="2"/>
    <n v="2"/>
    <n v="4"/>
    <s v="Yes"/>
    <s v="Within 5 min"/>
    <n v="107"/>
    <n v="4.9000000000000004"/>
    <n v="2.9"/>
    <n v="5.9"/>
    <n v="2.7"/>
    <s v="Yes"/>
    <s v="Yes"/>
    <n v="2.9"/>
    <n v="3.3"/>
    <n v="6.3"/>
    <n v="4.2"/>
    <n v="6.5"/>
    <n v="7.5"/>
    <n v="1.9"/>
    <n v="4.2"/>
    <n v="1.7"/>
    <n v="3.4"/>
    <n v="6.2"/>
    <s v="Moderate"/>
    <x v="0"/>
  </r>
  <r>
    <x v="532"/>
    <n v="41"/>
    <x v="1"/>
    <x v="1"/>
    <s v="Single"/>
    <x v="1"/>
    <n v="2.6"/>
    <n v="3"/>
    <n v="3"/>
    <s v="Yes"/>
    <s v="After 30 min"/>
    <n v="94"/>
    <n v="4.5999999999999996"/>
    <n v="4.3"/>
    <n v="4.5999999999999996"/>
    <n v="4"/>
    <s v="No"/>
    <s v="Yes"/>
    <n v="7.8"/>
    <n v="5.0999999999999996"/>
    <n v="4.3"/>
    <n v="3.8"/>
    <n v="7.4"/>
    <n v="6.5"/>
    <n v="8.6999999999999993"/>
    <n v="8.8000000000000007"/>
    <n v="0.8"/>
    <n v="0.5"/>
    <n v="6.3"/>
    <s v="Moderate"/>
    <x v="2"/>
  </r>
  <r>
    <x v="533"/>
    <n v="36"/>
    <x v="0"/>
    <x v="3"/>
    <s v="Single"/>
    <x v="1"/>
    <n v="3.3"/>
    <n v="2"/>
    <n v="3"/>
    <s v="No"/>
    <s v="After 30 min"/>
    <n v="59"/>
    <m/>
    <n v="8.5"/>
    <n v="6.6"/>
    <n v="8.1"/>
    <s v="Yes"/>
    <s v="Yes"/>
    <n v="3.9"/>
    <n v="0"/>
    <n v="4.7"/>
    <n v="7.7"/>
    <n v="1.8"/>
    <n v="5.7"/>
    <n v="6.7"/>
    <n v="6.6"/>
    <n v="3"/>
    <n v="2.2000000000000002"/>
    <n v="5"/>
    <s v="High"/>
    <x v="2"/>
  </r>
  <r>
    <x v="534"/>
    <n v="17"/>
    <x v="0"/>
    <x v="0"/>
    <s v="In a Relationship"/>
    <x v="0"/>
    <n v="3.9"/>
    <n v="6"/>
    <n v="2"/>
    <s v="No"/>
    <s v="After 30 min"/>
    <n v="69"/>
    <n v="6.1"/>
    <n v="5.6"/>
    <n v="5.4"/>
    <n v="8"/>
    <s v="Yes"/>
    <s v="No"/>
    <n v="6.1"/>
    <n v="4.9000000000000004"/>
    <n v="4.3"/>
    <n v="2.2999999999999998"/>
    <n v="1.4"/>
    <n v="6.8"/>
    <n v="0.1"/>
    <n v="8.6999999999999993"/>
    <n v="0.6"/>
    <n v="4.0999999999999996"/>
    <n v="6.8"/>
    <s v="Moderate"/>
    <x v="3"/>
  </r>
  <r>
    <x v="535"/>
    <n v="31"/>
    <x v="0"/>
    <x v="3"/>
    <s v="Married"/>
    <x v="2"/>
    <n v="8.6999999999999993"/>
    <n v="2"/>
    <n v="5"/>
    <s v="Yes"/>
    <s v="After 30 min"/>
    <n v="71"/>
    <n v="5.3"/>
    <n v="2.7"/>
    <n v="5.7"/>
    <n v="4.7"/>
    <s v="No"/>
    <s v="Yes"/>
    <n v="8.1999999999999993"/>
    <n v="1.3"/>
    <n v="1.8"/>
    <n v="6.8"/>
    <n v="4.3"/>
    <n v="4.4000000000000004"/>
    <n v="4.2"/>
    <n v="1.9"/>
    <n v="4.5999999999999996"/>
    <n v="2.6"/>
    <n v="7.6"/>
    <s v="Moderate"/>
    <x v="0"/>
  </r>
  <r>
    <x v="536"/>
    <n v="24"/>
    <x v="0"/>
    <x v="1"/>
    <s v="In a Relationship"/>
    <x v="3"/>
    <n v="3.2"/>
    <n v="3"/>
    <n v="6"/>
    <s v="No"/>
    <s v="Within 5 min"/>
    <n v="73"/>
    <n v="3.8"/>
    <n v="4.9000000000000004"/>
    <n v="1.2"/>
    <n v="6.8"/>
    <s v="Yes"/>
    <s v="No"/>
    <n v="3.5"/>
    <n v="4.5999999999999996"/>
    <n v="5.2"/>
    <n v="8.8000000000000007"/>
    <n v="8.9"/>
    <n v="5.7"/>
    <n v="5.2"/>
    <n v="7.4"/>
    <n v="3.9"/>
    <n v="3.8"/>
    <n v="9.1999999999999993"/>
    <s v="Low"/>
    <x v="1"/>
  </r>
  <r>
    <x v="537"/>
    <n v="34"/>
    <x v="1"/>
    <x v="1"/>
    <s v="Married"/>
    <x v="2"/>
    <n v="0.5"/>
    <n v="5"/>
    <n v="5"/>
    <s v="No"/>
    <s v="Within 5 min"/>
    <n v="66"/>
    <n v="5.0999999999999996"/>
    <n v="10"/>
    <n v="2.9"/>
    <n v="2.8"/>
    <s v="No"/>
    <s v="No"/>
    <n v="4"/>
    <n v="6.8"/>
    <n v="6"/>
    <n v="3.8"/>
    <n v="5.9"/>
    <n v="7.7"/>
    <n v="5.4"/>
    <n v="7.8"/>
    <n v="2.2999999999999998"/>
    <n v="1.5"/>
    <n v="7.6"/>
    <s v="Low"/>
    <x v="0"/>
  </r>
  <r>
    <x v="538"/>
    <n v="17"/>
    <x v="0"/>
    <x v="1"/>
    <s v="In a Relationship"/>
    <x v="3"/>
    <n v="6.6"/>
    <n v="1"/>
    <n v="4"/>
    <s v="Yes"/>
    <s v="Within 5 min"/>
    <n v="65"/>
    <n v="5.5"/>
    <n v="8.4"/>
    <n v="6.7"/>
    <n v="8"/>
    <s v="No"/>
    <s v="No"/>
    <n v="6.1"/>
    <n v="0"/>
    <n v="3.3"/>
    <n v="1.5"/>
    <n v="7.1"/>
    <n v="6.2"/>
    <n v="8.5"/>
    <n v="3.6"/>
    <n v="2.2000000000000002"/>
    <n v="2.2999999999999998"/>
    <n v="3.6"/>
    <s v="Severe"/>
    <x v="3"/>
  </r>
  <r>
    <x v="539"/>
    <n v="33"/>
    <x v="0"/>
    <x v="3"/>
    <s v="Single"/>
    <x v="3"/>
    <n v="2.8"/>
    <n v="4"/>
    <n v="1"/>
    <s v="No"/>
    <s v="5-30 min"/>
    <n v="34"/>
    <n v="4.2"/>
    <n v="6.8"/>
    <n v="6.6"/>
    <n v="2.1"/>
    <s v="Yes"/>
    <s v="No"/>
    <n v="2.4"/>
    <n v="4.5"/>
    <n v="2.5"/>
    <n v="5.6"/>
    <n v="7.9"/>
    <n v="8.1"/>
    <n v="7.2"/>
    <n v="6.1"/>
    <n v="4.5"/>
    <n v="0"/>
    <n v="7.3"/>
    <s v="Low"/>
    <x v="0"/>
  </r>
  <r>
    <x v="540"/>
    <n v="25"/>
    <x v="1"/>
    <x v="0"/>
    <s v="Single"/>
    <x v="0"/>
    <m/>
    <n v="1"/>
    <n v="6"/>
    <s v="No"/>
    <s v="Within 5 min"/>
    <n v="60"/>
    <n v="4"/>
    <n v="5.3"/>
    <n v="5.6"/>
    <n v="10"/>
    <s v="Yes"/>
    <s v="Yes"/>
    <n v="7.8"/>
    <n v="3.2"/>
    <n v="5.4"/>
    <n v="5.9"/>
    <n v="6.4"/>
    <n v="6.6"/>
    <n v="9.5"/>
    <n v="6.5"/>
    <n v="5.0999999999999996"/>
    <n v="3.6"/>
    <n v="5.5"/>
    <s v="High"/>
    <x v="0"/>
  </r>
  <r>
    <x v="541"/>
    <n v="19"/>
    <x v="0"/>
    <x v="0"/>
    <s v="In a Relationship"/>
    <x v="5"/>
    <n v="3.2"/>
    <n v="3"/>
    <n v="4"/>
    <s v="Yes"/>
    <s v="5-30 min"/>
    <n v="17"/>
    <n v="2.2000000000000002"/>
    <n v="6.3"/>
    <n v="6.7"/>
    <n v="5"/>
    <s v="Yes"/>
    <s v="No"/>
    <n v="1.9"/>
    <n v="7.2"/>
    <n v="5.4"/>
    <n v="2.7"/>
    <n v="6.1"/>
    <n v="6.7"/>
    <n v="6.3"/>
    <m/>
    <n v="3"/>
    <n v="3.1"/>
    <n v="8.1"/>
    <s v="Low"/>
    <x v="1"/>
  </r>
  <r>
    <x v="542"/>
    <n v="18"/>
    <x v="2"/>
    <x v="1"/>
    <s v="In a Relationship"/>
    <x v="4"/>
    <m/>
    <n v="2"/>
    <n v="2"/>
    <s v="Yes"/>
    <s v="Within 5 min"/>
    <n v="69"/>
    <n v="6.7"/>
    <n v="7.2"/>
    <m/>
    <n v="6.6"/>
    <s v="Yes"/>
    <s v="No"/>
    <n v="6.6"/>
    <n v="3.2"/>
    <n v="2.7"/>
    <n v="5.8"/>
    <n v="5.3"/>
    <n v="6.6"/>
    <n v="5.0999999999999996"/>
    <n v="4.4000000000000004"/>
    <n v="3"/>
    <n v="5.6"/>
    <n v="5.4"/>
    <s v="High"/>
    <x v="1"/>
  </r>
  <r>
    <x v="543"/>
    <n v="19"/>
    <x v="0"/>
    <x v="0"/>
    <s v="In a Relationship"/>
    <x v="0"/>
    <n v="4.7"/>
    <n v="1"/>
    <n v="3"/>
    <s v="No"/>
    <s v="5-30 min"/>
    <n v="53"/>
    <n v="5.3"/>
    <n v="3.1"/>
    <n v="6.5"/>
    <n v="5.7"/>
    <s v="Yes"/>
    <s v="No"/>
    <n v="4.2"/>
    <n v="0.7"/>
    <n v="5.8"/>
    <n v="6.4"/>
    <n v="5.2"/>
    <n v="6.1"/>
    <n v="3.4"/>
    <n v="7.5"/>
    <n v="2.4"/>
    <n v="1.5"/>
    <n v="8"/>
    <s v="Low"/>
    <x v="1"/>
  </r>
  <r>
    <x v="544"/>
    <n v="23"/>
    <x v="2"/>
    <x v="1"/>
    <s v="Single"/>
    <x v="2"/>
    <n v="5.4"/>
    <n v="4"/>
    <n v="6"/>
    <s v="No"/>
    <s v="After 30 min"/>
    <n v="92"/>
    <n v="4.5"/>
    <n v="6.4"/>
    <n v="7.2"/>
    <n v="5.6"/>
    <s v="No"/>
    <s v="No"/>
    <n v="4.5999999999999996"/>
    <n v="5.8"/>
    <n v="7.4"/>
    <n v="6.2"/>
    <n v="5"/>
    <n v="4.8"/>
    <n v="7"/>
    <n v="4"/>
    <m/>
    <n v="0.4"/>
    <n v="8"/>
    <s v="Low"/>
    <x v="1"/>
  </r>
  <r>
    <x v="545"/>
    <n v="22"/>
    <x v="0"/>
    <x v="3"/>
    <s v="In a Relationship"/>
    <x v="1"/>
    <n v="3.7"/>
    <n v="6"/>
    <n v="4"/>
    <s v="No"/>
    <s v="Within 5 min"/>
    <n v="61"/>
    <n v="5.3"/>
    <n v="1.5"/>
    <n v="4.5"/>
    <n v="3.6"/>
    <s v="No"/>
    <s v="Yes"/>
    <n v="8.1999999999999993"/>
    <n v="5.4"/>
    <n v="4.8"/>
    <n v="5.0999999999999996"/>
    <n v="8.1999999999999993"/>
    <n v="5.9"/>
    <n v="6.3"/>
    <n v="10"/>
    <m/>
    <n v="4"/>
    <n v="6.3"/>
    <s v="Moderate"/>
    <x v="1"/>
  </r>
  <r>
    <x v="546"/>
    <n v="25"/>
    <x v="2"/>
    <x v="0"/>
    <s v="Married"/>
    <x v="0"/>
    <n v="4.5999999999999996"/>
    <n v="5"/>
    <n v="5"/>
    <s v="No"/>
    <s v="5-30 min"/>
    <n v="136"/>
    <n v="5.8"/>
    <n v="6.8"/>
    <n v="6.3"/>
    <n v="8.1"/>
    <s v="Yes"/>
    <s v="Yes"/>
    <n v="3.8"/>
    <n v="6.7"/>
    <n v="5"/>
    <n v="10"/>
    <m/>
    <n v="6.9"/>
    <n v="5.4"/>
    <n v="4"/>
    <n v="3.1"/>
    <n v="3.2"/>
    <n v="5.5"/>
    <s v="High"/>
    <x v="0"/>
  </r>
  <r>
    <x v="547"/>
    <n v="41"/>
    <x v="0"/>
    <x v="2"/>
    <s v="In a Relationship"/>
    <x v="3"/>
    <n v="2.1"/>
    <n v="1"/>
    <n v="3"/>
    <s v="No"/>
    <s v="Within 5 min"/>
    <n v="86"/>
    <n v="9"/>
    <n v="3.2"/>
    <n v="6.1"/>
    <n v="5.0999999999999996"/>
    <s v="No"/>
    <s v="No"/>
    <n v="5.3"/>
    <n v="3"/>
    <n v="3.1"/>
    <n v="8.4"/>
    <n v="6.1"/>
    <n v="4.5"/>
    <n v="3.2"/>
    <n v="2.1"/>
    <n v="3.9"/>
    <n v="0.2"/>
    <n v="7.4"/>
    <s v="Moderate"/>
    <x v="2"/>
  </r>
  <r>
    <x v="548"/>
    <n v="31"/>
    <x v="0"/>
    <x v="0"/>
    <s v="Single"/>
    <x v="0"/>
    <n v="2.2000000000000002"/>
    <n v="3"/>
    <n v="4"/>
    <s v="Yes"/>
    <s v="Within 5 min"/>
    <n v="5"/>
    <n v="7.4"/>
    <n v="9.6"/>
    <n v="7.8"/>
    <n v="5.6"/>
    <m/>
    <s v="No"/>
    <n v="4.8"/>
    <n v="6.2"/>
    <n v="3.3"/>
    <n v="4.3"/>
    <n v="5.2"/>
    <n v="7.9"/>
    <n v="5.7"/>
    <n v="6.7"/>
    <n v="1.5"/>
    <n v="2.2000000000000002"/>
    <n v="5.3"/>
    <s v="High"/>
    <x v="0"/>
  </r>
  <r>
    <x v="549"/>
    <n v="17"/>
    <x v="0"/>
    <x v="0"/>
    <s v="In a Relationship"/>
    <x v="1"/>
    <n v="3.2"/>
    <n v="5"/>
    <n v="6"/>
    <s v="Yes"/>
    <s v="5-30 min"/>
    <n v="74"/>
    <n v="6.4"/>
    <n v="4.9000000000000004"/>
    <n v="9.1"/>
    <n v="5"/>
    <s v="Yes"/>
    <s v="Yes"/>
    <n v="8.9"/>
    <n v="5.9"/>
    <n v="7.8"/>
    <n v="5.7"/>
    <n v="3.2"/>
    <n v="4.0999999999999996"/>
    <n v="3.2"/>
    <n v="7.5"/>
    <n v="0"/>
    <n v="4.4000000000000004"/>
    <n v="4.3"/>
    <s v="Severe"/>
    <x v="3"/>
  </r>
  <r>
    <x v="550"/>
    <n v="22"/>
    <x v="1"/>
    <x v="1"/>
    <s v="Married"/>
    <x v="0"/>
    <n v="3.5"/>
    <n v="2"/>
    <n v="5"/>
    <s v="No"/>
    <s v="After 30 min"/>
    <n v="43"/>
    <n v="3.9"/>
    <n v="9.6"/>
    <n v="3.1"/>
    <n v="10"/>
    <s v="Yes"/>
    <s v="Yes"/>
    <n v="4.7"/>
    <n v="4.4000000000000004"/>
    <n v="3.4"/>
    <n v="3.7"/>
    <m/>
    <n v="5.0999999999999996"/>
    <n v="7.3"/>
    <n v="5.7"/>
    <n v="5.0999999999999996"/>
    <n v="4.5"/>
    <n v="6.7"/>
    <s v="Moderate"/>
    <x v="1"/>
  </r>
  <r>
    <x v="551"/>
    <n v="39"/>
    <x v="0"/>
    <x v="0"/>
    <s v="Married"/>
    <x v="1"/>
    <n v="0.8"/>
    <n v="2"/>
    <n v="1"/>
    <s v="Yes"/>
    <s v="After 30 min"/>
    <n v="81"/>
    <n v="5.6"/>
    <n v="5.5"/>
    <n v="7.2"/>
    <n v="6.9"/>
    <s v="Yes"/>
    <s v="Yes"/>
    <n v="8.6"/>
    <n v="8.6999999999999993"/>
    <n v="0.2"/>
    <n v="6.4"/>
    <n v="7.5"/>
    <n v="8.8000000000000007"/>
    <n v="3.2"/>
    <n v="4.8"/>
    <n v="0.2"/>
    <n v="4"/>
    <n v="6.8"/>
    <s v="Moderate"/>
    <x v="2"/>
  </r>
  <r>
    <x v="552"/>
    <n v="25"/>
    <x v="0"/>
    <x v="0"/>
    <s v="Single"/>
    <x v="3"/>
    <n v="1.9"/>
    <n v="4"/>
    <n v="2"/>
    <s v="No"/>
    <s v="Within 5 min"/>
    <n v="76"/>
    <n v="3.9"/>
    <n v="8.4"/>
    <n v="6.1"/>
    <n v="4.2"/>
    <s v="Yes"/>
    <s v="Yes"/>
    <n v="6"/>
    <n v="5.8"/>
    <n v="4.3"/>
    <n v="7.5"/>
    <n v="6.8"/>
    <n v="5.9"/>
    <n v="5.0999999999999996"/>
    <n v="7.7"/>
    <n v="3.5"/>
    <n v="3.3"/>
    <n v="5.8"/>
    <s v="Moderate"/>
    <x v="0"/>
  </r>
  <r>
    <x v="553"/>
    <n v="23"/>
    <x v="1"/>
    <x v="0"/>
    <s v="In a Relationship"/>
    <x v="4"/>
    <n v="7.1"/>
    <n v="1"/>
    <n v="6"/>
    <m/>
    <s v="Within 5 min"/>
    <n v="64"/>
    <n v="5.5"/>
    <n v="3"/>
    <n v="3.3"/>
    <n v="3.4"/>
    <s v="Yes"/>
    <s v="No"/>
    <n v="5.8"/>
    <n v="2.7"/>
    <n v="5.6"/>
    <n v="3.5"/>
    <n v="3.8"/>
    <n v="5.6"/>
    <n v="6.8"/>
    <n v="4.5"/>
    <n v="0.6"/>
    <n v="2.4"/>
    <n v="6.7"/>
    <s v="High"/>
    <x v="1"/>
  </r>
  <r>
    <x v="554"/>
    <n v="44"/>
    <x v="0"/>
    <x v="0"/>
    <s v="In a Relationship"/>
    <x v="4"/>
    <n v="6.9"/>
    <n v="3"/>
    <n v="3"/>
    <s v="Yes"/>
    <s v="5-30 min"/>
    <n v="71"/>
    <n v="6"/>
    <n v="4.5"/>
    <n v="3.4"/>
    <n v="3.1"/>
    <s v="No"/>
    <s v="No"/>
    <n v="2.1"/>
    <n v="5.3"/>
    <n v="2.7"/>
    <n v="8.1999999999999993"/>
    <n v="6"/>
    <n v="6.3"/>
    <n v="7"/>
    <m/>
    <n v="1.4"/>
    <n v="0.9"/>
    <n v="7.7"/>
    <s v="Low"/>
    <x v="2"/>
  </r>
  <r>
    <x v="555"/>
    <n v="19"/>
    <x v="1"/>
    <x v="3"/>
    <s v="Single"/>
    <x v="0"/>
    <n v="7.9"/>
    <n v="1"/>
    <n v="4"/>
    <s v="No"/>
    <s v="Within 5 min"/>
    <n v="66"/>
    <n v="4.0999999999999996"/>
    <n v="3"/>
    <n v="4.5999999999999996"/>
    <n v="4.2"/>
    <s v="No"/>
    <s v="No"/>
    <n v="4.2"/>
    <n v="7"/>
    <n v="5.6"/>
    <n v="4.8"/>
    <n v="8.3000000000000007"/>
    <n v="7.5"/>
    <n v="1.7"/>
    <n v="8.4"/>
    <n v="1.6"/>
    <n v="0"/>
    <n v="8.4"/>
    <s v="Low"/>
    <x v="1"/>
  </r>
  <r>
    <x v="556"/>
    <n v="15"/>
    <x v="0"/>
    <x v="0"/>
    <s v="Single"/>
    <x v="3"/>
    <n v="6.9"/>
    <n v="4"/>
    <n v="3"/>
    <s v="Yes"/>
    <s v="5-30 min"/>
    <n v="38"/>
    <n v="3.8"/>
    <n v="5.5"/>
    <n v="5.5"/>
    <n v="4.8"/>
    <s v="Yes"/>
    <s v="No"/>
    <n v="2.8"/>
    <n v="6.1"/>
    <n v="5.0999999999999996"/>
    <n v="5"/>
    <n v="6.5"/>
    <m/>
    <n v="4.3"/>
    <n v="3.5"/>
    <n v="5.5"/>
    <n v="2.9"/>
    <n v="7.3"/>
    <s v="Moderate"/>
    <x v="3"/>
  </r>
  <r>
    <x v="557"/>
    <n v="35"/>
    <x v="0"/>
    <x v="0"/>
    <s v="Married"/>
    <x v="3"/>
    <n v="6.3"/>
    <n v="3"/>
    <n v="7"/>
    <s v="Yes"/>
    <s v="5-30 min"/>
    <n v="5"/>
    <n v="4.9000000000000004"/>
    <n v="3.9"/>
    <n v="4.7"/>
    <n v="6.8"/>
    <s v="No"/>
    <s v="No"/>
    <n v="5.7"/>
    <n v="7.6"/>
    <n v="3.9"/>
    <n v="7.4"/>
    <n v="6.1"/>
    <n v="6.7"/>
    <n v="3"/>
    <n v="4.5999999999999996"/>
    <n v="1.4"/>
    <n v="4.5"/>
    <n v="7.3"/>
    <s v="Moderate"/>
    <x v="4"/>
  </r>
  <r>
    <x v="558"/>
    <n v="32"/>
    <x v="2"/>
    <x v="0"/>
    <s v="Single"/>
    <x v="1"/>
    <n v="8.1"/>
    <n v="3"/>
    <n v="5"/>
    <s v="Yes"/>
    <s v="5-30 min"/>
    <n v="61"/>
    <n v="4.5999999999999996"/>
    <n v="8.6"/>
    <n v="5.9"/>
    <n v="7.5"/>
    <s v="No"/>
    <s v="No"/>
    <n v="3.6"/>
    <n v="4.7"/>
    <n v="3.6"/>
    <n v="3.1"/>
    <n v="7.1"/>
    <n v="5.9"/>
    <n v="7.6"/>
    <n v="5"/>
    <n v="1.3"/>
    <n v="3.4"/>
    <n v="4.4000000000000004"/>
    <s v="Severe"/>
    <x v="0"/>
  </r>
  <r>
    <x v="559"/>
    <n v="38"/>
    <x v="0"/>
    <x v="0"/>
    <s v="In a Relationship"/>
    <x v="0"/>
    <n v="5.8"/>
    <n v="4"/>
    <n v="5"/>
    <s v="Yes"/>
    <s v="After 30 min"/>
    <n v="80"/>
    <n v="6.4"/>
    <n v="5.4"/>
    <n v="5.8"/>
    <n v="5.3"/>
    <s v="No"/>
    <s v="Yes"/>
    <n v="5.3"/>
    <n v="4.5999999999999996"/>
    <n v="6.5"/>
    <n v="5.6"/>
    <n v="6.2"/>
    <n v="5"/>
    <n v="5.6"/>
    <n v="7.3"/>
    <n v="2.6"/>
    <n v="0"/>
    <n v="5.3"/>
    <s v="Severe"/>
    <x v="2"/>
  </r>
  <r>
    <x v="560"/>
    <n v="35"/>
    <x v="0"/>
    <x v="0"/>
    <s v="In a Relationship"/>
    <x v="0"/>
    <n v="3.8"/>
    <n v="8"/>
    <n v="4"/>
    <s v="Yes"/>
    <s v="5-30 min"/>
    <n v="65"/>
    <n v="2.4"/>
    <n v="5.0999999999999996"/>
    <n v="7.3"/>
    <n v="6.3"/>
    <m/>
    <s v="Yes"/>
    <n v="4.2"/>
    <n v="4.0999999999999996"/>
    <n v="1.7"/>
    <n v="6"/>
    <n v="5.2"/>
    <n v="5.9"/>
    <n v="1.1000000000000001"/>
    <n v="4.8"/>
    <n v="4.0999999999999996"/>
    <n v="2.2999999999999998"/>
    <n v="7"/>
    <s v="Moderate"/>
    <x v="4"/>
  </r>
  <r>
    <x v="561"/>
    <n v="43"/>
    <x v="1"/>
    <x v="3"/>
    <s v="Single"/>
    <x v="3"/>
    <n v="3.8"/>
    <n v="3"/>
    <n v="4"/>
    <s v="Yes"/>
    <s v="Within 5 min"/>
    <n v="25"/>
    <n v="7.2"/>
    <n v="5.3"/>
    <n v="3"/>
    <n v="7.9"/>
    <s v="No"/>
    <s v="No"/>
    <n v="9.6999999999999993"/>
    <n v="1.7"/>
    <n v="2.9"/>
    <n v="7.7"/>
    <n v="5.8"/>
    <n v="5.9"/>
    <n v="0.6"/>
    <n v="8.9"/>
    <n v="5.0999999999999996"/>
    <n v="3.1"/>
    <n v="6.7"/>
    <s v="Moderate"/>
    <x v="2"/>
  </r>
  <r>
    <x v="562"/>
    <n v="44"/>
    <x v="1"/>
    <x v="0"/>
    <s v="Married"/>
    <x v="0"/>
    <n v="5.0999999999999996"/>
    <n v="1"/>
    <n v="4"/>
    <s v="Yes"/>
    <s v="After 30 min"/>
    <n v="11"/>
    <n v="8"/>
    <n v="6.5"/>
    <n v="5"/>
    <n v="6.5"/>
    <s v="Yes"/>
    <s v="Yes"/>
    <n v="2.1"/>
    <n v="5.7"/>
    <n v="1.9"/>
    <n v="8.4"/>
    <n v="5"/>
    <n v="5.9"/>
    <n v="5"/>
    <n v="4.5"/>
    <n v="6.9"/>
    <n v="3.1"/>
    <n v="7.9"/>
    <s v="Moderate"/>
    <x v="2"/>
  </r>
  <r>
    <x v="563"/>
    <n v="40"/>
    <x v="0"/>
    <x v="1"/>
    <m/>
    <x v="0"/>
    <n v="5.4"/>
    <n v="5"/>
    <n v="6"/>
    <s v="Yes"/>
    <s v="Within 5 min"/>
    <n v="37"/>
    <n v="5.5"/>
    <n v="7.4"/>
    <n v="1.6"/>
    <n v="5.7"/>
    <s v="Yes"/>
    <s v="No"/>
    <n v="6.1"/>
    <n v="8.4"/>
    <n v="3.2"/>
    <n v="5.6"/>
    <n v="8.4"/>
    <n v="7.4"/>
    <n v="5"/>
    <n v="4.7"/>
    <n v="1.3"/>
    <n v="0.9"/>
    <n v="5.6"/>
    <s v="High"/>
    <x v="2"/>
  </r>
  <r>
    <x v="564"/>
    <n v="31"/>
    <x v="0"/>
    <x v="4"/>
    <s v="In a Relationship"/>
    <x v="4"/>
    <n v="4.2"/>
    <n v="4"/>
    <n v="1"/>
    <s v="No"/>
    <s v="Within 5 min"/>
    <n v="111"/>
    <n v="5.7"/>
    <n v="5.6"/>
    <m/>
    <n v="6.3"/>
    <s v="No"/>
    <s v="No"/>
    <n v="6.1"/>
    <n v="4.7"/>
    <n v="4.3"/>
    <n v="4.9000000000000004"/>
    <n v="4"/>
    <n v="9.6"/>
    <n v="4.8"/>
    <n v="5.9"/>
    <n v="3.5"/>
    <n v="2.6"/>
    <n v="7"/>
    <s v="Moderate"/>
    <x v="0"/>
  </r>
  <r>
    <x v="565"/>
    <n v="32"/>
    <x v="2"/>
    <x v="0"/>
    <s v="Married"/>
    <x v="1"/>
    <n v="3.7"/>
    <n v="2"/>
    <n v="4"/>
    <s v="No"/>
    <s v="5-30 min"/>
    <n v="105"/>
    <n v="5.2"/>
    <n v="2.8"/>
    <n v="5.6"/>
    <n v="4.0999999999999996"/>
    <s v="Yes"/>
    <s v="Yes"/>
    <n v="4.8"/>
    <n v="4.3"/>
    <n v="3.6"/>
    <n v="4.7"/>
    <m/>
    <n v="8.6999999999999993"/>
    <n v="2.2000000000000002"/>
    <n v="4.5"/>
    <m/>
    <n v="3.5"/>
    <n v="7.3"/>
    <s v="Low"/>
    <x v="0"/>
  </r>
  <r>
    <x v="566"/>
    <n v="31"/>
    <x v="0"/>
    <x v="0"/>
    <s v="Single"/>
    <x v="3"/>
    <n v="4.4000000000000004"/>
    <n v="5"/>
    <n v="3"/>
    <s v="No"/>
    <s v="Within 5 min"/>
    <n v="14"/>
    <n v="7.4"/>
    <n v="6.8"/>
    <n v="5"/>
    <n v="3.5"/>
    <s v="Yes"/>
    <s v="Yes"/>
    <n v="3.8"/>
    <n v="4.2"/>
    <n v="5.7"/>
    <n v="1.9"/>
    <n v="0.1"/>
    <n v="4.4000000000000004"/>
    <n v="6.5"/>
    <n v="5.8"/>
    <n v="4.5"/>
    <n v="3.9"/>
    <n v="4.8"/>
    <s v="Severe"/>
    <x v="0"/>
  </r>
  <r>
    <x v="567"/>
    <n v="25"/>
    <x v="1"/>
    <x v="3"/>
    <s v="In a Relationship"/>
    <x v="5"/>
    <n v="2.8"/>
    <n v="2"/>
    <n v="2"/>
    <s v="Yes"/>
    <s v="Within 5 min"/>
    <n v="22"/>
    <n v="5.8"/>
    <n v="2.8"/>
    <n v="8.8000000000000007"/>
    <n v="5.6"/>
    <s v="Yes"/>
    <s v="No"/>
    <n v="1.1000000000000001"/>
    <n v="5.9"/>
    <n v="7.2"/>
    <n v="7.5"/>
    <n v="3.3"/>
    <n v="6.9"/>
    <n v="7.6"/>
    <n v="5.5"/>
    <m/>
    <n v="0"/>
    <n v="6.5"/>
    <s v="High"/>
    <x v="0"/>
  </r>
  <r>
    <x v="568"/>
    <n v="37"/>
    <x v="1"/>
    <x v="2"/>
    <s v="In a Relationship"/>
    <x v="1"/>
    <n v="9.1999999999999993"/>
    <n v="3"/>
    <n v="4"/>
    <s v="No"/>
    <s v="5-30 min"/>
    <n v="98"/>
    <n v="3.8"/>
    <n v="4.8"/>
    <n v="5.5"/>
    <n v="4"/>
    <s v="No"/>
    <s v="No"/>
    <n v="3.2"/>
    <n v="3.2"/>
    <n v="5.6"/>
    <n v="4.5999999999999996"/>
    <n v="6.3"/>
    <n v="7"/>
    <n v="0.4"/>
    <n v="3.7"/>
    <n v="4"/>
    <n v="2.7"/>
    <n v="7.3"/>
    <s v="Moderate"/>
    <x v="2"/>
  </r>
  <r>
    <x v="569"/>
    <n v="33"/>
    <x v="1"/>
    <x v="3"/>
    <s v="Single"/>
    <x v="4"/>
    <n v="5.6"/>
    <n v="3"/>
    <n v="2"/>
    <s v="No"/>
    <s v="5-30 min"/>
    <n v="59"/>
    <n v="4.3"/>
    <n v="8.5"/>
    <n v="4.5"/>
    <n v="7.1"/>
    <s v="Yes"/>
    <s v="Yes"/>
    <n v="9.6"/>
    <n v="5.9"/>
    <n v="3.4"/>
    <n v="9"/>
    <n v="4.2"/>
    <n v="8.9"/>
    <n v="1.7"/>
    <n v="7.5"/>
    <n v="3.6"/>
    <n v="3.3"/>
    <n v="6.1"/>
    <s v="Moderate"/>
    <x v="0"/>
  </r>
  <r>
    <x v="570"/>
    <n v="15"/>
    <x v="0"/>
    <x v="0"/>
    <s v="Single"/>
    <x v="3"/>
    <n v="0.5"/>
    <n v="3"/>
    <n v="6"/>
    <s v="No"/>
    <s v="Within 5 min"/>
    <n v="63"/>
    <n v="8"/>
    <n v="7.6"/>
    <n v="7.3"/>
    <n v="3.2"/>
    <s v="Yes"/>
    <s v="Yes"/>
    <n v="4.0999999999999996"/>
    <n v="3.5"/>
    <n v="2"/>
    <n v="2.1"/>
    <n v="7.2"/>
    <n v="6.8"/>
    <n v="7.5"/>
    <n v="4.4000000000000004"/>
    <n v="3.7"/>
    <n v="3.1"/>
    <n v="5"/>
    <s v="Severe"/>
    <x v="3"/>
  </r>
  <r>
    <x v="571"/>
    <n v="17"/>
    <x v="1"/>
    <x v="0"/>
    <s v="In a Relationship"/>
    <x v="0"/>
    <n v="6.3"/>
    <n v="1"/>
    <n v="3"/>
    <s v="No"/>
    <s v="Within 5 min"/>
    <n v="26"/>
    <n v="6.4"/>
    <n v="7.5"/>
    <n v="5.0999999999999996"/>
    <n v="7"/>
    <s v="Yes"/>
    <s v="Yes"/>
    <n v="8"/>
    <n v="7.2"/>
    <n v="5.2"/>
    <n v="3.1"/>
    <n v="2.2000000000000002"/>
    <n v="6.8"/>
    <n v="4.5999999999999996"/>
    <n v="6.8"/>
    <n v="1.4"/>
    <m/>
    <n v="4"/>
    <s v="Severe"/>
    <x v="3"/>
  </r>
  <r>
    <x v="572"/>
    <n v="35"/>
    <x v="3"/>
    <x v="3"/>
    <s v="In a Relationship"/>
    <x v="3"/>
    <n v="2.7"/>
    <n v="1"/>
    <n v="6"/>
    <s v="Yes"/>
    <s v="5-30 min"/>
    <n v="20"/>
    <n v="2.8"/>
    <n v="4.8"/>
    <n v="10"/>
    <n v="6.9"/>
    <s v="No"/>
    <s v="No"/>
    <n v="4.4000000000000004"/>
    <m/>
    <n v="8.6999999999999993"/>
    <n v="7.1"/>
    <n v="5.9"/>
    <n v="7.3"/>
    <n v="7.5"/>
    <n v="5.8"/>
    <n v="5.5"/>
    <n v="2.9"/>
    <n v="6.4"/>
    <s v="Moderate"/>
    <x v="4"/>
  </r>
  <r>
    <x v="573"/>
    <n v="30"/>
    <x v="3"/>
    <x v="1"/>
    <m/>
    <x v="4"/>
    <n v="4"/>
    <n v="6"/>
    <n v="3"/>
    <s v="No"/>
    <s v="5-30 min"/>
    <n v="53"/>
    <n v="7.4"/>
    <n v="5.8"/>
    <n v="10"/>
    <n v="6.9"/>
    <s v="No"/>
    <s v="Yes"/>
    <n v="1.4"/>
    <n v="4.5999999999999996"/>
    <n v="3.7"/>
    <n v="5.0999999999999996"/>
    <n v="6.2"/>
    <n v="10"/>
    <n v="5.0999999999999996"/>
    <m/>
    <n v="2.2999999999999998"/>
    <n v="0"/>
    <n v="6.1"/>
    <s v="High"/>
    <x v="0"/>
  </r>
  <r>
    <x v="574"/>
    <n v="35"/>
    <x v="1"/>
    <x v="1"/>
    <s v="Single"/>
    <x v="3"/>
    <m/>
    <n v="3"/>
    <n v="5"/>
    <s v="No"/>
    <s v="Within 5 min"/>
    <n v="97"/>
    <n v="4.9000000000000004"/>
    <n v="3.7"/>
    <n v="4.5"/>
    <n v="5.4"/>
    <s v="No"/>
    <s v="Yes"/>
    <n v="5.5"/>
    <n v="8.3000000000000007"/>
    <n v="7.8"/>
    <n v="6.2"/>
    <n v="8"/>
    <n v="6.7"/>
    <n v="5.7"/>
    <n v="2.7"/>
    <n v="3.6"/>
    <n v="4.7"/>
    <n v="5.5"/>
    <s v="High"/>
    <x v="4"/>
  </r>
  <r>
    <x v="575"/>
    <n v="32"/>
    <x v="1"/>
    <x v="1"/>
    <s v="In a Relationship"/>
    <x v="4"/>
    <n v="6.4"/>
    <n v="2"/>
    <n v="4"/>
    <s v="Yes"/>
    <s v="5-30 min"/>
    <n v="60"/>
    <n v="8.3000000000000007"/>
    <n v="6"/>
    <n v="0.8"/>
    <n v="4.8"/>
    <s v="Yes"/>
    <s v="No"/>
    <n v="9.3000000000000007"/>
    <n v="3.1"/>
    <n v="4.9000000000000004"/>
    <n v="6.7"/>
    <n v="3.9"/>
    <n v="7.5"/>
    <n v="4.5999999999999996"/>
    <n v="4.5999999999999996"/>
    <n v="0.9"/>
    <n v="4.0999999999999996"/>
    <n v="6.1"/>
    <s v="Moderate"/>
    <x v="0"/>
  </r>
  <r>
    <x v="576"/>
    <n v="25"/>
    <x v="1"/>
    <x v="0"/>
    <s v="In a Relationship"/>
    <x v="1"/>
    <n v="4.4000000000000004"/>
    <n v="5"/>
    <n v="4"/>
    <s v="No"/>
    <s v="Within 5 min"/>
    <n v="64"/>
    <n v="2.8"/>
    <n v="4.5"/>
    <n v="9.1"/>
    <n v="6.9"/>
    <s v="Yes"/>
    <s v="No"/>
    <n v="6.8"/>
    <n v="6"/>
    <n v="4.8"/>
    <n v="3.4"/>
    <n v="5.0999999999999996"/>
    <n v="7.5"/>
    <n v="7.1"/>
    <n v="3.6"/>
    <n v="4.7"/>
    <n v="2.5"/>
    <n v="5.3"/>
    <s v="High"/>
    <x v="0"/>
  </r>
  <r>
    <x v="577"/>
    <n v="15"/>
    <x v="0"/>
    <x v="3"/>
    <s v="Single"/>
    <x v="1"/>
    <n v="5.0999999999999996"/>
    <n v="8"/>
    <n v="4"/>
    <s v="No"/>
    <s v="After 30 min"/>
    <n v="41"/>
    <m/>
    <n v="9.1999999999999993"/>
    <n v="8.4"/>
    <n v="2.6"/>
    <s v="Yes"/>
    <s v="No"/>
    <n v="3.7"/>
    <m/>
    <n v="3.8"/>
    <n v="4.4000000000000004"/>
    <n v="3.3"/>
    <m/>
    <n v="5.9"/>
    <n v="5.6"/>
    <n v="1.6"/>
    <n v="3.7"/>
    <n v="6.1"/>
    <s v="High"/>
    <x v="3"/>
  </r>
  <r>
    <x v="578"/>
    <n v="15"/>
    <x v="0"/>
    <x v="1"/>
    <s v="Single"/>
    <x v="2"/>
    <n v="4.2"/>
    <n v="3"/>
    <n v="4"/>
    <s v="No"/>
    <s v="Within 5 min"/>
    <n v="5"/>
    <n v="8.9"/>
    <n v="7.4"/>
    <n v="9.6999999999999993"/>
    <n v="5.3"/>
    <s v="Yes"/>
    <s v="Yes"/>
    <n v="3.1"/>
    <n v="1.5"/>
    <n v="9.8000000000000007"/>
    <n v="5.5"/>
    <n v="7.5"/>
    <n v="9.4"/>
    <n v="5"/>
    <n v="6.3"/>
    <n v="4.7"/>
    <n v="2.5"/>
    <n v="5.7"/>
    <s v="High"/>
    <x v="3"/>
  </r>
  <r>
    <x v="579"/>
    <n v="17"/>
    <x v="1"/>
    <x v="1"/>
    <s v="Single"/>
    <x v="4"/>
    <n v="9.4"/>
    <n v="3"/>
    <n v="6"/>
    <s v="Yes"/>
    <s v="5-30 min"/>
    <n v="29"/>
    <n v="4.2"/>
    <n v="4"/>
    <n v="4.5"/>
    <n v="6.5"/>
    <s v="No"/>
    <s v="Yes"/>
    <n v="2.8"/>
    <n v="1.4"/>
    <n v="0"/>
    <n v="4.0999999999999996"/>
    <n v="6.5"/>
    <n v="6.1"/>
    <m/>
    <n v="2.7"/>
    <n v="2.5"/>
    <n v="3.5"/>
    <n v="7"/>
    <s v="Moderate"/>
    <x v="3"/>
  </r>
  <r>
    <x v="580"/>
    <n v="18"/>
    <x v="0"/>
    <x v="1"/>
    <s v="In a Relationship"/>
    <x v="0"/>
    <n v="4.4000000000000004"/>
    <n v="2"/>
    <n v="3"/>
    <s v="Yes"/>
    <s v="After 30 min"/>
    <n v="5"/>
    <n v="3.8"/>
    <n v="4.5"/>
    <n v="4"/>
    <n v="5.8"/>
    <s v="No"/>
    <s v="No"/>
    <n v="4.2"/>
    <n v="4.2"/>
    <n v="4.3"/>
    <n v="5.2"/>
    <n v="2.9"/>
    <n v="5.0999999999999996"/>
    <n v="6.7"/>
    <n v="5"/>
    <n v="5.8"/>
    <n v="4.7"/>
    <n v="8.5"/>
    <s v="Low"/>
    <x v="1"/>
  </r>
  <r>
    <x v="581"/>
    <n v="38"/>
    <x v="0"/>
    <x v="0"/>
    <s v="Single"/>
    <x v="0"/>
    <m/>
    <n v="1"/>
    <n v="7"/>
    <s v="Yes"/>
    <s v="5-30 min"/>
    <n v="76"/>
    <n v="2.6"/>
    <n v="7.4"/>
    <n v="4.4000000000000004"/>
    <n v="8.4"/>
    <s v="No"/>
    <s v="Yes"/>
    <n v="6"/>
    <n v="2.7"/>
    <n v="3.6"/>
    <n v="4.0999999999999996"/>
    <n v="3.6"/>
    <n v="7.4"/>
    <n v="10"/>
    <n v="4.7"/>
    <n v="2.5"/>
    <n v="1.2"/>
    <n v="4.7"/>
    <s v="Severe"/>
    <x v="2"/>
  </r>
  <r>
    <x v="582"/>
    <n v="37"/>
    <x v="0"/>
    <x v="1"/>
    <s v="Single"/>
    <x v="1"/>
    <n v="1.7"/>
    <n v="4"/>
    <n v="4"/>
    <s v="No"/>
    <s v="Within 5 min"/>
    <n v="48"/>
    <m/>
    <n v="9.1999999999999993"/>
    <n v="6.1"/>
    <n v="5.9"/>
    <s v="No"/>
    <s v="No"/>
    <n v="8.8000000000000007"/>
    <n v="7.3"/>
    <n v="3.4"/>
    <n v="4.0999999999999996"/>
    <n v="3.7"/>
    <n v="7.6"/>
    <n v="4.8"/>
    <n v="6.3"/>
    <n v="3.1"/>
    <n v="2.2000000000000002"/>
    <n v="5.2"/>
    <s v="High"/>
    <x v="2"/>
  </r>
  <r>
    <x v="583"/>
    <n v="43"/>
    <x v="0"/>
    <x v="1"/>
    <s v="In a Relationship"/>
    <x v="3"/>
    <n v="4.5"/>
    <n v="4"/>
    <n v="0"/>
    <s v="Yes"/>
    <s v="After 30 min"/>
    <n v="48"/>
    <n v="3"/>
    <n v="5.2"/>
    <n v="6.4"/>
    <n v="6"/>
    <s v="Yes"/>
    <s v="Yes"/>
    <n v="1.8"/>
    <n v="3.5"/>
    <n v="4.4000000000000004"/>
    <n v="6.7"/>
    <n v="6.9"/>
    <n v="5.5"/>
    <n v="3.7"/>
    <n v="2.5"/>
    <n v="2.9"/>
    <n v="5.6"/>
    <n v="8"/>
    <s v="Low"/>
    <x v="2"/>
  </r>
  <r>
    <x v="584"/>
    <n v="24"/>
    <x v="0"/>
    <x v="1"/>
    <s v="Single"/>
    <x v="5"/>
    <n v="3.5"/>
    <n v="3"/>
    <n v="0"/>
    <s v="No"/>
    <s v="Within 5 min"/>
    <n v="30"/>
    <n v="8.9"/>
    <n v="6"/>
    <n v="3.3"/>
    <n v="1.6"/>
    <s v="No"/>
    <s v="No"/>
    <n v="7"/>
    <n v="6.6"/>
    <n v="4.7"/>
    <n v="3.5"/>
    <n v="10"/>
    <n v="4.3"/>
    <n v="8.3000000000000007"/>
    <n v="4.3"/>
    <n v="3.4"/>
    <n v="2.5"/>
    <n v="6.7"/>
    <s v="Moderate"/>
    <x v="1"/>
  </r>
  <r>
    <x v="585"/>
    <n v="18"/>
    <x v="0"/>
    <x v="1"/>
    <s v="Single"/>
    <x v="0"/>
    <n v="4.9000000000000004"/>
    <n v="1"/>
    <n v="4"/>
    <s v="Yes"/>
    <s v="Within 5 min"/>
    <n v="91"/>
    <n v="4.0999999999999996"/>
    <n v="5.9"/>
    <n v="6.6"/>
    <n v="6.5"/>
    <s v="No"/>
    <s v="No"/>
    <n v="3.1"/>
    <n v="6.2"/>
    <n v="1.5"/>
    <m/>
    <n v="4.2"/>
    <n v="7.1"/>
    <n v="5.9"/>
    <n v="3.6"/>
    <n v="1.6"/>
    <n v="4.8"/>
    <n v="6.3"/>
    <s v="Moderate"/>
    <x v="1"/>
  </r>
  <r>
    <x v="586"/>
    <n v="36"/>
    <x v="1"/>
    <x v="1"/>
    <m/>
    <x v="0"/>
    <n v="5.4"/>
    <n v="3"/>
    <n v="2"/>
    <s v="No"/>
    <s v="After 30 min"/>
    <n v="54"/>
    <n v="5.3"/>
    <n v="5.7"/>
    <n v="4.5999999999999996"/>
    <n v="7.1"/>
    <s v="Yes"/>
    <s v="No"/>
    <n v="7.3"/>
    <n v="6"/>
    <n v="2.8"/>
    <n v="7.7"/>
    <n v="5.5"/>
    <n v="7.7"/>
    <n v="1.4"/>
    <n v="7"/>
    <n v="1.5"/>
    <n v="6.2"/>
    <n v="8.1"/>
    <s v="Low"/>
    <x v="2"/>
  </r>
  <r>
    <x v="587"/>
    <n v="21"/>
    <x v="0"/>
    <x v="0"/>
    <s v="Married"/>
    <x v="1"/>
    <n v="2"/>
    <n v="3"/>
    <n v="5"/>
    <s v="Yes"/>
    <s v="Within 5 min"/>
    <n v="89"/>
    <n v="4.3"/>
    <n v="4.3"/>
    <n v="8"/>
    <n v="2.9"/>
    <s v="Yes"/>
    <s v="No"/>
    <n v="1.5"/>
    <n v="0.4"/>
    <n v="0.2"/>
    <n v="5.9"/>
    <n v="6"/>
    <n v="6.7"/>
    <n v="8.4"/>
    <n v="3.7"/>
    <n v="4"/>
    <n v="8.3000000000000007"/>
    <n v="7.9"/>
    <s v="Low"/>
    <x v="1"/>
  </r>
  <r>
    <x v="588"/>
    <n v="28"/>
    <x v="0"/>
    <x v="0"/>
    <s v="Single"/>
    <x v="3"/>
    <n v="4.7"/>
    <n v="3"/>
    <n v="3"/>
    <s v="No"/>
    <s v="Within 5 min"/>
    <n v="5"/>
    <n v="7.5"/>
    <n v="4.5"/>
    <n v="6.7"/>
    <n v="3.4"/>
    <s v="No"/>
    <s v="Yes"/>
    <n v="5.4"/>
    <n v="0.5"/>
    <n v="1.2"/>
    <n v="3.9"/>
    <n v="8.8000000000000007"/>
    <n v="6"/>
    <n v="8.5"/>
    <n v="2.9"/>
    <n v="4"/>
    <n v="5.8"/>
    <n v="5.3"/>
    <s v="High"/>
    <x v="0"/>
  </r>
  <r>
    <x v="589"/>
    <n v="39"/>
    <x v="0"/>
    <x v="1"/>
    <s v="In a Relationship"/>
    <x v="4"/>
    <n v="3"/>
    <n v="2"/>
    <n v="6"/>
    <s v="Yes"/>
    <s v="Within 5 min"/>
    <n v="107"/>
    <n v="6.5"/>
    <n v="5.0999999999999996"/>
    <m/>
    <n v="6.8"/>
    <s v="No"/>
    <s v="No"/>
    <n v="5.2"/>
    <n v="4"/>
    <n v="1.5"/>
    <n v="6.9"/>
    <n v="8.5"/>
    <n v="7.3"/>
    <n v="5.7"/>
    <n v="5"/>
    <n v="4.2"/>
    <m/>
    <n v="7.1"/>
    <s v="Moderate"/>
    <x v="2"/>
  </r>
  <r>
    <x v="590"/>
    <n v="43"/>
    <x v="2"/>
    <x v="0"/>
    <s v="Single"/>
    <x v="0"/>
    <n v="3"/>
    <n v="2"/>
    <n v="6"/>
    <s v="Yes"/>
    <s v="Within 5 min"/>
    <n v="43"/>
    <n v="0.6"/>
    <n v="6.3"/>
    <n v="3.7"/>
    <n v="5.2"/>
    <s v="Yes"/>
    <s v="No"/>
    <n v="7.8"/>
    <n v="0"/>
    <n v="3.1"/>
    <m/>
    <n v="3.5"/>
    <n v="6.3"/>
    <n v="4"/>
    <n v="6.1"/>
    <n v="1.9"/>
    <n v="3.2"/>
    <n v="7.2"/>
    <s v="Low"/>
    <x v="2"/>
  </r>
  <r>
    <x v="591"/>
    <n v="37"/>
    <x v="0"/>
    <x v="1"/>
    <s v="In a Relationship"/>
    <x v="3"/>
    <m/>
    <n v="7"/>
    <n v="2"/>
    <s v="No"/>
    <s v="5-30 min"/>
    <n v="5"/>
    <n v="5.8"/>
    <n v="4.3"/>
    <n v="7"/>
    <n v="8.6"/>
    <s v="No"/>
    <s v="Yes"/>
    <m/>
    <m/>
    <n v="7.7"/>
    <n v="3.7"/>
    <n v="6.1"/>
    <n v="7.9"/>
    <n v="7.8"/>
    <n v="2.2000000000000002"/>
    <n v="3.4"/>
    <n v="3.3"/>
    <n v="6.1"/>
    <s v="Moderate"/>
    <x v="2"/>
  </r>
  <r>
    <x v="592"/>
    <n v="38"/>
    <x v="1"/>
    <x v="2"/>
    <s v="Single"/>
    <x v="3"/>
    <n v="4"/>
    <n v="3"/>
    <n v="7"/>
    <s v="Yes"/>
    <s v="5-30 min"/>
    <n v="26"/>
    <n v="2.6"/>
    <n v="2.8"/>
    <n v="2.5"/>
    <n v="9.6"/>
    <s v="No"/>
    <s v="No"/>
    <n v="5.6"/>
    <n v="7.6"/>
    <n v="3.3"/>
    <n v="5.7"/>
    <n v="3.4"/>
    <n v="5.8"/>
    <n v="7"/>
    <n v="6.3"/>
    <n v="2.7"/>
    <n v="1.9"/>
    <n v="7.5"/>
    <s v="Moderate"/>
    <x v="2"/>
  </r>
  <r>
    <x v="593"/>
    <n v="43"/>
    <x v="2"/>
    <x v="1"/>
    <s v="Single"/>
    <x v="4"/>
    <n v="3"/>
    <n v="3"/>
    <n v="5"/>
    <s v="Yes"/>
    <s v="Within 5 min"/>
    <n v="49"/>
    <n v="4.3"/>
    <n v="5.8"/>
    <n v="5.8"/>
    <n v="2.2000000000000002"/>
    <m/>
    <s v="Yes"/>
    <n v="4.2"/>
    <n v="2"/>
    <n v="6.2"/>
    <n v="7.3"/>
    <n v="2.2999999999999998"/>
    <n v="6.8"/>
    <n v="4.0999999999999996"/>
    <n v="3.5"/>
    <n v="7.3"/>
    <n v="3.2"/>
    <n v="6.2"/>
    <s v="High"/>
    <x v="2"/>
  </r>
  <r>
    <x v="594"/>
    <n v="34"/>
    <x v="1"/>
    <x v="0"/>
    <m/>
    <x v="1"/>
    <n v="3"/>
    <n v="4"/>
    <n v="3"/>
    <s v="No"/>
    <s v="After 30 min"/>
    <n v="50"/>
    <n v="8.6999999999999993"/>
    <n v="3"/>
    <m/>
    <n v="3.6"/>
    <s v="No"/>
    <s v="No"/>
    <n v="4"/>
    <n v="5.2"/>
    <n v="6.3"/>
    <n v="3.6"/>
    <n v="7.1"/>
    <n v="4.5999999999999996"/>
    <n v="4.9000000000000004"/>
    <n v="8.1"/>
    <n v="3.4"/>
    <n v="2.6"/>
    <n v="8.3000000000000007"/>
    <s v="Low"/>
    <x v="0"/>
  </r>
  <r>
    <x v="595"/>
    <n v="26"/>
    <x v="1"/>
    <x v="2"/>
    <s v="Single"/>
    <x v="1"/>
    <n v="3.7"/>
    <n v="3"/>
    <n v="4"/>
    <s v="Yes"/>
    <s v="5-30 min"/>
    <n v="58"/>
    <n v="6.1"/>
    <n v="8.6999999999999993"/>
    <n v="4.7"/>
    <n v="2.8"/>
    <s v="Yes"/>
    <s v="No"/>
    <n v="6.3"/>
    <n v="5.7"/>
    <n v="6.7"/>
    <m/>
    <n v="4.8"/>
    <n v="8.6999999999999993"/>
    <n v="6.6"/>
    <n v="6.2"/>
    <n v="2.8"/>
    <n v="7.8"/>
    <n v="7"/>
    <s v="Moderate"/>
    <x v="0"/>
  </r>
  <r>
    <x v="596"/>
    <n v="39"/>
    <x v="1"/>
    <x v="1"/>
    <s v="Married"/>
    <x v="2"/>
    <n v="1.7"/>
    <n v="6"/>
    <n v="5"/>
    <s v="No"/>
    <s v="After 30 min"/>
    <n v="140"/>
    <n v="9.4"/>
    <n v="6.1"/>
    <n v="5"/>
    <n v="4.0999999999999996"/>
    <s v="Yes"/>
    <s v="No"/>
    <n v="4.5999999999999996"/>
    <n v="5.2"/>
    <m/>
    <n v="5.6"/>
    <n v="5.2"/>
    <n v="7.7"/>
    <n v="6"/>
    <n v="9"/>
    <m/>
    <n v="2.1"/>
    <n v="8.1"/>
    <s v="Low"/>
    <x v="2"/>
  </r>
  <r>
    <x v="597"/>
    <n v="26"/>
    <x v="1"/>
    <x v="1"/>
    <s v="Married"/>
    <x v="0"/>
    <m/>
    <n v="4"/>
    <n v="2"/>
    <s v="No"/>
    <s v="After 30 min"/>
    <n v="45"/>
    <n v="7.8"/>
    <n v="10"/>
    <m/>
    <n v="5.3"/>
    <s v="Yes"/>
    <s v="No"/>
    <n v="3.9"/>
    <n v="0.1"/>
    <n v="2.4"/>
    <n v="4.0999999999999996"/>
    <n v="5.0999999999999996"/>
    <n v="4.5999999999999996"/>
    <n v="5.0999999999999996"/>
    <n v="2.5"/>
    <n v="3.7"/>
    <n v="3.7"/>
    <n v="7.3"/>
    <s v="Moderate"/>
    <x v="0"/>
  </r>
  <r>
    <x v="598"/>
    <n v="36"/>
    <x v="0"/>
    <x v="0"/>
    <s v="In a Relationship"/>
    <x v="1"/>
    <n v="5.8"/>
    <n v="1"/>
    <n v="5"/>
    <s v="Yes"/>
    <s v="After 30 min"/>
    <n v="20"/>
    <n v="6.9"/>
    <n v="5.7"/>
    <n v="5.3"/>
    <n v="5.3"/>
    <s v="Yes"/>
    <s v="Yes"/>
    <n v="3.5"/>
    <n v="4.4000000000000004"/>
    <n v="0.9"/>
    <n v="6.3"/>
    <n v="3.8"/>
    <n v="5.7"/>
    <n v="2.8"/>
    <n v="3.5"/>
    <n v="4.5"/>
    <n v="1.4"/>
    <n v="8.1"/>
    <s v="Low"/>
    <x v="2"/>
  </r>
  <r>
    <x v="599"/>
    <n v="37"/>
    <x v="0"/>
    <x v="4"/>
    <s v="Single"/>
    <x v="4"/>
    <n v="3.7"/>
    <n v="2"/>
    <n v="3"/>
    <s v="Yes"/>
    <s v="5-30 min"/>
    <n v="122"/>
    <n v="3.7"/>
    <n v="4.9000000000000004"/>
    <n v="0.9"/>
    <n v="5.2"/>
    <s v="Yes"/>
    <s v="No"/>
    <n v="5.5"/>
    <n v="6.3"/>
    <n v="4.2"/>
    <n v="8.8000000000000007"/>
    <n v="4.4000000000000004"/>
    <n v="6.7"/>
    <n v="4.4000000000000004"/>
    <n v="5.9"/>
    <n v="4.3"/>
    <n v="4.2"/>
    <n v="8.9"/>
    <s v="Low"/>
    <x v="2"/>
  </r>
  <r>
    <x v="600"/>
    <n v="43"/>
    <x v="0"/>
    <x v="1"/>
    <s v="Single"/>
    <x v="3"/>
    <n v="5.0999999999999996"/>
    <n v="3"/>
    <n v="3"/>
    <s v="No"/>
    <s v="Within 5 min"/>
    <n v="39"/>
    <n v="3.4"/>
    <n v="4.2"/>
    <n v="6.4"/>
    <n v="6.4"/>
    <s v="Yes"/>
    <s v="Yes"/>
    <n v="5"/>
    <n v="7.8"/>
    <m/>
    <n v="4.2"/>
    <n v="6.4"/>
    <n v="6.3"/>
    <n v="6.4"/>
    <n v="9.4"/>
    <n v="3.8"/>
    <n v="2.6"/>
    <n v="6.2"/>
    <s v="Moderate"/>
    <x v="2"/>
  </r>
  <r>
    <x v="601"/>
    <n v="19"/>
    <x v="0"/>
    <x v="0"/>
    <s v="Married"/>
    <x v="1"/>
    <n v="2.5"/>
    <n v="1"/>
    <n v="8"/>
    <s v="Yes"/>
    <s v="Within 5 min"/>
    <n v="21"/>
    <n v="6.4"/>
    <n v="5.0999999999999996"/>
    <n v="6.9"/>
    <n v="6.2"/>
    <s v="Yes"/>
    <s v="No"/>
    <n v="8.4"/>
    <n v="3.5"/>
    <n v="5.8"/>
    <n v="5.4"/>
    <n v="8.5"/>
    <n v="4.5999999999999996"/>
    <n v="1.9"/>
    <n v="6"/>
    <n v="6.6"/>
    <n v="4.8"/>
    <n v="7.8"/>
    <s v="Moderate"/>
    <x v="1"/>
  </r>
  <r>
    <x v="602"/>
    <n v="17"/>
    <x v="1"/>
    <x v="3"/>
    <s v="In a Relationship"/>
    <x v="2"/>
    <n v="4.7"/>
    <n v="7"/>
    <n v="2"/>
    <m/>
    <s v="After 30 min"/>
    <n v="5"/>
    <n v="2.2999999999999998"/>
    <n v="6.6"/>
    <n v="5.2"/>
    <n v="7.2"/>
    <s v="Yes"/>
    <s v="No"/>
    <n v="5"/>
    <n v="5.7"/>
    <n v="3.1"/>
    <n v="7.4"/>
    <n v="6.6"/>
    <n v="7.2"/>
    <n v="5.9"/>
    <n v="7.3"/>
    <n v="4.5999999999999996"/>
    <n v="4.3"/>
    <n v="9.1999999999999993"/>
    <s v="Low"/>
    <x v="3"/>
  </r>
  <r>
    <x v="603"/>
    <n v="44"/>
    <x v="1"/>
    <x v="0"/>
    <s v="Married"/>
    <x v="0"/>
    <n v="1.3"/>
    <n v="2"/>
    <n v="3"/>
    <s v="No"/>
    <s v="5-30 min"/>
    <n v="87"/>
    <n v="3.9"/>
    <n v="6.2"/>
    <n v="3.5"/>
    <n v="7.7"/>
    <s v="Yes"/>
    <s v="No"/>
    <n v="2.6"/>
    <n v="7.2"/>
    <n v="5.5"/>
    <n v="5"/>
    <n v="10"/>
    <n v="7.8"/>
    <n v="8"/>
    <n v="0.7"/>
    <n v="6.1"/>
    <n v="1.3"/>
    <n v="7.7"/>
    <s v="Low"/>
    <x v="2"/>
  </r>
  <r>
    <x v="604"/>
    <n v="22"/>
    <x v="0"/>
    <x v="1"/>
    <s v="Single"/>
    <x v="0"/>
    <n v="4.4000000000000004"/>
    <n v="3"/>
    <n v="3"/>
    <s v="No"/>
    <s v="Within 5 min"/>
    <n v="61"/>
    <n v="2"/>
    <n v="6"/>
    <n v="3.5"/>
    <n v="5.6"/>
    <s v="Yes"/>
    <s v="Yes"/>
    <n v="5.2"/>
    <n v="2.6"/>
    <n v="5.7"/>
    <m/>
    <n v="7.5"/>
    <n v="6.5"/>
    <n v="5.5"/>
    <n v="2.5"/>
    <n v="1.1000000000000001"/>
    <n v="5"/>
    <n v="7.5"/>
    <s v="Low"/>
    <x v="1"/>
  </r>
  <r>
    <x v="605"/>
    <n v="24"/>
    <x v="1"/>
    <x v="0"/>
    <s v="In a Relationship"/>
    <x v="1"/>
    <n v="4.7"/>
    <n v="3"/>
    <n v="3"/>
    <s v="Yes"/>
    <s v="Within 5 min"/>
    <n v="52"/>
    <n v="8.8000000000000007"/>
    <n v="1"/>
    <n v="6"/>
    <n v="5.5"/>
    <s v="Yes"/>
    <s v="Yes"/>
    <n v="5"/>
    <n v="8.6"/>
    <n v="5.0999999999999996"/>
    <n v="8.8000000000000007"/>
    <n v="7.9"/>
    <n v="7.4"/>
    <n v="3.1"/>
    <n v="7.3"/>
    <n v="3.1"/>
    <n v="3.5"/>
    <n v="5.8"/>
    <s v="High"/>
    <x v="1"/>
  </r>
  <r>
    <x v="606"/>
    <n v="37"/>
    <x v="1"/>
    <x v="2"/>
    <s v="Single"/>
    <x v="3"/>
    <n v="3.7"/>
    <n v="3"/>
    <n v="2"/>
    <s v="No"/>
    <s v="Within 5 min"/>
    <n v="49"/>
    <n v="8.5"/>
    <n v="5.8"/>
    <n v="0.8"/>
    <n v="4.9000000000000004"/>
    <s v="No"/>
    <s v="Yes"/>
    <n v="4.7"/>
    <n v="7"/>
    <n v="4.3"/>
    <n v="6.1"/>
    <n v="4"/>
    <n v="7"/>
    <n v="4.5"/>
    <n v="1.4"/>
    <n v="4.7"/>
    <n v="1.5"/>
    <n v="5.6"/>
    <s v="High"/>
    <x v="2"/>
  </r>
  <r>
    <x v="607"/>
    <n v="25"/>
    <x v="1"/>
    <x v="1"/>
    <s v="Married"/>
    <x v="3"/>
    <n v="6.1"/>
    <n v="3"/>
    <n v="5"/>
    <s v="No"/>
    <s v="Within 5 min"/>
    <n v="27"/>
    <n v="2.7"/>
    <n v="4.5999999999999996"/>
    <n v="8.5"/>
    <n v="4.5999999999999996"/>
    <s v="Yes"/>
    <s v="No"/>
    <n v="4.4000000000000004"/>
    <n v="1.2"/>
    <n v="2"/>
    <m/>
    <n v="1.5"/>
    <n v="8.5"/>
    <n v="5.2"/>
    <n v="2.8"/>
    <n v="2.4"/>
    <m/>
    <n v="5.7"/>
    <s v="High"/>
    <x v="0"/>
  </r>
  <r>
    <x v="608"/>
    <n v="41"/>
    <x v="0"/>
    <x v="0"/>
    <s v="Married"/>
    <x v="0"/>
    <n v="2.8"/>
    <n v="4"/>
    <n v="4"/>
    <s v="Yes"/>
    <s v="After 30 min"/>
    <n v="73"/>
    <n v="5.6"/>
    <n v="4.3"/>
    <n v="5.4"/>
    <n v="3.5"/>
    <s v="No"/>
    <s v="No"/>
    <n v="3.7"/>
    <n v="6.8"/>
    <n v="4.2"/>
    <n v="5.7"/>
    <n v="4.5"/>
    <n v="7"/>
    <n v="5.3"/>
    <n v="7.8"/>
    <n v="3.1"/>
    <n v="5"/>
    <n v="8.5"/>
    <s v="Low"/>
    <x v="2"/>
  </r>
  <r>
    <x v="609"/>
    <n v="23"/>
    <x v="1"/>
    <x v="0"/>
    <s v="In a Relationship"/>
    <x v="2"/>
    <n v="4.8"/>
    <n v="2"/>
    <n v="4"/>
    <s v="Yes"/>
    <s v="Within 5 min"/>
    <n v="76"/>
    <n v="8.6"/>
    <n v="2.8"/>
    <n v="10"/>
    <n v="5"/>
    <s v="No"/>
    <s v="Yes"/>
    <n v="4.2"/>
    <n v="5.3"/>
    <n v="3.2"/>
    <n v="7"/>
    <n v="2.9"/>
    <n v="7.8"/>
    <n v="7.6"/>
    <n v="10"/>
    <n v="1.9"/>
    <n v="5.4"/>
    <n v="4.5"/>
    <s v="High"/>
    <x v="1"/>
  </r>
  <r>
    <x v="610"/>
    <n v="21"/>
    <x v="0"/>
    <x v="0"/>
    <s v="In a Relationship"/>
    <x v="3"/>
    <n v="5.7"/>
    <n v="1"/>
    <n v="3"/>
    <s v="Yes"/>
    <s v="Within 5 min"/>
    <n v="48"/>
    <n v="3.3"/>
    <n v="5.7"/>
    <n v="7.3"/>
    <n v="1.9"/>
    <s v="No"/>
    <s v="Yes"/>
    <n v="4.2"/>
    <n v="5.6"/>
    <n v="4.7"/>
    <m/>
    <n v="5.0999999999999996"/>
    <n v="6"/>
    <n v="5.0999999999999996"/>
    <n v="1.9"/>
    <n v="5.4"/>
    <m/>
    <n v="4.9000000000000004"/>
    <s v="High"/>
    <x v="1"/>
  </r>
  <r>
    <x v="611"/>
    <n v="41"/>
    <x v="0"/>
    <x v="4"/>
    <s v="Married"/>
    <x v="3"/>
    <n v="5.6"/>
    <n v="6"/>
    <n v="4"/>
    <s v="No"/>
    <s v="Within 5 min"/>
    <n v="68"/>
    <n v="6.1"/>
    <n v="4.0999999999999996"/>
    <n v="3.2"/>
    <n v="6.6"/>
    <s v="No"/>
    <s v="No"/>
    <n v="4.4000000000000004"/>
    <n v="2.7"/>
    <n v="4.4000000000000004"/>
    <n v="3.3"/>
    <n v="5.8"/>
    <n v="3.5"/>
    <m/>
    <n v="5.0999999999999996"/>
    <n v="0.2"/>
    <m/>
    <n v="5.9"/>
    <s v="High"/>
    <x v="2"/>
  </r>
  <r>
    <x v="612"/>
    <n v="32"/>
    <x v="1"/>
    <x v="1"/>
    <s v="Single"/>
    <x v="0"/>
    <n v="4.4000000000000004"/>
    <n v="8"/>
    <n v="4"/>
    <s v="Yes"/>
    <s v="Within 5 min"/>
    <n v="88"/>
    <n v="7.1"/>
    <n v="5.7"/>
    <n v="5.4"/>
    <n v="6.8"/>
    <s v="Yes"/>
    <s v="Yes"/>
    <n v="6.2"/>
    <n v="3.9"/>
    <n v="3.2"/>
    <n v="3.5"/>
    <n v="2.4"/>
    <n v="4.0999999999999996"/>
    <n v="2.1"/>
    <n v="3"/>
    <n v="7.2"/>
    <n v="2"/>
    <n v="5"/>
    <s v="Severe"/>
    <x v="0"/>
  </r>
  <r>
    <x v="613"/>
    <n v="31"/>
    <x v="1"/>
    <x v="1"/>
    <s v="Married"/>
    <x v="0"/>
    <n v="8"/>
    <n v="3"/>
    <n v="4"/>
    <s v="No"/>
    <s v="Within 5 min"/>
    <n v="40"/>
    <n v="7.8"/>
    <n v="6.8"/>
    <n v="3.9"/>
    <n v="2.9"/>
    <s v="No"/>
    <s v="Yes"/>
    <n v="5.8"/>
    <n v="5.6"/>
    <n v="5.5"/>
    <n v="4.4000000000000004"/>
    <m/>
    <n v="9.1999999999999993"/>
    <m/>
    <n v="6.2"/>
    <n v="3.8"/>
    <n v="1.8"/>
    <n v="5"/>
    <s v="Severe"/>
    <x v="0"/>
  </r>
  <r>
    <x v="614"/>
    <n v="22"/>
    <x v="1"/>
    <x v="3"/>
    <s v="Single"/>
    <x v="1"/>
    <n v="6.2"/>
    <n v="2"/>
    <n v="6"/>
    <s v="Yes"/>
    <s v="Within 5 min"/>
    <n v="46"/>
    <m/>
    <n v="4.7"/>
    <n v="8.3000000000000007"/>
    <n v="7.5"/>
    <s v="No"/>
    <s v="No"/>
    <n v="7.7"/>
    <n v="0"/>
    <n v="5.4"/>
    <n v="4"/>
    <n v="6"/>
    <n v="5.9"/>
    <n v="4.3"/>
    <n v="4.5"/>
    <n v="2.7"/>
    <n v="4.9000000000000004"/>
    <n v="4.8"/>
    <s v="Severe"/>
    <x v="1"/>
  </r>
  <r>
    <x v="615"/>
    <n v="37"/>
    <x v="2"/>
    <x v="1"/>
    <s v="Single"/>
    <x v="4"/>
    <n v="5.9"/>
    <n v="1"/>
    <n v="4"/>
    <s v="Yes"/>
    <s v="Within 5 min"/>
    <n v="65"/>
    <n v="5.2"/>
    <n v="4.7"/>
    <n v="3"/>
    <n v="7.2"/>
    <s v="No"/>
    <s v="Yes"/>
    <n v="8.6"/>
    <n v="7.9"/>
    <n v="6.8"/>
    <n v="7.2"/>
    <n v="8"/>
    <n v="9.1"/>
    <n v="4.8"/>
    <n v="6.7"/>
    <n v="2.2000000000000002"/>
    <n v="0.9"/>
    <n v="6.2"/>
    <s v="High"/>
    <x v="2"/>
  </r>
  <r>
    <x v="616"/>
    <n v="39"/>
    <x v="0"/>
    <x v="1"/>
    <s v="In a Relationship"/>
    <x v="2"/>
    <n v="3"/>
    <n v="1"/>
    <n v="2"/>
    <s v="Yes"/>
    <s v="5-30 min"/>
    <n v="70"/>
    <n v="4.5999999999999996"/>
    <n v="5.0999999999999996"/>
    <n v="3.4"/>
    <n v="4.0999999999999996"/>
    <s v="Yes"/>
    <s v="No"/>
    <n v="5"/>
    <n v="5.7"/>
    <n v="3.6"/>
    <n v="4.3"/>
    <n v="6.4"/>
    <n v="9.1999999999999993"/>
    <n v="4.4000000000000004"/>
    <n v="3.3"/>
    <n v="4.2"/>
    <n v="3.4"/>
    <n v="9"/>
    <s v="Low"/>
    <x v="2"/>
  </r>
  <r>
    <x v="617"/>
    <n v="36"/>
    <x v="1"/>
    <x v="0"/>
    <s v="Married"/>
    <x v="1"/>
    <m/>
    <n v="2"/>
    <n v="4"/>
    <s v="No"/>
    <s v="Within 5 min"/>
    <n v="58"/>
    <m/>
    <n v="7.8"/>
    <n v="2.1"/>
    <n v="5"/>
    <s v="Yes"/>
    <s v="Yes"/>
    <n v="6"/>
    <m/>
    <m/>
    <n v="4.8"/>
    <n v="0.3"/>
    <n v="6.5"/>
    <n v="6.4"/>
    <n v="6"/>
    <n v="2.2999999999999998"/>
    <n v="2.9"/>
    <n v="4.9000000000000004"/>
    <s v="Severe"/>
    <x v="2"/>
  </r>
  <r>
    <x v="618"/>
    <n v="19"/>
    <x v="0"/>
    <x v="1"/>
    <s v="Single"/>
    <x v="1"/>
    <n v="3.4"/>
    <n v="5"/>
    <n v="3"/>
    <s v="Yes"/>
    <s v="Within 5 min"/>
    <n v="8"/>
    <n v="8.3000000000000007"/>
    <n v="7.2"/>
    <n v="6.8"/>
    <n v="6"/>
    <s v="No"/>
    <s v="No"/>
    <n v="5.6"/>
    <n v="9.8000000000000007"/>
    <n v="1.6"/>
    <n v="5.7"/>
    <n v="0"/>
    <n v="4.5999999999999996"/>
    <n v="0.6"/>
    <n v="3.6"/>
    <n v="0"/>
    <n v="3.8"/>
    <n v="5.2"/>
    <s v="High"/>
    <x v="1"/>
  </r>
  <r>
    <x v="619"/>
    <n v="29"/>
    <x v="1"/>
    <x v="1"/>
    <s v="Married"/>
    <x v="4"/>
    <n v="8.8000000000000007"/>
    <n v="4"/>
    <n v="7"/>
    <s v="Yes"/>
    <s v="5-30 min"/>
    <n v="18"/>
    <n v="6.4"/>
    <n v="6.4"/>
    <n v="2.2000000000000002"/>
    <n v="7.6"/>
    <s v="Yes"/>
    <s v="No"/>
    <n v="6.6"/>
    <n v="3.7"/>
    <n v="4.8"/>
    <n v="4.5"/>
    <n v="9.4"/>
    <n v="7.1"/>
    <n v="6.7"/>
    <n v="2.8"/>
    <n v="2.8"/>
    <n v="4.7"/>
    <n v="5.2"/>
    <s v="High"/>
    <x v="0"/>
  </r>
  <r>
    <x v="620"/>
    <n v="18"/>
    <x v="1"/>
    <x v="0"/>
    <s v="In a Relationship"/>
    <x v="2"/>
    <n v="5.3"/>
    <n v="2"/>
    <n v="5"/>
    <s v="Yes"/>
    <s v="After 30 min"/>
    <n v="81"/>
    <n v="5.7"/>
    <n v="8.8000000000000007"/>
    <n v="2.2999999999999998"/>
    <n v="6.5"/>
    <s v="Yes"/>
    <s v="Yes"/>
    <n v="3.1"/>
    <n v="0"/>
    <n v="7.2"/>
    <n v="4.3"/>
    <n v="5.6"/>
    <n v="7.9"/>
    <n v="8.6"/>
    <n v="4.0999999999999996"/>
    <n v="3.2"/>
    <n v="1"/>
    <n v="4.8"/>
    <s v="High"/>
    <x v="1"/>
  </r>
  <r>
    <x v="621"/>
    <n v="31"/>
    <x v="1"/>
    <x v="1"/>
    <s v="In a Relationship"/>
    <x v="3"/>
    <n v="2.9"/>
    <n v="5"/>
    <n v="6"/>
    <s v="Yes"/>
    <s v="Within 5 min"/>
    <n v="95"/>
    <n v="9.3000000000000007"/>
    <n v="5.2"/>
    <n v="8.3000000000000007"/>
    <n v="6"/>
    <s v="Yes"/>
    <s v="Yes"/>
    <n v="7.6"/>
    <n v="4.7"/>
    <n v="3.3"/>
    <n v="6.7"/>
    <n v="8.8000000000000007"/>
    <n v="8"/>
    <n v="5.8"/>
    <n v="5.3"/>
    <n v="1.9"/>
    <n v="4.3"/>
    <n v="3.2"/>
    <s v="Severe"/>
    <x v="0"/>
  </r>
  <r>
    <x v="622"/>
    <n v="38"/>
    <x v="1"/>
    <x v="0"/>
    <s v="Single"/>
    <x v="0"/>
    <n v="6.3"/>
    <n v="2"/>
    <n v="3"/>
    <s v="Yes"/>
    <s v="Within 5 min"/>
    <n v="55"/>
    <n v="4.3"/>
    <n v="3.6"/>
    <n v="1.3"/>
    <n v="4.0999999999999996"/>
    <s v="Yes"/>
    <s v="Yes"/>
    <n v="4.7"/>
    <n v="6.9"/>
    <n v="1.4"/>
    <n v="7.9"/>
    <n v="7.1"/>
    <n v="7.1"/>
    <n v="6.7"/>
    <n v="3.1"/>
    <n v="2"/>
    <n v="3.1"/>
    <n v="7.4"/>
    <s v="Moderate"/>
    <x v="2"/>
  </r>
  <r>
    <x v="623"/>
    <n v="29"/>
    <x v="1"/>
    <x v="0"/>
    <s v="In a Relationship"/>
    <x v="3"/>
    <n v="6.8"/>
    <n v="4"/>
    <n v="6"/>
    <s v="Yes"/>
    <s v="5-30 min"/>
    <n v="37"/>
    <n v="7.6"/>
    <n v="5.9"/>
    <n v="1.6"/>
    <n v="5.9"/>
    <s v="Yes"/>
    <s v="Yes"/>
    <n v="3.2"/>
    <n v="3.3"/>
    <n v="3.3"/>
    <n v="7.1"/>
    <n v="7.7"/>
    <n v="4.5"/>
    <n v="5.6"/>
    <n v="3.4"/>
    <n v="1.4"/>
    <n v="4.9000000000000004"/>
    <n v="5.8"/>
    <s v="High"/>
    <x v="0"/>
  </r>
  <r>
    <x v="624"/>
    <n v="43"/>
    <x v="0"/>
    <x v="1"/>
    <s v="Married"/>
    <x v="4"/>
    <n v="3.3"/>
    <n v="1"/>
    <n v="5"/>
    <s v="No"/>
    <s v="Within 5 min"/>
    <n v="53"/>
    <n v="6.9"/>
    <n v="6.4"/>
    <n v="5.8"/>
    <n v="4.9000000000000004"/>
    <s v="Yes"/>
    <s v="No"/>
    <n v="1.4"/>
    <n v="1"/>
    <n v="6.7"/>
    <n v="8.4"/>
    <n v="3.7"/>
    <n v="4.8"/>
    <n v="4"/>
    <n v="4.4000000000000004"/>
    <n v="3"/>
    <n v="5.0999999999999996"/>
    <n v="7"/>
    <s v="Low"/>
    <x v="2"/>
  </r>
  <r>
    <x v="625"/>
    <n v="27"/>
    <x v="1"/>
    <x v="1"/>
    <s v="In a Relationship"/>
    <x v="0"/>
    <n v="4.9000000000000004"/>
    <n v="6"/>
    <n v="3"/>
    <s v="Yes"/>
    <s v="After 30 min"/>
    <n v="88"/>
    <n v="5.0999999999999996"/>
    <n v="6.7"/>
    <n v="5.6"/>
    <n v="5.3"/>
    <s v="No"/>
    <s v="No"/>
    <n v="2"/>
    <n v="3.1"/>
    <n v="7.1"/>
    <n v="4"/>
    <n v="7.8"/>
    <n v="5"/>
    <m/>
    <n v="5.8"/>
    <n v="5.7"/>
    <n v="1"/>
    <n v="7.2"/>
    <s v="Low"/>
    <x v="0"/>
  </r>
  <r>
    <x v="626"/>
    <n v="19"/>
    <x v="1"/>
    <x v="3"/>
    <m/>
    <x v="0"/>
    <n v="9.8000000000000007"/>
    <n v="1"/>
    <n v="2"/>
    <s v="Yes"/>
    <s v="Within 5 min"/>
    <n v="35"/>
    <n v="3.9"/>
    <n v="3.3"/>
    <n v="5.9"/>
    <n v="6.9"/>
    <s v="Yes"/>
    <s v="No"/>
    <n v="5.7"/>
    <n v="4.2"/>
    <n v="3.6"/>
    <n v="6.3"/>
    <n v="5.4"/>
    <n v="5.2"/>
    <n v="3.8"/>
    <n v="4.7"/>
    <n v="3.9"/>
    <n v="3.3"/>
    <n v="6.6"/>
    <s v="High"/>
    <x v="1"/>
  </r>
  <r>
    <x v="627"/>
    <n v="31"/>
    <x v="1"/>
    <x v="0"/>
    <s v="Single"/>
    <x v="3"/>
    <n v="4.5999999999999996"/>
    <n v="3"/>
    <n v="4"/>
    <s v="Yes"/>
    <s v="Within 5 min"/>
    <n v="98"/>
    <n v="7.7"/>
    <n v="4.2"/>
    <n v="8"/>
    <n v="5.0999999999999996"/>
    <s v="Yes"/>
    <s v="No"/>
    <n v="4.7"/>
    <n v="0.4"/>
    <n v="3.4"/>
    <n v="3.1"/>
    <n v="5.7"/>
    <n v="6.8"/>
    <n v="2.6"/>
    <n v="2.2999999999999998"/>
    <n v="2.2000000000000002"/>
    <n v="4.9000000000000004"/>
    <n v="6.6"/>
    <s v="High"/>
    <x v="0"/>
  </r>
  <r>
    <x v="628"/>
    <n v="23"/>
    <x v="2"/>
    <x v="1"/>
    <s v="Married"/>
    <x v="5"/>
    <n v="5.3"/>
    <n v="3"/>
    <n v="3"/>
    <s v="No"/>
    <s v="Within 5 min"/>
    <n v="88"/>
    <n v="5.3"/>
    <n v="2"/>
    <n v="3"/>
    <n v="1.9"/>
    <s v="Yes"/>
    <s v="No"/>
    <n v="7.6"/>
    <n v="4.3"/>
    <m/>
    <n v="2.6"/>
    <n v="7.3"/>
    <n v="5.8"/>
    <n v="5.0999999999999996"/>
    <n v="4.9000000000000004"/>
    <n v="1.8"/>
    <n v="1"/>
    <n v="6.8"/>
    <s v="Moderate"/>
    <x v="1"/>
  </r>
  <r>
    <x v="629"/>
    <n v="41"/>
    <x v="0"/>
    <x v="1"/>
    <s v="Single"/>
    <x v="3"/>
    <n v="11.1"/>
    <n v="5"/>
    <n v="3"/>
    <s v="Yes"/>
    <s v="Within 5 min"/>
    <n v="69"/>
    <n v="7.1"/>
    <n v="4.9000000000000004"/>
    <n v="8.1"/>
    <n v="4.5"/>
    <s v="No"/>
    <s v="Yes"/>
    <n v="6.9"/>
    <m/>
    <n v="3.9"/>
    <n v="7.7"/>
    <n v="3.4"/>
    <n v="8.1"/>
    <n v="7.9"/>
    <n v="5.6"/>
    <n v="6.9"/>
    <n v="4.5999999999999996"/>
    <n v="2.7"/>
    <s v="Severe"/>
    <x v="2"/>
  </r>
  <r>
    <x v="630"/>
    <n v="36"/>
    <x v="0"/>
    <x v="0"/>
    <s v="Married"/>
    <x v="1"/>
    <n v="4.5"/>
    <n v="2"/>
    <n v="4"/>
    <s v="Yes"/>
    <s v="5-30 min"/>
    <n v="104"/>
    <n v="5.2"/>
    <n v="2"/>
    <n v="6.3"/>
    <n v="3.6"/>
    <s v="Yes"/>
    <s v="Yes"/>
    <n v="6.2"/>
    <m/>
    <n v="3.1"/>
    <n v="5.6"/>
    <n v="6.5"/>
    <n v="7.2"/>
    <n v="3.6"/>
    <n v="2.8"/>
    <n v="2.2000000000000002"/>
    <n v="1.7"/>
    <n v="5.5"/>
    <s v="High"/>
    <x v="2"/>
  </r>
  <r>
    <x v="631"/>
    <n v="42"/>
    <x v="1"/>
    <x v="3"/>
    <s v="Single"/>
    <x v="1"/>
    <n v="2"/>
    <n v="6"/>
    <n v="2"/>
    <s v="No"/>
    <s v="Within 5 min"/>
    <n v="34"/>
    <m/>
    <n v="10"/>
    <n v="4.5"/>
    <n v="2.6"/>
    <s v="Yes"/>
    <s v="Yes"/>
    <n v="3.2"/>
    <n v="2"/>
    <n v="4.2"/>
    <n v="3.7"/>
    <n v="3.8"/>
    <n v="8.6"/>
    <n v="6.7"/>
    <n v="3.4"/>
    <n v="4.2"/>
    <n v="5.0999999999999996"/>
    <n v="5.6"/>
    <s v="Severe"/>
    <x v="2"/>
  </r>
  <r>
    <x v="632"/>
    <n v="15"/>
    <x v="0"/>
    <x v="1"/>
    <m/>
    <x v="1"/>
    <n v="2.5"/>
    <n v="4"/>
    <n v="2"/>
    <s v="Yes"/>
    <s v="After 30 min"/>
    <n v="109"/>
    <n v="4.5"/>
    <n v="6.4"/>
    <n v="0.4"/>
    <n v="7.8"/>
    <s v="No"/>
    <s v="No"/>
    <n v="3.5"/>
    <n v="4.7"/>
    <n v="3.8"/>
    <n v="0.9"/>
    <n v="1.9"/>
    <n v="7.4"/>
    <n v="7.5"/>
    <n v="2.6"/>
    <n v="1.6"/>
    <m/>
    <n v="6.5"/>
    <s v="Moderate"/>
    <x v="3"/>
  </r>
  <r>
    <x v="633"/>
    <n v="43"/>
    <x v="1"/>
    <x v="2"/>
    <s v="Married"/>
    <x v="3"/>
    <n v="4.8"/>
    <n v="6"/>
    <n v="0"/>
    <s v="Yes"/>
    <s v="5-30 min"/>
    <n v="9"/>
    <n v="4.9000000000000004"/>
    <n v="4.4000000000000004"/>
    <n v="3.8"/>
    <n v="7.1"/>
    <s v="Yes"/>
    <s v="Yes"/>
    <n v="6.5"/>
    <n v="7.7"/>
    <n v="1.8"/>
    <n v="2.7"/>
    <n v="4"/>
    <n v="5.7"/>
    <n v="2.8"/>
    <n v="2.5"/>
    <n v="4.0999999999999996"/>
    <n v="1.7"/>
    <n v="5.3"/>
    <s v="Severe"/>
    <x v="2"/>
  </r>
  <r>
    <x v="634"/>
    <n v="22"/>
    <x v="0"/>
    <x v="1"/>
    <s v="In a Relationship"/>
    <x v="0"/>
    <n v="6.2"/>
    <n v="1"/>
    <n v="5"/>
    <s v="No"/>
    <s v="5-30 min"/>
    <n v="76"/>
    <n v="6.6"/>
    <n v="8.1999999999999993"/>
    <n v="7.4"/>
    <n v="7"/>
    <s v="Yes"/>
    <s v="No"/>
    <n v="7.7"/>
    <n v="2.6"/>
    <m/>
    <n v="6"/>
    <n v="3.6"/>
    <n v="5.7"/>
    <n v="1.4"/>
    <n v="2.9"/>
    <n v="3.6"/>
    <n v="5.7"/>
    <n v="5.0999999999999996"/>
    <s v="High"/>
    <x v="1"/>
  </r>
  <r>
    <x v="635"/>
    <n v="26"/>
    <x v="0"/>
    <x v="0"/>
    <s v="Married"/>
    <x v="4"/>
    <n v="2.6"/>
    <n v="2"/>
    <n v="5"/>
    <s v="Yes"/>
    <s v="5-30 min"/>
    <n v="5"/>
    <n v="1.6"/>
    <n v="4.7"/>
    <n v="2.2000000000000002"/>
    <n v="0.8"/>
    <s v="Yes"/>
    <s v="Yes"/>
    <n v="2.2999999999999998"/>
    <n v="2.1"/>
    <n v="1.1000000000000001"/>
    <n v="3.8"/>
    <n v="4.4000000000000004"/>
    <n v="4.3"/>
    <n v="5.5"/>
    <n v="3.7"/>
    <n v="0"/>
    <n v="0"/>
    <n v="7.2"/>
    <s v="Low"/>
    <x v="0"/>
  </r>
  <r>
    <x v="636"/>
    <n v="41"/>
    <x v="1"/>
    <x v="0"/>
    <s v="Married"/>
    <x v="4"/>
    <n v="0.5"/>
    <n v="4"/>
    <n v="3"/>
    <s v="Yes"/>
    <s v="Within 5 min"/>
    <n v="37"/>
    <n v="6.1"/>
    <n v="2"/>
    <n v="5"/>
    <n v="9.6999999999999993"/>
    <s v="No"/>
    <s v="Yes"/>
    <n v="8.8000000000000007"/>
    <n v="7.5"/>
    <n v="5.3"/>
    <n v="5.6"/>
    <n v="5.8"/>
    <n v="8.4"/>
    <n v="7.2"/>
    <n v="3.1"/>
    <n v="5.3"/>
    <n v="3.7"/>
    <n v="5.5"/>
    <s v="High"/>
    <x v="2"/>
  </r>
  <r>
    <x v="637"/>
    <n v="20"/>
    <x v="0"/>
    <x v="0"/>
    <s v="Single"/>
    <x v="4"/>
    <n v="5.7"/>
    <n v="3"/>
    <n v="3"/>
    <s v="Yes"/>
    <s v="Within 5 min"/>
    <n v="39"/>
    <n v="9.8000000000000007"/>
    <n v="5.4"/>
    <n v="5.0999999999999996"/>
    <n v="4.7"/>
    <s v="Yes"/>
    <s v="No"/>
    <n v="3.4"/>
    <n v="1.6"/>
    <n v="3.5"/>
    <n v="5.5"/>
    <n v="4.2"/>
    <n v="8.6"/>
    <n v="7.4"/>
    <n v="3.1"/>
    <n v="2.1"/>
    <n v="4.3"/>
    <n v="5.5"/>
    <s v="High"/>
    <x v="1"/>
  </r>
  <r>
    <x v="638"/>
    <n v="27"/>
    <x v="0"/>
    <x v="1"/>
    <s v="Single"/>
    <x v="1"/>
    <n v="4"/>
    <n v="1"/>
    <n v="8"/>
    <s v="Yes"/>
    <s v="Within 5 min"/>
    <n v="121"/>
    <n v="6.7"/>
    <n v="6"/>
    <n v="6.4"/>
    <n v="4.0999999999999996"/>
    <s v="No"/>
    <s v="No"/>
    <n v="6.2"/>
    <n v="5.0999999999999996"/>
    <n v="4.2"/>
    <n v="6.3"/>
    <n v="4.0999999999999996"/>
    <n v="8.3000000000000007"/>
    <n v="8"/>
    <n v="4.7"/>
    <n v="5.0999999999999996"/>
    <n v="3"/>
    <n v="4.7"/>
    <s v="Severe"/>
    <x v="0"/>
  </r>
  <r>
    <x v="639"/>
    <n v="16"/>
    <x v="0"/>
    <x v="1"/>
    <s v="Single"/>
    <x v="1"/>
    <m/>
    <n v="5"/>
    <n v="5"/>
    <s v="Yes"/>
    <s v="After 30 min"/>
    <n v="18"/>
    <n v="5"/>
    <n v="7.1"/>
    <n v="9.3000000000000007"/>
    <n v="3"/>
    <s v="No"/>
    <s v="No"/>
    <n v="3.9"/>
    <n v="5.4"/>
    <n v="0.3"/>
    <n v="5.3"/>
    <n v="4.2"/>
    <n v="5.2"/>
    <n v="5.9"/>
    <n v="2.1"/>
    <n v="0.6"/>
    <n v="4.0999999999999996"/>
    <n v="6.9"/>
    <s v="Moderate"/>
    <x v="3"/>
  </r>
  <r>
    <x v="640"/>
    <n v="36"/>
    <x v="2"/>
    <x v="0"/>
    <s v="Single"/>
    <x v="1"/>
    <n v="2.6"/>
    <n v="4"/>
    <n v="7"/>
    <s v="Yes"/>
    <s v="5-30 min"/>
    <n v="77"/>
    <n v="4.4000000000000004"/>
    <n v="3.9"/>
    <n v="0.9"/>
    <n v="6.9"/>
    <m/>
    <s v="Yes"/>
    <n v="8.5"/>
    <n v="5.3"/>
    <n v="5.4"/>
    <n v="9.3000000000000007"/>
    <n v="6.3"/>
    <n v="6.1"/>
    <n v="0"/>
    <n v="9.1999999999999993"/>
    <n v="3.7"/>
    <n v="4.8"/>
    <n v="8.1"/>
    <s v="Low"/>
    <x v="2"/>
  </r>
  <r>
    <x v="641"/>
    <n v="40"/>
    <x v="1"/>
    <x v="3"/>
    <s v="Single"/>
    <x v="0"/>
    <n v="6.9"/>
    <n v="5"/>
    <n v="1"/>
    <s v="No"/>
    <s v="5-30 min"/>
    <n v="84"/>
    <n v="1.6"/>
    <n v="7.7"/>
    <n v="4"/>
    <n v="6"/>
    <s v="No"/>
    <s v="No"/>
    <n v="5.4"/>
    <n v="5.5"/>
    <n v="5"/>
    <n v="3.8"/>
    <n v="4.5999999999999996"/>
    <n v="7.9"/>
    <n v="3.3"/>
    <n v="5.4"/>
    <n v="3.3"/>
    <n v="1.2"/>
    <n v="7.5"/>
    <s v="Low"/>
    <x v="2"/>
  </r>
  <r>
    <x v="642"/>
    <n v="35"/>
    <x v="1"/>
    <x v="0"/>
    <s v="Single"/>
    <x v="1"/>
    <n v="4.0999999999999996"/>
    <n v="2"/>
    <n v="3"/>
    <s v="Yes"/>
    <s v="5-30 min"/>
    <n v="125"/>
    <n v="5.8"/>
    <n v="5.8"/>
    <n v="4"/>
    <n v="3.2"/>
    <s v="Yes"/>
    <s v="No"/>
    <n v="5.2"/>
    <n v="4.9000000000000004"/>
    <n v="6.1"/>
    <n v="6.3"/>
    <n v="8.9"/>
    <n v="6.2"/>
    <n v="7.9"/>
    <n v="10"/>
    <n v="3.8"/>
    <n v="1.6"/>
    <n v="7"/>
    <s v="Low"/>
    <x v="4"/>
  </r>
  <r>
    <x v="643"/>
    <n v="32"/>
    <x v="1"/>
    <x v="1"/>
    <s v="Single"/>
    <x v="1"/>
    <n v="1.7"/>
    <n v="4"/>
    <n v="5"/>
    <s v="No"/>
    <s v="After 30 min"/>
    <n v="93"/>
    <n v="3.5"/>
    <n v="5.5"/>
    <n v="3.8"/>
    <n v="5.9"/>
    <s v="No"/>
    <s v="No"/>
    <n v="0.2"/>
    <n v="2.1"/>
    <n v="5.8"/>
    <n v="6.2"/>
    <n v="3"/>
    <n v="7.5"/>
    <n v="1.7"/>
    <n v="6.7"/>
    <n v="2.5"/>
    <n v="3.7"/>
    <n v="8.1999999999999993"/>
    <s v="Low"/>
    <x v="0"/>
  </r>
  <r>
    <x v="644"/>
    <n v="40"/>
    <x v="2"/>
    <x v="0"/>
    <s v="Single"/>
    <x v="0"/>
    <n v="2.4"/>
    <n v="1"/>
    <n v="6"/>
    <s v="Yes"/>
    <s v="After 30 min"/>
    <n v="81"/>
    <n v="3.7"/>
    <n v="6.1"/>
    <n v="5.3"/>
    <n v="5"/>
    <s v="No"/>
    <s v="Yes"/>
    <n v="5.0999999999999996"/>
    <n v="6.1"/>
    <n v="6.9"/>
    <n v="4.5999999999999996"/>
    <n v="8.3000000000000007"/>
    <n v="5.2"/>
    <n v="5"/>
    <n v="6.8"/>
    <n v="4.3"/>
    <n v="3.1"/>
    <n v="8.5"/>
    <s v="Low"/>
    <x v="2"/>
  </r>
  <r>
    <x v="645"/>
    <n v="37"/>
    <x v="0"/>
    <x v="2"/>
    <s v="Single"/>
    <x v="0"/>
    <n v="3.5"/>
    <n v="4"/>
    <n v="5"/>
    <s v="No"/>
    <s v="Within 5 min"/>
    <n v="76"/>
    <n v="1.5"/>
    <n v="4.5999999999999996"/>
    <n v="6.3"/>
    <n v="4.0999999999999996"/>
    <s v="Yes"/>
    <s v="No"/>
    <n v="2.2999999999999998"/>
    <n v="4.5999999999999996"/>
    <n v="5.9"/>
    <n v="6.3"/>
    <n v="3.4"/>
    <n v="5.0999999999999996"/>
    <n v="2.9"/>
    <n v="3.9"/>
    <n v="4.2"/>
    <n v="4.0999999999999996"/>
    <n v="7.2"/>
    <s v="Low"/>
    <x v="2"/>
  </r>
  <r>
    <x v="646"/>
    <n v="41"/>
    <x v="1"/>
    <x v="1"/>
    <s v="Married"/>
    <x v="3"/>
    <n v="1.4"/>
    <n v="5"/>
    <n v="5"/>
    <s v="No"/>
    <s v="Within 5 min"/>
    <n v="37"/>
    <n v="3.9"/>
    <n v="6.9"/>
    <n v="1.7"/>
    <n v="3.2"/>
    <s v="No"/>
    <s v="Yes"/>
    <n v="5.0999999999999996"/>
    <n v="9.6999999999999993"/>
    <n v="7"/>
    <n v="5.5"/>
    <n v="2.2000000000000002"/>
    <n v="8.6999999999999993"/>
    <n v="4.2"/>
    <n v="5.9"/>
    <n v="2.9"/>
    <n v="3.3"/>
    <n v="6.7"/>
    <s v="Moderate"/>
    <x v="2"/>
  </r>
  <r>
    <x v="647"/>
    <n v="36"/>
    <x v="0"/>
    <x v="1"/>
    <s v="In a Relationship"/>
    <x v="3"/>
    <n v="3.4"/>
    <n v="1"/>
    <n v="3"/>
    <s v="No"/>
    <s v="After 30 min"/>
    <n v="72"/>
    <n v="7.2"/>
    <n v="4.2"/>
    <n v="9"/>
    <n v="6.5"/>
    <s v="Yes"/>
    <s v="No"/>
    <n v="3.4"/>
    <n v="3.6"/>
    <n v="3.1"/>
    <n v="6"/>
    <n v="5.0999999999999996"/>
    <n v="5.7"/>
    <n v="6.4"/>
    <n v="2.5"/>
    <n v="0"/>
    <n v="3.7"/>
    <n v="7.5"/>
    <s v="Moderate"/>
    <x v="2"/>
  </r>
  <r>
    <x v="648"/>
    <n v="21"/>
    <x v="1"/>
    <x v="3"/>
    <s v="Single"/>
    <x v="4"/>
    <n v="6.9"/>
    <n v="7"/>
    <n v="5"/>
    <s v="Yes"/>
    <s v="After 30 min"/>
    <n v="29"/>
    <n v="9.9"/>
    <n v="4.3"/>
    <n v="5.4"/>
    <n v="4.5"/>
    <s v="Yes"/>
    <s v="No"/>
    <n v="4.5999999999999996"/>
    <n v="0"/>
    <n v="5.5"/>
    <n v="5"/>
    <n v="10"/>
    <n v="7.3"/>
    <n v="3.5"/>
    <n v="5.3"/>
    <n v="4.7"/>
    <n v="3.1"/>
    <n v="6.9"/>
    <s v="Moderate"/>
    <x v="1"/>
  </r>
  <r>
    <x v="649"/>
    <n v="26"/>
    <x v="0"/>
    <x v="1"/>
    <s v="Single"/>
    <x v="4"/>
    <n v="6.3"/>
    <n v="7"/>
    <n v="4"/>
    <s v="Yes"/>
    <s v="Within 5 min"/>
    <n v="94"/>
    <n v="0.6"/>
    <n v="6.2"/>
    <n v="7.8"/>
    <n v="5.7"/>
    <s v="Yes"/>
    <s v="Yes"/>
    <n v="6.3"/>
    <n v="5.3"/>
    <n v="0.5"/>
    <n v="6.5"/>
    <n v="3.7"/>
    <n v="7.2"/>
    <n v="5.7"/>
    <n v="4.7"/>
    <n v="0.4"/>
    <n v="2.7"/>
    <n v="4.8"/>
    <s v="Severe"/>
    <x v="0"/>
  </r>
  <r>
    <x v="650"/>
    <n v="39"/>
    <x v="0"/>
    <x v="3"/>
    <s v="Single"/>
    <x v="3"/>
    <n v="6.6"/>
    <n v="3"/>
    <n v="3"/>
    <s v="No"/>
    <s v="Within 5 min"/>
    <n v="109"/>
    <n v="6.9"/>
    <n v="7.5"/>
    <n v="1.4"/>
    <n v="3.3"/>
    <s v="Yes"/>
    <s v="No"/>
    <n v="3.3"/>
    <n v="5.7"/>
    <n v="6.7"/>
    <n v="7.7"/>
    <m/>
    <n v="7.3"/>
    <n v="7.6"/>
    <n v="6.1"/>
    <n v="2.6"/>
    <n v="4.5999999999999996"/>
    <n v="5.8"/>
    <s v="High"/>
    <x v="2"/>
  </r>
  <r>
    <x v="651"/>
    <n v="20"/>
    <x v="2"/>
    <x v="0"/>
    <s v="Married"/>
    <x v="0"/>
    <n v="6.6"/>
    <n v="4"/>
    <n v="6"/>
    <s v="Yes"/>
    <s v="5-30 min"/>
    <n v="79"/>
    <n v="5"/>
    <n v="6.2"/>
    <n v="10"/>
    <n v="5.4"/>
    <s v="Yes"/>
    <s v="No"/>
    <n v="3.5"/>
    <n v="0"/>
    <n v="3.1"/>
    <n v="6.2"/>
    <n v="7.1"/>
    <n v="8.1"/>
    <n v="4"/>
    <n v="4.2"/>
    <n v="2.2999999999999998"/>
    <n v="5.0999999999999996"/>
    <n v="6.5"/>
    <s v="Moderate"/>
    <x v="1"/>
  </r>
  <r>
    <x v="652"/>
    <n v="40"/>
    <x v="3"/>
    <x v="2"/>
    <s v="In a Relationship"/>
    <x v="0"/>
    <n v="4.8"/>
    <n v="4"/>
    <n v="7"/>
    <s v="Yes"/>
    <s v="Within 5 min"/>
    <n v="60"/>
    <n v="7.4"/>
    <n v="5.0999999999999996"/>
    <n v="3.9"/>
    <n v="0.5"/>
    <s v="Yes"/>
    <s v="No"/>
    <n v="3.7"/>
    <n v="4"/>
    <n v="5.0999999999999996"/>
    <n v="6.7"/>
    <n v="4.5999999999999996"/>
    <n v="7.3"/>
    <n v="6.1"/>
    <n v="7.6"/>
    <n v="2.4"/>
    <n v="1.5"/>
    <n v="7.2"/>
    <s v="Low"/>
    <x v="2"/>
  </r>
  <r>
    <x v="653"/>
    <n v="19"/>
    <x v="2"/>
    <x v="1"/>
    <s v="In a Relationship"/>
    <x v="4"/>
    <n v="5.3"/>
    <n v="4"/>
    <n v="2"/>
    <s v="Yes"/>
    <s v="Within 5 min"/>
    <n v="78"/>
    <n v="3.6"/>
    <n v="5.9"/>
    <n v="3.9"/>
    <n v="9.4"/>
    <s v="Yes"/>
    <s v="Yes"/>
    <n v="4.0999999999999996"/>
    <n v="7.9"/>
    <n v="7.7"/>
    <n v="4.5999999999999996"/>
    <n v="5.3"/>
    <n v="7.2"/>
    <n v="3.8"/>
    <n v="6.7"/>
    <n v="0"/>
    <n v="0.3"/>
    <n v="4.9000000000000004"/>
    <s v="Severe"/>
    <x v="1"/>
  </r>
  <r>
    <x v="654"/>
    <n v="44"/>
    <x v="1"/>
    <x v="3"/>
    <s v="Single"/>
    <x v="0"/>
    <n v="0.8"/>
    <n v="3"/>
    <n v="3"/>
    <s v="Yes"/>
    <s v="5-30 min"/>
    <n v="102"/>
    <n v="3.5"/>
    <n v="5.5"/>
    <n v="6.8"/>
    <n v="7.7"/>
    <s v="Yes"/>
    <s v="Yes"/>
    <n v="4.8"/>
    <n v="5.3"/>
    <n v="3.4"/>
    <n v="1.3"/>
    <n v="5.6"/>
    <n v="5.3"/>
    <n v="7.3"/>
    <n v="8.8000000000000007"/>
    <n v="4.4000000000000004"/>
    <m/>
    <n v="6.7"/>
    <s v="Moderate"/>
    <x v="2"/>
  </r>
  <r>
    <x v="655"/>
    <n v="37"/>
    <x v="1"/>
    <x v="1"/>
    <s v="Single"/>
    <x v="4"/>
    <n v="6.1"/>
    <n v="5"/>
    <n v="1"/>
    <s v="No"/>
    <s v="After 30 min"/>
    <n v="5"/>
    <n v="0.8"/>
    <n v="9.1999999999999993"/>
    <n v="3.9"/>
    <n v="1"/>
    <s v="Yes"/>
    <s v="No"/>
    <n v="5.8"/>
    <n v="7.2"/>
    <n v="4.5999999999999996"/>
    <n v="5.0999999999999996"/>
    <n v="4.7"/>
    <n v="8.8000000000000007"/>
    <n v="5.8"/>
    <n v="5.3"/>
    <n v="3.4"/>
    <n v="1.3"/>
    <n v="9.1"/>
    <s v="Low"/>
    <x v="2"/>
  </r>
  <r>
    <x v="656"/>
    <n v="15"/>
    <x v="1"/>
    <x v="3"/>
    <s v="In a Relationship"/>
    <x v="1"/>
    <n v="5.8"/>
    <n v="7"/>
    <n v="3"/>
    <s v="Yes"/>
    <s v="Within 5 min"/>
    <n v="64"/>
    <n v="5.6"/>
    <n v="5"/>
    <n v="8.6"/>
    <n v="6.1"/>
    <s v="No"/>
    <s v="No"/>
    <n v="0.5"/>
    <n v="2.2999999999999998"/>
    <n v="7.8"/>
    <n v="1"/>
    <n v="7.1"/>
    <n v="8.6"/>
    <n v="5.6"/>
    <n v="9.5"/>
    <n v="3.6"/>
    <n v="0.7"/>
    <n v="4.5"/>
    <s v="Severe"/>
    <x v="3"/>
  </r>
  <r>
    <x v="657"/>
    <n v="37"/>
    <x v="2"/>
    <x v="1"/>
    <s v="In a Relationship"/>
    <x v="3"/>
    <n v="5"/>
    <n v="2"/>
    <n v="6"/>
    <s v="No"/>
    <s v="Within 5 min"/>
    <n v="50"/>
    <n v="5"/>
    <n v="7.6"/>
    <n v="3.2"/>
    <n v="10"/>
    <s v="No"/>
    <s v="No"/>
    <n v="7.5"/>
    <n v="5.8"/>
    <n v="4.5999999999999996"/>
    <n v="6.3"/>
    <n v="6.7"/>
    <n v="6.2"/>
    <n v="0.1"/>
    <n v="3.1"/>
    <n v="1.1000000000000001"/>
    <n v="3"/>
    <n v="5.0999999999999996"/>
    <s v="High"/>
    <x v="2"/>
  </r>
  <r>
    <x v="658"/>
    <n v="17"/>
    <x v="0"/>
    <x v="0"/>
    <s v="Married"/>
    <x v="2"/>
    <n v="5"/>
    <n v="5"/>
    <n v="4"/>
    <s v="Yes"/>
    <s v="After 30 min"/>
    <n v="113"/>
    <n v="4.5999999999999996"/>
    <n v="3.7"/>
    <m/>
    <n v="7.6"/>
    <s v="No"/>
    <s v="Yes"/>
    <n v="6.6"/>
    <n v="5.9"/>
    <n v="6.5"/>
    <n v="9.6"/>
    <n v="6.3"/>
    <n v="6.5"/>
    <n v="7.4"/>
    <n v="8.1999999999999993"/>
    <n v="2.7"/>
    <n v="3.9"/>
    <n v="7"/>
    <s v="Moderate"/>
    <x v="3"/>
  </r>
  <r>
    <x v="659"/>
    <n v="25"/>
    <x v="2"/>
    <x v="3"/>
    <s v="In a Relationship"/>
    <x v="1"/>
    <n v="2.2000000000000002"/>
    <n v="4"/>
    <n v="2"/>
    <s v="Yes"/>
    <s v="After 30 min"/>
    <n v="52"/>
    <n v="2.2999999999999998"/>
    <n v="6"/>
    <n v="6.5"/>
    <n v="4.5"/>
    <s v="No"/>
    <s v="No"/>
    <n v="6"/>
    <n v="7.8"/>
    <n v="5.5"/>
    <n v="2.2999999999999998"/>
    <n v="1.9"/>
    <n v="7.2"/>
    <n v="3"/>
    <n v="3"/>
    <n v="2"/>
    <n v="4"/>
    <n v="7"/>
    <s v="Moderate"/>
    <x v="0"/>
  </r>
  <r>
    <x v="660"/>
    <n v="28"/>
    <x v="0"/>
    <x v="0"/>
    <s v="In a Relationship"/>
    <x v="3"/>
    <n v="3.5"/>
    <n v="4"/>
    <n v="5"/>
    <s v="No"/>
    <s v="Within 5 min"/>
    <n v="80"/>
    <n v="7.7"/>
    <n v="4.4000000000000004"/>
    <n v="7.5"/>
    <n v="5.5"/>
    <s v="Yes"/>
    <s v="Yes"/>
    <n v="6.3"/>
    <n v="2.2000000000000002"/>
    <n v="6"/>
    <n v="7.4"/>
    <n v="6.2"/>
    <m/>
    <n v="4"/>
    <n v="5.3"/>
    <n v="4.2"/>
    <n v="2.6"/>
    <n v="4.9000000000000004"/>
    <s v="Severe"/>
    <x v="0"/>
  </r>
  <r>
    <x v="661"/>
    <n v="18"/>
    <x v="0"/>
    <x v="0"/>
    <s v="Single"/>
    <x v="0"/>
    <n v="1.1000000000000001"/>
    <n v="5"/>
    <n v="6"/>
    <s v="Yes"/>
    <s v="5-30 min"/>
    <n v="41"/>
    <n v="3.9"/>
    <n v="3"/>
    <n v="3.7"/>
    <n v="3"/>
    <s v="Yes"/>
    <s v="No"/>
    <n v="7.5"/>
    <n v="4.3"/>
    <n v="1.9"/>
    <n v="6.9"/>
    <n v="1.4"/>
    <n v="4.7"/>
    <n v="5.4"/>
    <n v="6.3"/>
    <n v="0.9"/>
    <n v="3.2"/>
    <n v="8"/>
    <s v="Low"/>
    <x v="1"/>
  </r>
  <r>
    <x v="662"/>
    <n v="16"/>
    <x v="2"/>
    <x v="1"/>
    <s v="Married"/>
    <x v="0"/>
    <n v="3.5"/>
    <n v="4"/>
    <n v="2"/>
    <s v="No"/>
    <s v="5-30 min"/>
    <n v="35"/>
    <n v="8.5"/>
    <n v="7.9"/>
    <n v="4.2"/>
    <n v="6.5"/>
    <s v="No"/>
    <s v="Yes"/>
    <n v="7"/>
    <n v="2.6"/>
    <n v="3.8"/>
    <n v="6.2"/>
    <n v="6"/>
    <n v="7.7"/>
    <n v="8.4"/>
    <n v="7.7"/>
    <n v="1.5"/>
    <n v="4.5999999999999996"/>
    <n v="5.8"/>
    <s v="High"/>
    <x v="3"/>
  </r>
  <r>
    <x v="663"/>
    <n v="21"/>
    <x v="0"/>
    <x v="0"/>
    <s v="Single"/>
    <x v="4"/>
    <n v="3.9"/>
    <n v="1"/>
    <n v="3"/>
    <s v="No"/>
    <s v="After 30 min"/>
    <n v="59"/>
    <n v="4"/>
    <n v="5.4"/>
    <n v="5.8"/>
    <n v="3"/>
    <s v="Yes"/>
    <s v="No"/>
    <n v="3.2"/>
    <n v="0.7"/>
    <n v="1.1000000000000001"/>
    <n v="2.6"/>
    <n v="6.5"/>
    <n v="8.1999999999999993"/>
    <n v="2.5"/>
    <n v="4.9000000000000004"/>
    <n v="2.8"/>
    <n v="4.3"/>
    <n v="9.3000000000000007"/>
    <s v="Low"/>
    <x v="1"/>
  </r>
  <r>
    <x v="664"/>
    <n v="22"/>
    <x v="1"/>
    <x v="0"/>
    <s v="In a Relationship"/>
    <x v="5"/>
    <n v="3.1"/>
    <n v="8"/>
    <n v="4"/>
    <s v="No"/>
    <s v="After 30 min"/>
    <n v="5"/>
    <n v="8.1999999999999993"/>
    <n v="5.0999999999999996"/>
    <n v="6"/>
    <n v="10"/>
    <s v="No"/>
    <s v="Yes"/>
    <n v="6.7"/>
    <n v="4.4000000000000004"/>
    <n v="2.2000000000000002"/>
    <n v="7.7"/>
    <n v="7.2"/>
    <n v="4.9000000000000004"/>
    <n v="8.3000000000000007"/>
    <n v="2.5"/>
    <n v="3.4"/>
    <n v="3.7"/>
    <n v="6.1"/>
    <s v="High"/>
    <x v="1"/>
  </r>
  <r>
    <x v="665"/>
    <n v="31"/>
    <x v="1"/>
    <x v="1"/>
    <s v="In a Relationship"/>
    <x v="3"/>
    <n v="7"/>
    <n v="3"/>
    <n v="4"/>
    <s v="Yes"/>
    <s v="Within 5 min"/>
    <n v="44"/>
    <n v="4.0999999999999996"/>
    <n v="9.1999999999999993"/>
    <n v="4"/>
    <n v="2.9"/>
    <s v="Yes"/>
    <s v="No"/>
    <n v="0.2"/>
    <n v="7.9"/>
    <n v="3.7"/>
    <n v="3.5"/>
    <n v="5.8"/>
    <n v="6.8"/>
    <n v="5.2"/>
    <n v="8.5"/>
    <n v="3.7"/>
    <m/>
    <n v="6"/>
    <s v="Moderate"/>
    <x v="0"/>
  </r>
  <r>
    <x v="666"/>
    <n v="31"/>
    <x v="0"/>
    <x v="1"/>
    <s v="In a Relationship"/>
    <x v="4"/>
    <n v="2.7"/>
    <n v="4"/>
    <n v="1"/>
    <s v="Yes"/>
    <s v="Within 5 min"/>
    <n v="79"/>
    <n v="5.6"/>
    <n v="7.8"/>
    <n v="3.6"/>
    <n v="7.1"/>
    <s v="Yes"/>
    <s v="Yes"/>
    <m/>
    <n v="6.3"/>
    <n v="5.6"/>
    <n v="10"/>
    <n v="4.5999999999999996"/>
    <n v="4.4000000000000004"/>
    <m/>
    <n v="4.2"/>
    <n v="3.3"/>
    <n v="3.5"/>
    <n v="5.7"/>
    <s v="High"/>
    <x v="0"/>
  </r>
  <r>
    <x v="667"/>
    <n v="19"/>
    <x v="1"/>
    <x v="3"/>
    <s v="In a Relationship"/>
    <x v="1"/>
    <n v="5.2"/>
    <n v="1"/>
    <n v="11"/>
    <s v="Yes"/>
    <s v="5-30 min"/>
    <n v="5"/>
    <n v="4.8"/>
    <n v="3"/>
    <n v="2.1"/>
    <n v="4.8"/>
    <s v="Yes"/>
    <s v="Yes"/>
    <n v="4.0999999999999996"/>
    <n v="3.1"/>
    <n v="0.1"/>
    <n v="6.8"/>
    <n v="3.5"/>
    <n v="7.9"/>
    <n v="5.2"/>
    <n v="4.2"/>
    <n v="1.5"/>
    <n v="3.7"/>
    <n v="7"/>
    <s v="Low"/>
    <x v="1"/>
  </r>
  <r>
    <x v="668"/>
    <n v="38"/>
    <x v="1"/>
    <x v="1"/>
    <s v="Married"/>
    <x v="1"/>
    <n v="4.9000000000000004"/>
    <n v="2"/>
    <n v="3"/>
    <s v="Yes"/>
    <s v="After 30 min"/>
    <n v="20"/>
    <n v="4.3"/>
    <n v="5.0999999999999996"/>
    <n v="4.9000000000000004"/>
    <n v="5.4"/>
    <m/>
    <s v="No"/>
    <n v="5"/>
    <n v="1.5"/>
    <n v="2.6"/>
    <n v="6"/>
    <n v="5.7"/>
    <n v="7.1"/>
    <n v="9.3000000000000007"/>
    <n v="5.0999999999999996"/>
    <n v="4.5"/>
    <n v="3"/>
    <n v="7.6"/>
    <s v="Moderate"/>
    <x v="2"/>
  </r>
  <r>
    <x v="669"/>
    <n v="15"/>
    <x v="1"/>
    <x v="1"/>
    <s v="Single"/>
    <x v="3"/>
    <n v="4.0999999999999996"/>
    <n v="1"/>
    <n v="6"/>
    <s v="No"/>
    <s v="Within 5 min"/>
    <n v="5"/>
    <n v="9.1999999999999993"/>
    <n v="2.2999999999999998"/>
    <n v="2.9"/>
    <n v="7.3"/>
    <s v="No"/>
    <s v="Yes"/>
    <n v="5.8"/>
    <m/>
    <n v="3.2"/>
    <n v="6.8"/>
    <n v="6.6"/>
    <n v="8"/>
    <n v="4.9000000000000004"/>
    <n v="3.2"/>
    <n v="4.9000000000000004"/>
    <n v="3.9"/>
    <n v="6.3"/>
    <s v="Moderate"/>
    <x v="3"/>
  </r>
  <r>
    <x v="670"/>
    <n v="33"/>
    <x v="0"/>
    <x v="0"/>
    <s v="Married"/>
    <x v="1"/>
    <n v="5.7"/>
    <n v="2"/>
    <n v="3"/>
    <s v="Yes"/>
    <s v="5-30 min"/>
    <n v="11"/>
    <n v="4.5999999999999996"/>
    <n v="5.8"/>
    <n v="3.1"/>
    <n v="10"/>
    <s v="Yes"/>
    <s v="Yes"/>
    <n v="4.7"/>
    <n v="10"/>
    <n v="6.9"/>
    <n v="4.7"/>
    <n v="4.0999999999999996"/>
    <n v="4.9000000000000004"/>
    <n v="5.4"/>
    <n v="9.8000000000000007"/>
    <n v="2.9"/>
    <n v="1.5"/>
    <n v="5.5"/>
    <s v="High"/>
    <x v="0"/>
  </r>
  <r>
    <x v="671"/>
    <n v="24"/>
    <x v="1"/>
    <x v="0"/>
    <s v="In a Relationship"/>
    <x v="0"/>
    <n v="5.3"/>
    <n v="2"/>
    <n v="3"/>
    <s v="No"/>
    <s v="Within 5 min"/>
    <n v="40"/>
    <n v="4.5"/>
    <n v="1.4"/>
    <n v="4.0999999999999996"/>
    <n v="5.8"/>
    <s v="No"/>
    <s v="No"/>
    <n v="0.8"/>
    <n v="2.1"/>
    <n v="0"/>
    <n v="7.4"/>
    <m/>
    <n v="6.9"/>
    <n v="4.8"/>
    <n v="3.3"/>
    <n v="3.9"/>
    <n v="4.9000000000000004"/>
    <n v="8.6"/>
    <s v="Low"/>
    <x v="1"/>
  </r>
  <r>
    <x v="672"/>
    <n v="21"/>
    <x v="1"/>
    <x v="0"/>
    <s v="Married"/>
    <x v="2"/>
    <n v="3.7"/>
    <n v="8"/>
    <n v="4"/>
    <s v="Yes"/>
    <s v="Within 5 min"/>
    <n v="34"/>
    <n v="10"/>
    <n v="5.8"/>
    <n v="4.9000000000000004"/>
    <n v="6.1"/>
    <s v="No"/>
    <s v="Yes"/>
    <n v="5.0999999999999996"/>
    <n v="8.6"/>
    <n v="2.9"/>
    <n v="6.3"/>
    <n v="5.2"/>
    <n v="8"/>
    <n v="2.8"/>
    <n v="8.3000000000000007"/>
    <n v="1.3"/>
    <n v="3.8"/>
    <n v="5.4"/>
    <s v="High"/>
    <x v="1"/>
  </r>
  <r>
    <x v="673"/>
    <n v="32"/>
    <x v="0"/>
    <x v="1"/>
    <s v="In a Relationship"/>
    <x v="3"/>
    <n v="7.3"/>
    <n v="4"/>
    <n v="1"/>
    <s v="No"/>
    <s v="5-30 min"/>
    <n v="56"/>
    <n v="6.7"/>
    <n v="5.9"/>
    <n v="8.1"/>
    <n v="6.7"/>
    <s v="Yes"/>
    <s v="No"/>
    <n v="2.1"/>
    <n v="2.2999999999999998"/>
    <n v="5.0999999999999996"/>
    <n v="4.5999999999999996"/>
    <n v="1.7"/>
    <n v="7.9"/>
    <n v="3.2"/>
    <n v="7.8"/>
    <n v="3.4"/>
    <n v="1.2"/>
    <n v="7"/>
    <s v="Moderate"/>
    <x v="0"/>
  </r>
  <r>
    <x v="674"/>
    <n v="17"/>
    <x v="2"/>
    <x v="1"/>
    <s v="In a Relationship"/>
    <x v="1"/>
    <n v="4.2"/>
    <n v="2"/>
    <n v="3"/>
    <s v="Yes"/>
    <s v="Within 5 min"/>
    <n v="73"/>
    <n v="6.7"/>
    <n v="8.5"/>
    <n v="8"/>
    <n v="5.7"/>
    <s v="No"/>
    <s v="No"/>
    <n v="6.2"/>
    <n v="7.9"/>
    <n v="0"/>
    <n v="6.3"/>
    <m/>
    <n v="4.5999999999999996"/>
    <n v="0.5"/>
    <n v="8.1"/>
    <n v="1.8"/>
    <n v="5.2"/>
    <n v="5.6"/>
    <s v="High"/>
    <x v="3"/>
  </r>
  <r>
    <x v="675"/>
    <n v="29"/>
    <x v="3"/>
    <x v="0"/>
    <s v="Single"/>
    <x v="0"/>
    <n v="5.8"/>
    <n v="3"/>
    <n v="2"/>
    <s v="Yes"/>
    <s v="After 30 min"/>
    <n v="5"/>
    <n v="7.2"/>
    <n v="7.9"/>
    <n v="4.2"/>
    <n v="8.1"/>
    <s v="Yes"/>
    <s v="Yes"/>
    <n v="9"/>
    <n v="1.4"/>
    <n v="2.2999999999999998"/>
    <n v="3.9"/>
    <n v="2.2000000000000002"/>
    <n v="7.2"/>
    <n v="2.1"/>
    <n v="5.3"/>
    <n v="2.4"/>
    <n v="2.4"/>
    <n v="5.3"/>
    <s v="Severe"/>
    <x v="0"/>
  </r>
  <r>
    <x v="676"/>
    <n v="29"/>
    <x v="0"/>
    <x v="0"/>
    <s v="Married"/>
    <x v="4"/>
    <n v="2.2999999999999998"/>
    <n v="5"/>
    <n v="1"/>
    <s v="No"/>
    <s v="Within 5 min"/>
    <n v="44"/>
    <n v="7.1"/>
    <n v="3.3"/>
    <n v="3.1"/>
    <n v="9.8000000000000007"/>
    <s v="Yes"/>
    <s v="Yes"/>
    <n v="2.6"/>
    <n v="5.0999999999999996"/>
    <n v="3.7"/>
    <n v="6.5"/>
    <n v="5.8"/>
    <n v="7"/>
    <n v="6.3"/>
    <m/>
    <n v="3.2"/>
    <n v="3.9"/>
    <n v="6.4"/>
    <s v="Moderate"/>
    <x v="0"/>
  </r>
  <r>
    <x v="677"/>
    <n v="17"/>
    <x v="2"/>
    <x v="1"/>
    <s v="Single"/>
    <x v="4"/>
    <n v="2.5"/>
    <n v="2"/>
    <n v="3"/>
    <s v="No"/>
    <s v="5-30 min"/>
    <n v="55"/>
    <n v="6.7"/>
    <n v="2.2999999999999998"/>
    <n v="4.9000000000000004"/>
    <n v="3.8"/>
    <s v="Yes"/>
    <s v="Yes"/>
    <n v="2.5"/>
    <n v="4.8"/>
    <m/>
    <n v="4.5999999999999996"/>
    <n v="6.2"/>
    <n v="7.2"/>
    <n v="3.9"/>
    <n v="6"/>
    <n v="3"/>
    <n v="2.4"/>
    <n v="8.8000000000000007"/>
    <s v="Low"/>
    <x v="3"/>
  </r>
  <r>
    <x v="678"/>
    <n v="23"/>
    <x v="2"/>
    <x v="3"/>
    <s v="Single"/>
    <x v="0"/>
    <n v="4.9000000000000004"/>
    <n v="1"/>
    <n v="3"/>
    <s v="No"/>
    <s v="5-30 min"/>
    <n v="57"/>
    <n v="5.5"/>
    <n v="5.2"/>
    <n v="7.5"/>
    <n v="4.5999999999999996"/>
    <s v="No"/>
    <s v="Yes"/>
    <n v="8"/>
    <n v="6.1"/>
    <n v="5.8"/>
    <n v="5.2"/>
    <n v="4"/>
    <n v="7"/>
    <n v="3.6"/>
    <n v="4.2"/>
    <n v="6"/>
    <n v="1.8"/>
    <n v="5.9"/>
    <s v="High"/>
    <x v="1"/>
  </r>
  <r>
    <x v="679"/>
    <n v="28"/>
    <x v="0"/>
    <x v="0"/>
    <s v="Single"/>
    <x v="4"/>
    <n v="9.4"/>
    <n v="4"/>
    <n v="4"/>
    <s v="Yes"/>
    <s v="Within 5 min"/>
    <n v="5"/>
    <n v="6.1"/>
    <n v="5.4"/>
    <n v="3.4"/>
    <n v="5.4"/>
    <s v="Yes"/>
    <s v="No"/>
    <n v="6.2"/>
    <n v="4.5"/>
    <n v="2.7"/>
    <n v="7.3"/>
    <n v="5"/>
    <n v="7"/>
    <n v="6.1"/>
    <n v="8.1"/>
    <n v="5.4"/>
    <n v="3.3"/>
    <n v="6"/>
    <s v="Moderate"/>
    <x v="0"/>
  </r>
  <r>
    <x v="680"/>
    <n v="43"/>
    <x v="1"/>
    <x v="0"/>
    <s v="Single"/>
    <x v="3"/>
    <n v="1.8"/>
    <n v="1"/>
    <n v="4"/>
    <s v="No"/>
    <s v="Within 5 min"/>
    <n v="87"/>
    <n v="7.4"/>
    <n v="2.2999999999999998"/>
    <n v="10"/>
    <n v="4.9000000000000004"/>
    <s v="No"/>
    <s v="Yes"/>
    <n v="3.3"/>
    <n v="4.7"/>
    <n v="5.3"/>
    <n v="5.3"/>
    <n v="5.0999999999999996"/>
    <n v="4.3"/>
    <n v="9.1999999999999993"/>
    <m/>
    <n v="0.2"/>
    <n v="1.4"/>
    <n v="5.0999999999999996"/>
    <s v="Severe"/>
    <x v="2"/>
  </r>
  <r>
    <x v="681"/>
    <n v="24"/>
    <x v="2"/>
    <x v="0"/>
    <s v="Married"/>
    <x v="4"/>
    <n v="2"/>
    <n v="3"/>
    <n v="1"/>
    <s v="No"/>
    <s v="5-30 min"/>
    <n v="48"/>
    <n v="3.1"/>
    <n v="4.5999999999999996"/>
    <n v="4.9000000000000004"/>
    <n v="5.2"/>
    <s v="Yes"/>
    <s v="Yes"/>
    <n v="4.2"/>
    <n v="3"/>
    <n v="4.5"/>
    <n v="4.5999999999999996"/>
    <n v="5.3"/>
    <n v="7.7"/>
    <n v="4"/>
    <n v="6.7"/>
    <n v="2.7"/>
    <n v="7.2"/>
    <n v="8.3000000000000007"/>
    <s v="Low"/>
    <x v="1"/>
  </r>
  <r>
    <x v="682"/>
    <n v="41"/>
    <x v="1"/>
    <x v="1"/>
    <s v="Married"/>
    <x v="1"/>
    <n v="2.9"/>
    <n v="2"/>
    <n v="6"/>
    <s v="No"/>
    <s v="After 30 min"/>
    <n v="111"/>
    <n v="8"/>
    <n v="6.9"/>
    <n v="4.3"/>
    <n v="4.5"/>
    <s v="Yes"/>
    <s v="No"/>
    <n v="4.7"/>
    <n v="8.1"/>
    <n v="0.3"/>
    <n v="5"/>
    <n v="7.9"/>
    <n v="5.6"/>
    <n v="2.2000000000000002"/>
    <n v="8.9"/>
    <n v="3.7"/>
    <n v="2.9"/>
    <n v="8.8000000000000007"/>
    <s v="Low"/>
    <x v="2"/>
  </r>
  <r>
    <x v="683"/>
    <n v="22"/>
    <x v="3"/>
    <x v="3"/>
    <s v="Married"/>
    <x v="3"/>
    <n v="3.6"/>
    <n v="5"/>
    <n v="1"/>
    <s v="Yes"/>
    <s v="5-30 min"/>
    <n v="33"/>
    <n v="1.9"/>
    <n v="5.4"/>
    <n v="3.7"/>
    <n v="5.6"/>
    <s v="Yes"/>
    <s v="No"/>
    <n v="6.9"/>
    <n v="4.4000000000000004"/>
    <n v="4.7"/>
    <n v="2.8"/>
    <n v="4.0999999999999996"/>
    <n v="7.6"/>
    <n v="1.9"/>
    <n v="4.5"/>
    <n v="0"/>
    <n v="4"/>
    <n v="7.5"/>
    <s v="Low"/>
    <x v="1"/>
  </r>
  <r>
    <x v="684"/>
    <n v="33"/>
    <x v="0"/>
    <x v="1"/>
    <s v="Single"/>
    <x v="5"/>
    <n v="4.5999999999999996"/>
    <n v="7"/>
    <n v="1"/>
    <s v="Yes"/>
    <s v="5-30 min"/>
    <n v="121"/>
    <n v="5.5"/>
    <n v="8"/>
    <n v="5.6"/>
    <n v="5.6"/>
    <s v="Yes"/>
    <s v="No"/>
    <n v="9.9"/>
    <n v="5.5"/>
    <n v="3"/>
    <n v="7.4"/>
    <n v="7.4"/>
    <n v="5.5"/>
    <n v="8.6999999999999993"/>
    <n v="7.2"/>
    <n v="6.3"/>
    <n v="5.8"/>
    <n v="5.6"/>
    <s v="Severe"/>
    <x v="0"/>
  </r>
  <r>
    <x v="685"/>
    <n v="35"/>
    <x v="1"/>
    <x v="1"/>
    <s v="In a Relationship"/>
    <x v="3"/>
    <n v="6.7"/>
    <n v="1"/>
    <n v="5"/>
    <m/>
    <s v="Within 5 min"/>
    <n v="92"/>
    <n v="4.5"/>
    <n v="2"/>
    <n v="2"/>
    <n v="6"/>
    <s v="No"/>
    <s v="Yes"/>
    <n v="10"/>
    <n v="6.1"/>
    <n v="4"/>
    <n v="4.3"/>
    <n v="6.8"/>
    <n v="4.7"/>
    <n v="3.1"/>
    <n v="6"/>
    <n v="0.9"/>
    <n v="3.9"/>
    <n v="7.2"/>
    <s v="Moderate"/>
    <x v="4"/>
  </r>
  <r>
    <x v="686"/>
    <n v="38"/>
    <x v="0"/>
    <x v="2"/>
    <s v="In a Relationship"/>
    <x v="1"/>
    <n v="4.0999999999999996"/>
    <n v="4"/>
    <n v="3"/>
    <s v="No"/>
    <s v="After 30 min"/>
    <n v="16"/>
    <n v="0.5"/>
    <n v="5.3"/>
    <n v="5.5"/>
    <n v="5.9"/>
    <s v="Yes"/>
    <s v="No"/>
    <n v="10"/>
    <n v="4"/>
    <n v="4.9000000000000004"/>
    <n v="5.2"/>
    <n v="3.7"/>
    <n v="6.1"/>
    <n v="5.4"/>
    <n v="4.9000000000000004"/>
    <n v="1.9"/>
    <n v="3.4"/>
    <n v="8.1"/>
    <s v="Low"/>
    <x v="2"/>
  </r>
  <r>
    <x v="687"/>
    <n v="38"/>
    <x v="0"/>
    <x v="0"/>
    <s v="Married"/>
    <x v="3"/>
    <m/>
    <n v="5"/>
    <n v="3"/>
    <s v="No"/>
    <s v="Within 5 min"/>
    <n v="13"/>
    <n v="5.0999999999999996"/>
    <n v="3.8"/>
    <n v="4.3"/>
    <n v="10"/>
    <s v="No"/>
    <s v="No"/>
    <n v="2.4"/>
    <n v="5"/>
    <n v="5.3"/>
    <n v="5"/>
    <n v="6.5"/>
    <m/>
    <n v="2.8"/>
    <n v="4"/>
    <n v="3.5"/>
    <n v="3.9"/>
    <n v="5.9"/>
    <s v="Moderate"/>
    <x v="2"/>
  </r>
  <r>
    <x v="688"/>
    <n v="43"/>
    <x v="0"/>
    <x v="3"/>
    <s v="In a Relationship"/>
    <x v="3"/>
    <n v="4.5999999999999996"/>
    <n v="3"/>
    <n v="7"/>
    <s v="No"/>
    <s v="After 30 min"/>
    <n v="52"/>
    <n v="7.9"/>
    <n v="6.3"/>
    <n v="3.3"/>
    <n v="5"/>
    <s v="Yes"/>
    <s v="Yes"/>
    <n v="6.3"/>
    <n v="2.4"/>
    <n v="0"/>
    <m/>
    <n v="6.2"/>
    <n v="8.3000000000000007"/>
    <n v="5.3"/>
    <n v="4.5999999999999996"/>
    <n v="6.1"/>
    <n v="1"/>
    <n v="6.2"/>
    <s v="High"/>
    <x v="2"/>
  </r>
  <r>
    <x v="689"/>
    <n v="43"/>
    <x v="0"/>
    <x v="1"/>
    <s v="In a Relationship"/>
    <x v="0"/>
    <n v="3.3"/>
    <n v="3"/>
    <n v="4"/>
    <s v="Yes"/>
    <s v="Within 5 min"/>
    <n v="64"/>
    <n v="10"/>
    <n v="4.8"/>
    <n v="5.8"/>
    <n v="5.8"/>
    <s v="Yes"/>
    <s v="Yes"/>
    <n v="2.2999999999999998"/>
    <n v="2.1"/>
    <n v="1"/>
    <n v="8.4"/>
    <n v="5"/>
    <n v="6.2"/>
    <n v="7.1"/>
    <m/>
    <n v="1.6"/>
    <n v="2.1"/>
    <n v="5"/>
    <s v="Severe"/>
    <x v="2"/>
  </r>
  <r>
    <x v="690"/>
    <n v="42"/>
    <x v="0"/>
    <x v="1"/>
    <s v="Single"/>
    <x v="3"/>
    <n v="3.5"/>
    <n v="7"/>
    <n v="5"/>
    <s v="No"/>
    <s v="5-30 min"/>
    <n v="91"/>
    <n v="0"/>
    <n v="5"/>
    <n v="7.8"/>
    <n v="1.4"/>
    <s v="Yes"/>
    <s v="No"/>
    <n v="3.3"/>
    <m/>
    <n v="6.6"/>
    <m/>
    <n v="4.8"/>
    <n v="5"/>
    <m/>
    <n v="7.2"/>
    <n v="2.6"/>
    <n v="3.7"/>
    <n v="8.1999999999999993"/>
    <s v="Low"/>
    <x v="2"/>
  </r>
  <r>
    <x v="691"/>
    <n v="40"/>
    <x v="0"/>
    <x v="0"/>
    <s v="Married"/>
    <x v="3"/>
    <n v="5.6"/>
    <n v="4"/>
    <n v="4"/>
    <s v="No"/>
    <s v="Within 5 min"/>
    <n v="36"/>
    <n v="1.5"/>
    <n v="8.1"/>
    <m/>
    <n v="4.9000000000000004"/>
    <s v="Yes"/>
    <s v="No"/>
    <n v="7.4"/>
    <n v="4.0999999999999996"/>
    <n v="4.0999999999999996"/>
    <n v="4.5"/>
    <n v="3.2"/>
    <n v="9.8000000000000007"/>
    <n v="5.4"/>
    <n v="8.4"/>
    <n v="0"/>
    <n v="0"/>
    <n v="6"/>
    <s v="High"/>
    <x v="2"/>
  </r>
  <r>
    <x v="692"/>
    <n v="30"/>
    <x v="3"/>
    <x v="3"/>
    <s v="Married"/>
    <x v="0"/>
    <n v="4.9000000000000004"/>
    <n v="5"/>
    <n v="5"/>
    <s v="No"/>
    <s v="5-30 min"/>
    <n v="51"/>
    <n v="6.4"/>
    <n v="2.6"/>
    <n v="6"/>
    <n v="1.1000000000000001"/>
    <s v="No"/>
    <s v="Yes"/>
    <n v="8.6999999999999993"/>
    <n v="3.7"/>
    <n v="5"/>
    <n v="5"/>
    <n v="8.8000000000000007"/>
    <n v="7"/>
    <n v="5"/>
    <n v="6.3"/>
    <m/>
    <n v="2.2000000000000002"/>
    <n v="7.6"/>
    <s v="Low"/>
    <x v="0"/>
  </r>
  <r>
    <x v="693"/>
    <n v="28"/>
    <x v="2"/>
    <x v="1"/>
    <s v="Married"/>
    <x v="4"/>
    <n v="7.3"/>
    <n v="1"/>
    <n v="7"/>
    <s v="Yes"/>
    <s v="Within 5 min"/>
    <n v="31"/>
    <n v="1.2"/>
    <n v="8.6"/>
    <n v="2.7"/>
    <n v="5"/>
    <s v="Yes"/>
    <s v="Yes"/>
    <n v="8.5"/>
    <n v="7.2"/>
    <n v="9.1999999999999993"/>
    <n v="3.5"/>
    <n v="8.5"/>
    <n v="5.7"/>
    <n v="2.2999999999999998"/>
    <n v="6.2"/>
    <n v="1.8"/>
    <n v="4.8"/>
    <n v="6.1"/>
    <s v="Moderate"/>
    <x v="0"/>
  </r>
  <r>
    <x v="694"/>
    <n v="16"/>
    <x v="0"/>
    <x v="0"/>
    <s v="Married"/>
    <x v="5"/>
    <m/>
    <n v="1"/>
    <n v="6"/>
    <m/>
    <s v="Within 5 min"/>
    <n v="64"/>
    <n v="5.8"/>
    <n v="3.8"/>
    <n v="1.9"/>
    <n v="3.6"/>
    <s v="Yes"/>
    <s v="Yes"/>
    <n v="5.3"/>
    <n v="2.1"/>
    <n v="4.3"/>
    <n v="7.9"/>
    <n v="6.1"/>
    <n v="3.3"/>
    <n v="8.1999999999999993"/>
    <n v="3.9"/>
    <n v="3.7"/>
    <n v="3.7"/>
    <n v="6"/>
    <s v="High"/>
    <x v="3"/>
  </r>
  <r>
    <x v="695"/>
    <n v="15"/>
    <x v="0"/>
    <x v="0"/>
    <s v="Single"/>
    <x v="1"/>
    <n v="4.3"/>
    <n v="7"/>
    <n v="7"/>
    <s v="Yes"/>
    <s v="Within 5 min"/>
    <n v="81"/>
    <n v="5.4"/>
    <n v="5.5"/>
    <n v="2.4"/>
    <n v="9.1"/>
    <s v="Yes"/>
    <s v="No"/>
    <n v="6.7"/>
    <n v="3.9"/>
    <n v="5.0999999999999996"/>
    <n v="6.1"/>
    <n v="3.2"/>
    <m/>
    <m/>
    <m/>
    <n v="5.2"/>
    <m/>
    <n v="5.9"/>
    <s v="High"/>
    <x v="3"/>
  </r>
  <r>
    <x v="696"/>
    <n v="16"/>
    <x v="1"/>
    <x v="1"/>
    <s v="In a Relationship"/>
    <x v="3"/>
    <n v="2.1"/>
    <n v="4"/>
    <n v="3"/>
    <s v="Yes"/>
    <s v="Within 5 min"/>
    <n v="45"/>
    <n v="4.2"/>
    <n v="3.8"/>
    <n v="3.7"/>
    <n v="5.0999999999999996"/>
    <s v="Yes"/>
    <s v="No"/>
    <n v="5.4"/>
    <n v="1.6"/>
    <n v="5.9"/>
    <n v="5.2"/>
    <n v="4.3"/>
    <n v="9.6"/>
    <n v="5.9"/>
    <n v="1.6"/>
    <n v="0.3"/>
    <n v="2.1"/>
    <n v="5.9"/>
    <s v="High"/>
    <x v="3"/>
  </r>
  <r>
    <x v="697"/>
    <n v="39"/>
    <x v="1"/>
    <x v="0"/>
    <s v="In a Relationship"/>
    <x v="3"/>
    <n v="2.9"/>
    <n v="2"/>
    <n v="6"/>
    <s v="No"/>
    <s v="5-30 min"/>
    <n v="84"/>
    <n v="7.3"/>
    <n v="3.4"/>
    <n v="4.8"/>
    <n v="2.8"/>
    <s v="No"/>
    <s v="No"/>
    <n v="6.3"/>
    <n v="3.6"/>
    <n v="5.4"/>
    <n v="6.8"/>
    <n v="3.8"/>
    <n v="7.7"/>
    <n v="6.6"/>
    <n v="6.4"/>
    <n v="4.8"/>
    <n v="6"/>
    <n v="6.3"/>
    <s v="Moderate"/>
    <x v="2"/>
  </r>
  <r>
    <x v="698"/>
    <n v="22"/>
    <x v="0"/>
    <x v="2"/>
    <s v="Married"/>
    <x v="0"/>
    <n v="5.3"/>
    <n v="4"/>
    <n v="9"/>
    <s v="No"/>
    <s v="After 30 min"/>
    <n v="46"/>
    <n v="3"/>
    <n v="10"/>
    <n v="5.0999999999999996"/>
    <n v="6.5"/>
    <s v="Yes"/>
    <s v="Yes"/>
    <n v="9.9"/>
    <n v="5.2"/>
    <n v="2.8"/>
    <n v="8.1999999999999993"/>
    <n v="5.9"/>
    <m/>
    <n v="6.5"/>
    <n v="8.4"/>
    <n v="4.5999999999999996"/>
    <n v="2.4"/>
    <n v="7.6"/>
    <s v="Low"/>
    <x v="1"/>
  </r>
  <r>
    <x v="699"/>
    <n v="41"/>
    <x v="1"/>
    <x v="0"/>
    <s v="In a Relationship"/>
    <x v="1"/>
    <n v="5.2"/>
    <n v="3"/>
    <n v="6"/>
    <s v="No"/>
    <s v="5-30 min"/>
    <n v="146"/>
    <n v="8.1999999999999993"/>
    <n v="7.1"/>
    <n v="7.8"/>
    <n v="7.6"/>
    <s v="No"/>
    <s v="No"/>
    <n v="3"/>
    <n v="5.2"/>
    <n v="4.9000000000000004"/>
    <n v="6.6"/>
    <n v="3.6"/>
    <n v="7.2"/>
    <n v="6"/>
    <n v="4.3"/>
    <n v="4.7"/>
    <n v="1.9"/>
    <n v="4.9000000000000004"/>
    <s v="Severe"/>
    <x v="2"/>
  </r>
  <r>
    <x v="700"/>
    <n v="19"/>
    <x v="0"/>
    <x v="0"/>
    <s v="Single"/>
    <x v="0"/>
    <n v="8"/>
    <n v="2"/>
    <n v="1"/>
    <s v="No"/>
    <s v="5-30 min"/>
    <n v="66"/>
    <n v="4"/>
    <n v="5.4"/>
    <n v="3.6"/>
    <n v="4"/>
    <s v="No"/>
    <s v="Yes"/>
    <n v="3.8"/>
    <n v="3.6"/>
    <n v="5.8"/>
    <n v="5.4"/>
    <m/>
    <n v="6.3"/>
    <n v="6.1"/>
    <m/>
    <n v="4.3"/>
    <n v="3.5"/>
    <n v="7.4"/>
    <s v="Low"/>
    <x v="1"/>
  </r>
  <r>
    <x v="701"/>
    <n v="25"/>
    <x v="2"/>
    <x v="0"/>
    <s v="In a Relationship"/>
    <x v="1"/>
    <n v="3.2"/>
    <n v="3"/>
    <n v="6"/>
    <s v="Yes"/>
    <s v="5-30 min"/>
    <n v="55"/>
    <n v="10"/>
    <n v="3.9"/>
    <n v="3.9"/>
    <n v="7.4"/>
    <s v="Yes"/>
    <s v="Yes"/>
    <n v="4.2"/>
    <n v="3.8"/>
    <n v="4.4000000000000004"/>
    <n v="5.3"/>
    <n v="9.5"/>
    <n v="5.5"/>
    <n v="4.9000000000000004"/>
    <n v="9"/>
    <n v="2.2999999999999998"/>
    <n v="0.2"/>
    <n v="6.4"/>
    <s v="High"/>
    <x v="0"/>
  </r>
  <r>
    <x v="702"/>
    <n v="30"/>
    <x v="0"/>
    <x v="3"/>
    <s v="Single"/>
    <x v="3"/>
    <n v="5.9"/>
    <n v="3"/>
    <n v="5"/>
    <s v="No"/>
    <s v="5-30 min"/>
    <n v="90"/>
    <n v="5"/>
    <n v="7.8"/>
    <n v="4.2"/>
    <n v="4"/>
    <s v="Yes"/>
    <s v="No"/>
    <n v="2"/>
    <n v="3.7"/>
    <n v="4.3"/>
    <n v="6"/>
    <n v="5.7"/>
    <n v="7.7"/>
    <n v="6.2"/>
    <n v="8.3000000000000007"/>
    <n v="0.5"/>
    <n v="6.2"/>
    <n v="7.3"/>
    <s v="Moderate"/>
    <x v="0"/>
  </r>
  <r>
    <x v="703"/>
    <n v="37"/>
    <x v="1"/>
    <x v="1"/>
    <m/>
    <x v="3"/>
    <n v="4.4000000000000004"/>
    <n v="2"/>
    <n v="4"/>
    <s v="Yes"/>
    <s v="After 30 min"/>
    <n v="18"/>
    <n v="9.3000000000000007"/>
    <n v="5.5"/>
    <n v="4.9000000000000004"/>
    <n v="8.5"/>
    <s v="Yes"/>
    <s v="Yes"/>
    <n v="3.8"/>
    <n v="5.3"/>
    <n v="2.8"/>
    <n v="8"/>
    <n v="5"/>
    <n v="7.2"/>
    <n v="4.4000000000000004"/>
    <n v="7.1"/>
    <n v="0.1"/>
    <n v="2.2000000000000002"/>
    <n v="6.2"/>
    <s v="High"/>
    <x v="2"/>
  </r>
  <r>
    <x v="704"/>
    <n v="26"/>
    <x v="1"/>
    <x v="0"/>
    <s v="Married"/>
    <x v="4"/>
    <n v="0.5"/>
    <n v="3"/>
    <n v="5"/>
    <s v="Yes"/>
    <s v="Within 5 min"/>
    <n v="31"/>
    <n v="6.6"/>
    <n v="6.2"/>
    <n v="0.4"/>
    <n v="3.9"/>
    <s v="No"/>
    <s v="No"/>
    <n v="1.4"/>
    <n v="3.9"/>
    <n v="5.6"/>
    <n v="9.3000000000000007"/>
    <m/>
    <n v="5.5"/>
    <n v="9.9"/>
    <n v="5"/>
    <m/>
    <n v="0.3"/>
    <n v="7.6"/>
    <s v="Low"/>
    <x v="0"/>
  </r>
  <r>
    <x v="705"/>
    <n v="16"/>
    <x v="1"/>
    <x v="1"/>
    <s v="Married"/>
    <x v="2"/>
    <n v="2.1"/>
    <n v="5"/>
    <n v="4"/>
    <s v="Yes"/>
    <s v="Within 5 min"/>
    <n v="31"/>
    <n v="7.5"/>
    <n v="0.7"/>
    <n v="5.9"/>
    <n v="1.5"/>
    <s v="No"/>
    <s v="Yes"/>
    <n v="6.8"/>
    <n v="5.7"/>
    <m/>
    <n v="4.3"/>
    <n v="5.8"/>
    <n v="5"/>
    <n v="2.1"/>
    <n v="3"/>
    <n v="1.4"/>
    <n v="3.2"/>
    <n v="7.2"/>
    <s v="Moderate"/>
    <x v="3"/>
  </r>
  <r>
    <x v="706"/>
    <n v="35"/>
    <x v="0"/>
    <x v="1"/>
    <s v="In a Relationship"/>
    <x v="1"/>
    <n v="5.0999999999999996"/>
    <n v="3"/>
    <n v="1"/>
    <s v="No"/>
    <s v="After 30 min"/>
    <n v="27"/>
    <n v="5.9"/>
    <n v="3.1"/>
    <n v="6.9"/>
    <n v="5"/>
    <s v="Yes"/>
    <s v="Yes"/>
    <n v="5"/>
    <n v="9.6999999999999993"/>
    <n v="5"/>
    <n v="6"/>
    <n v="0.8"/>
    <n v="7.6"/>
    <n v="5.4"/>
    <n v="5.9"/>
    <n v="3.5"/>
    <n v="0.1"/>
    <n v="7.2"/>
    <s v="Moderate"/>
    <x v="4"/>
  </r>
  <r>
    <x v="707"/>
    <n v="23"/>
    <x v="0"/>
    <x v="3"/>
    <s v="In a Relationship"/>
    <x v="4"/>
    <n v="3.8"/>
    <n v="3"/>
    <n v="4"/>
    <s v="Yes"/>
    <s v="Within 5 min"/>
    <n v="65"/>
    <n v="4.3"/>
    <n v="3.2"/>
    <n v="4.7"/>
    <n v="10"/>
    <s v="Yes"/>
    <s v="No"/>
    <n v="3.8"/>
    <n v="10"/>
    <n v="3.8"/>
    <n v="3.4"/>
    <n v="4.2"/>
    <n v="7.2"/>
    <n v="1.4"/>
    <n v="5.6"/>
    <n v="3.5"/>
    <n v="1.5"/>
    <n v="6.3"/>
    <s v="Moderate"/>
    <x v="1"/>
  </r>
  <r>
    <x v="708"/>
    <n v="38"/>
    <x v="0"/>
    <x v="2"/>
    <s v="Single"/>
    <x v="2"/>
    <n v="3.1"/>
    <n v="7"/>
    <n v="4"/>
    <s v="No"/>
    <s v="5-30 min"/>
    <n v="59"/>
    <n v="7.1"/>
    <n v="6.3"/>
    <n v="3.1"/>
    <n v="4"/>
    <s v="No"/>
    <s v="Yes"/>
    <n v="4"/>
    <n v="0.5"/>
    <n v="6.1"/>
    <n v="5.4"/>
    <n v="5.0999999999999996"/>
    <n v="8"/>
    <n v="6"/>
    <n v="0.9"/>
    <n v="2.8"/>
    <n v="4.5999999999999996"/>
    <n v="6.6"/>
    <s v="High"/>
    <x v="2"/>
  </r>
  <r>
    <x v="709"/>
    <n v="29"/>
    <x v="1"/>
    <x v="1"/>
    <s v="Single"/>
    <x v="2"/>
    <n v="6.9"/>
    <n v="6"/>
    <n v="0"/>
    <s v="No"/>
    <s v="Within 5 min"/>
    <n v="57"/>
    <n v="7.8"/>
    <n v="7.6"/>
    <n v="6"/>
    <n v="8"/>
    <s v="Yes"/>
    <s v="No"/>
    <n v="4.9000000000000004"/>
    <n v="3"/>
    <n v="4.2"/>
    <n v="4.9000000000000004"/>
    <n v="5.5"/>
    <n v="8.8000000000000007"/>
    <n v="3.2"/>
    <n v="4.3"/>
    <n v="1.2"/>
    <n v="5.2"/>
    <n v="5.8"/>
    <s v="High"/>
    <x v="0"/>
  </r>
  <r>
    <x v="710"/>
    <n v="34"/>
    <x v="0"/>
    <x v="0"/>
    <s v="Single"/>
    <x v="1"/>
    <n v="4.0999999999999996"/>
    <n v="2"/>
    <n v="2"/>
    <s v="Yes"/>
    <s v="Within 5 min"/>
    <n v="98"/>
    <n v="8.6999999999999993"/>
    <n v="5.4"/>
    <n v="3.1"/>
    <n v="6.2"/>
    <s v="No"/>
    <s v="No"/>
    <n v="7.4"/>
    <n v="4.5999999999999996"/>
    <n v="2.4"/>
    <n v="5.5"/>
    <m/>
    <n v="6.2"/>
    <n v="7"/>
    <n v="9.3000000000000007"/>
    <n v="0"/>
    <n v="3.1"/>
    <n v="4.8"/>
    <s v="Severe"/>
    <x v="0"/>
  </r>
  <r>
    <x v="711"/>
    <n v="44"/>
    <x v="1"/>
    <x v="0"/>
    <s v="In a Relationship"/>
    <x v="0"/>
    <n v="5.2"/>
    <n v="5"/>
    <n v="5"/>
    <s v="Yes"/>
    <s v="After 30 min"/>
    <n v="74"/>
    <n v="4.2"/>
    <n v="5.4"/>
    <n v="3.6"/>
    <n v="5"/>
    <s v="No"/>
    <s v="No"/>
    <n v="7.1"/>
    <n v="10"/>
    <n v="4.8"/>
    <n v="5.0999999999999996"/>
    <n v="7.6"/>
    <n v="6.1"/>
    <n v="5"/>
    <n v="6.8"/>
    <n v="4.2"/>
    <n v="2.4"/>
    <n v="8.1999999999999993"/>
    <s v="Low"/>
    <x v="2"/>
  </r>
  <r>
    <x v="712"/>
    <n v="42"/>
    <x v="1"/>
    <x v="0"/>
    <s v="In a Relationship"/>
    <x v="0"/>
    <m/>
    <n v="1"/>
    <n v="7"/>
    <s v="No"/>
    <s v="Within 5 min"/>
    <n v="29"/>
    <n v="4.8"/>
    <n v="4.2"/>
    <n v="5.7"/>
    <n v="5.2"/>
    <s v="Yes"/>
    <s v="No"/>
    <n v="4.5999999999999996"/>
    <n v="2.8"/>
    <n v="7"/>
    <n v="7.2"/>
    <n v="5.4"/>
    <n v="6.2"/>
    <n v="5.0999999999999996"/>
    <n v="4.3"/>
    <n v="2.9"/>
    <n v="1.3"/>
    <n v="7"/>
    <s v="Low"/>
    <x v="2"/>
  </r>
  <r>
    <x v="713"/>
    <n v="18"/>
    <x v="1"/>
    <x v="1"/>
    <s v="In a Relationship"/>
    <x v="1"/>
    <n v="3.6"/>
    <n v="3"/>
    <n v="6"/>
    <s v="No"/>
    <s v="Within 5 min"/>
    <n v="75"/>
    <n v="5.2"/>
    <n v="4.5999999999999996"/>
    <n v="7"/>
    <n v="4.3"/>
    <s v="Yes"/>
    <s v="No"/>
    <n v="2.9"/>
    <n v="3.8"/>
    <n v="3.8"/>
    <n v="5.3"/>
    <n v="4.7"/>
    <m/>
    <n v="5.5"/>
    <n v="4.5"/>
    <n v="2.8"/>
    <n v="4.0999999999999996"/>
    <n v="6.8"/>
    <s v="Moderate"/>
    <x v="1"/>
  </r>
  <r>
    <x v="714"/>
    <n v="29"/>
    <x v="2"/>
    <x v="1"/>
    <s v="In a Relationship"/>
    <x v="3"/>
    <n v="5.9"/>
    <n v="5"/>
    <n v="4"/>
    <s v="Yes"/>
    <s v="After 30 min"/>
    <n v="27"/>
    <n v="4.2"/>
    <n v="5.6"/>
    <n v="6.7"/>
    <n v="6.4"/>
    <s v="Yes"/>
    <s v="No"/>
    <n v="7.3"/>
    <n v="5.6"/>
    <n v="6.5"/>
    <n v="7.2"/>
    <n v="4.2"/>
    <n v="5.8"/>
    <n v="6.3"/>
    <n v="4.0999999999999996"/>
    <n v="3.4"/>
    <n v="1.1000000000000001"/>
    <n v="5.9"/>
    <s v="High"/>
    <x v="0"/>
  </r>
  <r>
    <x v="715"/>
    <n v="37"/>
    <x v="1"/>
    <x v="1"/>
    <s v="In a Relationship"/>
    <x v="3"/>
    <n v="2.4"/>
    <n v="2"/>
    <n v="2"/>
    <m/>
    <s v="5-30 min"/>
    <n v="53"/>
    <n v="5.2"/>
    <n v="5.6"/>
    <n v="5.3"/>
    <n v="6.6"/>
    <s v="Yes"/>
    <s v="Yes"/>
    <n v="7.5"/>
    <n v="3.9"/>
    <n v="7.5"/>
    <n v="5.0999999999999996"/>
    <n v="4.5999999999999996"/>
    <n v="6.9"/>
    <n v="9.6999999999999993"/>
    <n v="3.6"/>
    <m/>
    <n v="3.6"/>
    <n v="5.2"/>
    <s v="High"/>
    <x v="2"/>
  </r>
  <r>
    <x v="716"/>
    <n v="35"/>
    <x v="3"/>
    <x v="0"/>
    <s v="In a Relationship"/>
    <x v="0"/>
    <n v="1.8"/>
    <n v="1"/>
    <n v="4"/>
    <s v="No"/>
    <s v="After 30 min"/>
    <n v="120"/>
    <n v="3.9"/>
    <n v="7.3"/>
    <n v="6.6"/>
    <n v="8.1"/>
    <s v="Yes"/>
    <s v="Yes"/>
    <n v="6.6"/>
    <n v="5.7"/>
    <n v="6"/>
    <n v="5.3"/>
    <n v="4.8"/>
    <n v="6.3"/>
    <n v="3.4"/>
    <n v="1"/>
    <n v="1.5"/>
    <n v="1"/>
    <n v="6.6"/>
    <s v="Moderate"/>
    <x v="4"/>
  </r>
  <r>
    <x v="717"/>
    <n v="40"/>
    <x v="1"/>
    <x v="1"/>
    <s v="Single"/>
    <x v="3"/>
    <n v="6.9"/>
    <n v="5"/>
    <n v="2"/>
    <s v="No"/>
    <s v="5-30 min"/>
    <n v="52"/>
    <n v="5.6"/>
    <n v="6"/>
    <n v="6.9"/>
    <n v="3.5"/>
    <s v="Yes"/>
    <s v="Yes"/>
    <n v="5.9"/>
    <n v="4.4000000000000004"/>
    <n v="4.2"/>
    <n v="5.5"/>
    <n v="5.8"/>
    <n v="6.3"/>
    <n v="4.7"/>
    <n v="4.8"/>
    <n v="0.5"/>
    <n v="4.9000000000000004"/>
    <n v="5.7"/>
    <s v="High"/>
    <x v="2"/>
  </r>
  <r>
    <x v="718"/>
    <n v="36"/>
    <x v="1"/>
    <x v="3"/>
    <s v="Single"/>
    <x v="4"/>
    <n v="7.3"/>
    <n v="3"/>
    <n v="3"/>
    <s v="No"/>
    <s v="Within 5 min"/>
    <n v="64"/>
    <n v="4.9000000000000004"/>
    <n v="8"/>
    <n v="8.1999999999999993"/>
    <n v="6.7"/>
    <s v="Yes"/>
    <s v="No"/>
    <n v="4.9000000000000004"/>
    <n v="4.5"/>
    <n v="3.4"/>
    <n v="4.5999999999999996"/>
    <n v="7.1"/>
    <n v="5"/>
    <n v="3.6"/>
    <n v="3.3"/>
    <n v="2.8"/>
    <n v="3.5"/>
    <n v="6.4"/>
    <s v="High"/>
    <x v="2"/>
  </r>
  <r>
    <x v="719"/>
    <n v="44"/>
    <x v="0"/>
    <x v="1"/>
    <s v="Single"/>
    <x v="1"/>
    <n v="6.1"/>
    <n v="1"/>
    <n v="3"/>
    <s v="Yes"/>
    <s v="Within 5 min"/>
    <n v="53"/>
    <n v="2.5"/>
    <n v="8.5"/>
    <n v="6"/>
    <n v="3.4"/>
    <s v="Yes"/>
    <s v="No"/>
    <n v="6"/>
    <n v="3.8"/>
    <n v="5.3"/>
    <n v="7"/>
    <n v="3.9"/>
    <n v="5.4"/>
    <n v="5.6"/>
    <n v="4.5999999999999996"/>
    <n v="2.1"/>
    <n v="1.3"/>
    <n v="5.9"/>
    <s v="High"/>
    <x v="2"/>
  </r>
  <r>
    <x v="720"/>
    <n v="38"/>
    <x v="0"/>
    <x v="0"/>
    <s v="In a Relationship"/>
    <x v="0"/>
    <n v="3"/>
    <n v="1"/>
    <n v="2"/>
    <s v="Yes"/>
    <s v="Within 5 min"/>
    <n v="81"/>
    <n v="8.9"/>
    <n v="4.9000000000000004"/>
    <n v="7.5"/>
    <n v="7"/>
    <s v="No"/>
    <s v="Yes"/>
    <n v="5.2"/>
    <n v="6.6"/>
    <n v="1.5"/>
    <n v="8.1999999999999993"/>
    <n v="3.6"/>
    <n v="7.3"/>
    <n v="5.7"/>
    <n v="5.8"/>
    <n v="3.1"/>
    <n v="2.9"/>
    <n v="5.4"/>
    <s v="Severe"/>
    <x v="2"/>
  </r>
  <r>
    <x v="721"/>
    <n v="40"/>
    <x v="1"/>
    <x v="0"/>
    <s v="Single"/>
    <x v="3"/>
    <n v="3.8"/>
    <n v="7"/>
    <n v="4"/>
    <s v="Yes"/>
    <s v="5-30 min"/>
    <n v="40"/>
    <n v="4.4000000000000004"/>
    <n v="4.4000000000000004"/>
    <n v="6.3"/>
    <n v="6.6"/>
    <s v="Yes"/>
    <s v="No"/>
    <n v="4.2"/>
    <n v="1.7"/>
    <n v="3.1"/>
    <n v="6"/>
    <n v="5.7"/>
    <n v="7.4"/>
    <n v="1.5"/>
    <n v="3.6"/>
    <n v="1.1000000000000001"/>
    <n v="0.1"/>
    <n v="6.9"/>
    <s v="Moderate"/>
    <x v="2"/>
  </r>
  <r>
    <x v="722"/>
    <n v="29"/>
    <x v="0"/>
    <x v="1"/>
    <s v="In a Relationship"/>
    <x v="2"/>
    <n v="2.6"/>
    <n v="5"/>
    <n v="7"/>
    <s v="No"/>
    <s v="Within 5 min"/>
    <n v="78"/>
    <n v="4.9000000000000004"/>
    <n v="4.7"/>
    <n v="3.5"/>
    <n v="6.7"/>
    <s v="No"/>
    <s v="Yes"/>
    <n v="3.1"/>
    <n v="4.5"/>
    <n v="4.5"/>
    <n v="5"/>
    <n v="6.4"/>
    <n v="4.8"/>
    <n v="7.2"/>
    <n v="7.9"/>
    <n v="2.9"/>
    <m/>
    <n v="6.7"/>
    <s v="Moderate"/>
    <x v="0"/>
  </r>
  <r>
    <x v="723"/>
    <n v="25"/>
    <x v="1"/>
    <x v="2"/>
    <s v="In a Relationship"/>
    <x v="3"/>
    <n v="2.6"/>
    <n v="3"/>
    <n v="4"/>
    <s v="Yes"/>
    <s v="Within 5 min"/>
    <n v="104"/>
    <n v="4.3"/>
    <n v="6.3"/>
    <n v="3.8"/>
    <n v="6"/>
    <s v="No"/>
    <s v="No"/>
    <m/>
    <n v="5.3"/>
    <n v="5.7"/>
    <n v="5.2"/>
    <n v="3.7"/>
    <n v="6.8"/>
    <n v="5.3"/>
    <n v="2.7"/>
    <n v="3.1"/>
    <n v="3"/>
    <n v="6.5"/>
    <s v="Moderate"/>
    <x v="0"/>
  </r>
  <r>
    <x v="724"/>
    <n v="27"/>
    <x v="2"/>
    <x v="3"/>
    <s v="Married"/>
    <x v="0"/>
    <n v="4.8"/>
    <n v="2"/>
    <n v="3"/>
    <s v="No"/>
    <s v="5-30 min"/>
    <n v="33"/>
    <n v="5.5"/>
    <n v="3"/>
    <n v="4.8"/>
    <n v="5.9"/>
    <s v="Yes"/>
    <s v="Yes"/>
    <n v="4.7"/>
    <n v="5.2"/>
    <n v="2.9"/>
    <n v="6.6"/>
    <n v="6.1"/>
    <n v="6.8"/>
    <n v="5.3"/>
    <n v="4"/>
    <n v="4.8"/>
    <n v="3.9"/>
    <n v="7.5"/>
    <s v="Low"/>
    <x v="0"/>
  </r>
  <r>
    <x v="725"/>
    <n v="40"/>
    <x v="1"/>
    <x v="0"/>
    <s v="In a Relationship"/>
    <x v="2"/>
    <n v="3.5"/>
    <n v="2"/>
    <n v="1"/>
    <s v="Yes"/>
    <s v="5-30 min"/>
    <n v="140"/>
    <n v="5.6"/>
    <n v="8.8000000000000007"/>
    <n v="7.4"/>
    <n v="7.4"/>
    <s v="No"/>
    <s v="Yes"/>
    <n v="1.4"/>
    <n v="5.0999999999999996"/>
    <n v="8.5"/>
    <m/>
    <n v="5.0999999999999996"/>
    <n v="4.4000000000000004"/>
    <n v="5.4"/>
    <n v="10"/>
    <n v="0.9"/>
    <n v="4.2"/>
    <n v="5.8"/>
    <s v="High"/>
    <x v="2"/>
  </r>
  <r>
    <x v="726"/>
    <n v="29"/>
    <x v="1"/>
    <x v="1"/>
    <s v="In a Relationship"/>
    <x v="4"/>
    <n v="7"/>
    <n v="4"/>
    <n v="3"/>
    <s v="Yes"/>
    <s v="Within 5 min"/>
    <n v="88"/>
    <n v="7.1"/>
    <n v="3.9"/>
    <n v="1"/>
    <n v="0.1"/>
    <s v="No"/>
    <s v="No"/>
    <n v="5.0999999999999996"/>
    <n v="2.5"/>
    <n v="2.9"/>
    <n v="3.5"/>
    <n v="7.3"/>
    <n v="8.4"/>
    <n v="4.5"/>
    <n v="6.8"/>
    <n v="3.2"/>
    <n v="4.2"/>
    <n v="8.6999999999999993"/>
    <s v="Low"/>
    <x v="0"/>
  </r>
  <r>
    <x v="727"/>
    <n v="28"/>
    <x v="0"/>
    <x v="0"/>
    <s v="Single"/>
    <x v="1"/>
    <n v="1.2"/>
    <n v="2"/>
    <n v="1"/>
    <s v="Yes"/>
    <s v="After 30 min"/>
    <n v="115"/>
    <n v="9.3000000000000007"/>
    <n v="0"/>
    <n v="6.7"/>
    <n v="4.5999999999999996"/>
    <s v="Yes"/>
    <s v="Yes"/>
    <n v="4.5"/>
    <n v="0.1"/>
    <n v="3"/>
    <n v="4.4000000000000004"/>
    <n v="4.4000000000000004"/>
    <n v="7"/>
    <n v="3.1"/>
    <n v="8.6999999999999993"/>
    <n v="3.6"/>
    <n v="3.4"/>
    <n v="5.6"/>
    <s v="High"/>
    <x v="0"/>
  </r>
  <r>
    <x v="728"/>
    <n v="38"/>
    <x v="0"/>
    <x v="0"/>
    <s v="Married"/>
    <x v="1"/>
    <n v="3.4"/>
    <n v="5"/>
    <n v="6"/>
    <s v="Yes"/>
    <s v="5-30 min"/>
    <n v="72"/>
    <n v="7.4"/>
    <n v="8.9"/>
    <n v="2.4"/>
    <n v="4.5"/>
    <s v="Yes"/>
    <s v="No"/>
    <n v="5.4"/>
    <n v="0.9"/>
    <n v="3.6"/>
    <n v="9.9"/>
    <n v="5.5"/>
    <n v="5.9"/>
    <n v="5.4"/>
    <n v="5"/>
    <n v="4.2"/>
    <n v="1.9"/>
    <n v="6.5"/>
    <s v="Moderate"/>
    <x v="2"/>
  </r>
  <r>
    <x v="729"/>
    <n v="21"/>
    <x v="0"/>
    <x v="1"/>
    <s v="Married"/>
    <x v="0"/>
    <n v="2"/>
    <n v="1"/>
    <n v="4"/>
    <s v="No"/>
    <s v="Within 5 min"/>
    <n v="45"/>
    <n v="7.2"/>
    <n v="6.6"/>
    <n v="5.9"/>
    <n v="5.4"/>
    <s v="No"/>
    <s v="No"/>
    <n v="2.7"/>
    <n v="6.7"/>
    <n v="4.7"/>
    <n v="9.3000000000000007"/>
    <n v="5.9"/>
    <n v="4.0999999999999996"/>
    <n v="6.5"/>
    <m/>
    <n v="6.6"/>
    <n v="4.5"/>
    <n v="8.1"/>
    <s v="Low"/>
    <x v="1"/>
  </r>
  <r>
    <x v="730"/>
    <n v="40"/>
    <x v="1"/>
    <x v="0"/>
    <s v="In a Relationship"/>
    <x v="1"/>
    <n v="1.8"/>
    <n v="3"/>
    <n v="4"/>
    <s v="No"/>
    <s v="5-30 min"/>
    <n v="83"/>
    <n v="4.9000000000000004"/>
    <n v="6.8"/>
    <n v="6.7"/>
    <n v="1.2"/>
    <s v="No"/>
    <s v="No"/>
    <n v="5.5"/>
    <n v="6"/>
    <n v="5"/>
    <n v="6.6"/>
    <n v="6.7"/>
    <n v="7.1"/>
    <n v="6.1"/>
    <n v="6.6"/>
    <n v="3.9"/>
    <n v="3.6"/>
    <n v="9.1999999999999993"/>
    <s v="Low"/>
    <x v="2"/>
  </r>
  <r>
    <x v="731"/>
    <n v="39"/>
    <x v="3"/>
    <x v="3"/>
    <s v="Married"/>
    <x v="0"/>
    <n v="8.5"/>
    <n v="4"/>
    <n v="2"/>
    <s v="No"/>
    <s v="5-30 min"/>
    <n v="146"/>
    <n v="4.8"/>
    <n v="7.2"/>
    <n v="3.6"/>
    <n v="6.9"/>
    <s v="Yes"/>
    <s v="Yes"/>
    <n v="4.3"/>
    <n v="5.6"/>
    <n v="0.3"/>
    <n v="4.4000000000000004"/>
    <n v="4"/>
    <n v="6.1"/>
    <n v="5.9"/>
    <n v="4"/>
    <n v="0.1"/>
    <n v="3.6"/>
    <n v="5"/>
    <s v="High"/>
    <x v="2"/>
  </r>
  <r>
    <x v="732"/>
    <n v="42"/>
    <x v="0"/>
    <x v="2"/>
    <s v="In a Relationship"/>
    <x v="0"/>
    <n v="7.9"/>
    <n v="2"/>
    <n v="2"/>
    <s v="No"/>
    <s v="Within 5 min"/>
    <n v="122"/>
    <n v="4.2"/>
    <n v="9.5"/>
    <n v="2.7"/>
    <n v="5"/>
    <s v="No"/>
    <s v="Yes"/>
    <n v="2.2000000000000002"/>
    <n v="0"/>
    <n v="3.1"/>
    <n v="6.5"/>
    <n v="4.9000000000000004"/>
    <n v="8.9"/>
    <n v="4.7"/>
    <n v="2.5"/>
    <n v="5.9"/>
    <n v="4"/>
    <n v="4.8"/>
    <s v="Severe"/>
    <x v="2"/>
  </r>
  <r>
    <x v="733"/>
    <n v="39"/>
    <x v="2"/>
    <x v="0"/>
    <s v="Married"/>
    <x v="0"/>
    <n v="5.4"/>
    <n v="2"/>
    <n v="5"/>
    <s v="No"/>
    <s v="Within 5 min"/>
    <n v="66"/>
    <n v="3.7"/>
    <n v="4.5999999999999996"/>
    <n v="6.1"/>
    <n v="8.3000000000000007"/>
    <s v="Yes"/>
    <s v="No"/>
    <n v="2"/>
    <n v="3.2"/>
    <n v="2.2000000000000002"/>
    <n v="5.7"/>
    <n v="5.2"/>
    <n v="5.2"/>
    <n v="8"/>
    <m/>
    <n v="5"/>
    <m/>
    <n v="6.1"/>
    <s v="High"/>
    <x v="2"/>
  </r>
  <r>
    <x v="734"/>
    <n v="37"/>
    <x v="0"/>
    <x v="1"/>
    <s v="Married"/>
    <x v="4"/>
    <n v="5.6"/>
    <n v="4"/>
    <n v="6"/>
    <s v="Yes"/>
    <s v="Within 5 min"/>
    <n v="67"/>
    <n v="9.4"/>
    <n v="2.7"/>
    <n v="5.8"/>
    <n v="6.1"/>
    <s v="Yes"/>
    <s v="Yes"/>
    <n v="3.4"/>
    <n v="4"/>
    <n v="3.3"/>
    <n v="4.5999999999999996"/>
    <n v="6.5"/>
    <n v="8.5"/>
    <n v="10"/>
    <n v="5.2"/>
    <n v="3.5"/>
    <n v="4.5999999999999996"/>
    <n v="4.2"/>
    <s v="Severe"/>
    <x v="2"/>
  </r>
  <r>
    <x v="735"/>
    <n v="42"/>
    <x v="0"/>
    <x v="1"/>
    <s v="Married"/>
    <x v="4"/>
    <n v="5.8"/>
    <n v="2"/>
    <n v="6"/>
    <s v="No"/>
    <s v="After 30 min"/>
    <n v="37"/>
    <n v="7.1"/>
    <n v="7.2"/>
    <n v="3.5"/>
    <n v="3.7"/>
    <s v="Yes"/>
    <s v="Yes"/>
    <n v="1.5"/>
    <n v="4.3"/>
    <n v="0.7"/>
    <n v="10"/>
    <n v="6.9"/>
    <m/>
    <n v="7.4"/>
    <n v="5.3"/>
    <n v="0"/>
    <n v="3"/>
    <n v="8.3000000000000007"/>
    <s v="Low"/>
    <x v="2"/>
  </r>
  <r>
    <x v="736"/>
    <n v="17"/>
    <x v="1"/>
    <x v="3"/>
    <s v="In a Relationship"/>
    <x v="3"/>
    <n v="4.5999999999999996"/>
    <n v="3"/>
    <n v="2"/>
    <s v="Yes"/>
    <s v="5-30 min"/>
    <n v="28"/>
    <n v="7"/>
    <n v="4.2"/>
    <n v="3.8"/>
    <n v="10"/>
    <s v="Yes"/>
    <s v="Yes"/>
    <n v="5.9"/>
    <n v="8"/>
    <n v="4.2"/>
    <m/>
    <n v="5.3"/>
    <n v="7.1"/>
    <n v="5.8"/>
    <n v="0"/>
    <n v="2.2000000000000002"/>
    <n v="2.2999999999999998"/>
    <n v="4.4000000000000004"/>
    <s v="Severe"/>
    <x v="3"/>
  </r>
  <r>
    <x v="737"/>
    <n v="33"/>
    <x v="1"/>
    <x v="1"/>
    <s v="Married"/>
    <x v="1"/>
    <n v="0.5"/>
    <n v="3"/>
    <n v="1"/>
    <s v="Yes"/>
    <s v="Within 5 min"/>
    <n v="24"/>
    <n v="2.6"/>
    <n v="7.6"/>
    <n v="3.8"/>
    <n v="3.5"/>
    <s v="Yes"/>
    <s v="No"/>
    <n v="5"/>
    <n v="1.6"/>
    <n v="7.9"/>
    <n v="5.2"/>
    <n v="4.5999999999999996"/>
    <n v="4.9000000000000004"/>
    <n v="7.2"/>
    <m/>
    <n v="4.2"/>
    <n v="3"/>
    <n v="6.4"/>
    <s v="Moderate"/>
    <x v="0"/>
  </r>
  <r>
    <x v="738"/>
    <n v="33"/>
    <x v="1"/>
    <x v="0"/>
    <s v="Married"/>
    <x v="4"/>
    <n v="0.5"/>
    <n v="4"/>
    <n v="6"/>
    <s v="Yes"/>
    <s v="5-30 min"/>
    <n v="86"/>
    <n v="5.3"/>
    <n v="2.2999999999999998"/>
    <n v="3.2"/>
    <n v="4.5"/>
    <s v="No"/>
    <s v="Yes"/>
    <n v="5.4"/>
    <n v="6.1"/>
    <n v="5.9"/>
    <n v="4.5"/>
    <n v="7.7"/>
    <n v="7.7"/>
    <m/>
    <n v="7.9"/>
    <n v="2.5"/>
    <n v="5.6"/>
    <n v="6.8"/>
    <s v="Moderate"/>
    <x v="0"/>
  </r>
  <r>
    <x v="739"/>
    <n v="26"/>
    <x v="0"/>
    <x v="0"/>
    <s v="Single"/>
    <x v="0"/>
    <n v="5.7"/>
    <n v="1"/>
    <n v="2"/>
    <s v="Yes"/>
    <s v="5-30 min"/>
    <n v="78"/>
    <n v="0"/>
    <n v="6.4"/>
    <n v="6.4"/>
    <n v="7.2"/>
    <s v="No"/>
    <s v="No"/>
    <n v="1.8"/>
    <n v="4.5999999999999996"/>
    <n v="7.1"/>
    <n v="8.4"/>
    <n v="6.2"/>
    <n v="5.9"/>
    <n v="3.8"/>
    <n v="5.0999999999999996"/>
    <n v="3.6"/>
    <n v="2.1"/>
    <n v="7.6"/>
    <s v="Low"/>
    <x v="0"/>
  </r>
  <r>
    <x v="740"/>
    <n v="20"/>
    <x v="1"/>
    <x v="0"/>
    <m/>
    <x v="3"/>
    <n v="0.5"/>
    <n v="3"/>
    <n v="0"/>
    <s v="Yes"/>
    <s v="After 30 min"/>
    <n v="95"/>
    <n v="3.4"/>
    <n v="5.9"/>
    <n v="5.9"/>
    <n v="7.9"/>
    <s v="Yes"/>
    <s v="Yes"/>
    <n v="3.8"/>
    <n v="2.2000000000000002"/>
    <n v="10"/>
    <n v="1.5"/>
    <n v="8.9"/>
    <n v="3.8"/>
    <n v="2.6"/>
    <n v="3.2"/>
    <n v="5"/>
    <n v="1.8"/>
    <n v="6.5"/>
    <s v="Moderate"/>
    <x v="1"/>
  </r>
  <r>
    <x v="741"/>
    <n v="32"/>
    <x v="0"/>
    <x v="3"/>
    <s v="In a Relationship"/>
    <x v="3"/>
    <n v="7.5"/>
    <n v="7"/>
    <n v="4"/>
    <s v="No"/>
    <s v="Within 5 min"/>
    <n v="67"/>
    <n v="5.4"/>
    <n v="4.4000000000000004"/>
    <n v="9.4"/>
    <n v="8.6"/>
    <s v="No"/>
    <s v="No"/>
    <n v="4"/>
    <n v="2.8"/>
    <n v="5.0999999999999996"/>
    <n v="4.7"/>
    <n v="4.5999999999999996"/>
    <n v="6.1"/>
    <n v="4.9000000000000004"/>
    <n v="4"/>
    <n v="1.2"/>
    <n v="4.3"/>
    <n v="4.4000000000000004"/>
    <s v="Severe"/>
    <x v="0"/>
  </r>
  <r>
    <x v="742"/>
    <n v="35"/>
    <x v="1"/>
    <x v="1"/>
    <s v="Single"/>
    <x v="1"/>
    <n v="6.2"/>
    <n v="3"/>
    <n v="3"/>
    <s v="Yes"/>
    <s v="Within 5 min"/>
    <n v="111"/>
    <n v="6.4"/>
    <n v="5.7"/>
    <n v="5.2"/>
    <n v="6.9"/>
    <s v="No"/>
    <s v="Yes"/>
    <n v="8.8000000000000007"/>
    <n v="5.7"/>
    <n v="1.6"/>
    <n v="6.8"/>
    <n v="2.9"/>
    <n v="7.3"/>
    <n v="3.4"/>
    <n v="5.3"/>
    <m/>
    <n v="0.2"/>
    <n v="3.1"/>
    <s v="Severe"/>
    <x v="4"/>
  </r>
  <r>
    <x v="743"/>
    <n v="32"/>
    <x v="2"/>
    <x v="0"/>
    <s v="Married"/>
    <x v="1"/>
    <n v="5.0999999999999996"/>
    <n v="1"/>
    <n v="4"/>
    <s v="Yes"/>
    <s v="Within 5 min"/>
    <n v="120"/>
    <n v="3.9"/>
    <n v="5.0999999999999996"/>
    <n v="7.5"/>
    <n v="7.8"/>
    <s v="Yes"/>
    <s v="Yes"/>
    <n v="5.5"/>
    <n v="3.8"/>
    <n v="5.3"/>
    <n v="5.4"/>
    <n v="2.6"/>
    <n v="5.3"/>
    <n v="4.9000000000000004"/>
    <n v="5.8"/>
    <n v="4.7"/>
    <n v="5"/>
    <n v="3.2"/>
    <s v="Severe"/>
    <x v="0"/>
  </r>
  <r>
    <x v="744"/>
    <n v="19"/>
    <x v="0"/>
    <x v="1"/>
    <s v="Single"/>
    <x v="0"/>
    <n v="5.3"/>
    <n v="1"/>
    <n v="3"/>
    <s v="No"/>
    <s v="5-30 min"/>
    <n v="28"/>
    <n v="5.4"/>
    <n v="6"/>
    <n v="5.9"/>
    <n v="8.4"/>
    <s v="Yes"/>
    <s v="No"/>
    <n v="5.7"/>
    <n v="8.1"/>
    <n v="2.5"/>
    <m/>
    <n v="1.7"/>
    <n v="6.2"/>
    <n v="4"/>
    <n v="6.3"/>
    <n v="2.2000000000000002"/>
    <n v="3.1"/>
    <n v="6.4"/>
    <s v="Moderate"/>
    <x v="1"/>
  </r>
  <r>
    <x v="745"/>
    <n v="40"/>
    <x v="1"/>
    <x v="3"/>
    <s v="Single"/>
    <x v="0"/>
    <n v="6"/>
    <n v="3"/>
    <n v="3"/>
    <s v="Yes"/>
    <s v="Within 5 min"/>
    <n v="100"/>
    <n v="6.6"/>
    <n v="3.4"/>
    <n v="3.6"/>
    <n v="6"/>
    <s v="Yes"/>
    <s v="Yes"/>
    <n v="2"/>
    <n v="4.0999999999999996"/>
    <n v="3.1"/>
    <n v="7.1"/>
    <n v="2.9"/>
    <n v="5.5"/>
    <n v="4.4000000000000004"/>
    <n v="7.3"/>
    <n v="3.9"/>
    <n v="3.1"/>
    <n v="5.0999999999999996"/>
    <s v="High"/>
    <x v="2"/>
  </r>
  <r>
    <x v="746"/>
    <n v="44"/>
    <x v="1"/>
    <x v="1"/>
    <s v="Single"/>
    <x v="0"/>
    <n v="3.2"/>
    <n v="2"/>
    <n v="7"/>
    <s v="No"/>
    <s v="After 30 min"/>
    <n v="8"/>
    <n v="3.2"/>
    <n v="7.1"/>
    <n v="4"/>
    <n v="8.4"/>
    <s v="No"/>
    <s v="Yes"/>
    <m/>
    <n v="3.1"/>
    <n v="6.4"/>
    <n v="4.8"/>
    <n v="6.3"/>
    <n v="5.6"/>
    <n v="6.5"/>
    <n v="7.1"/>
    <n v="1.9"/>
    <n v="4.5"/>
    <n v="6.4"/>
    <s v="Moderate"/>
    <x v="2"/>
  </r>
  <r>
    <x v="747"/>
    <n v="26"/>
    <x v="1"/>
    <x v="1"/>
    <s v="Single"/>
    <x v="3"/>
    <n v="8.4"/>
    <n v="3"/>
    <n v="3"/>
    <s v="No"/>
    <s v="5-30 min"/>
    <n v="5"/>
    <n v="4.9000000000000004"/>
    <n v="4"/>
    <n v="5.8"/>
    <n v="7.7"/>
    <m/>
    <s v="Yes"/>
    <n v="8.6"/>
    <n v="6.3"/>
    <n v="0.7"/>
    <n v="5.8"/>
    <n v="3.8"/>
    <n v="5.9"/>
    <n v="5.8"/>
    <n v="4.9000000000000004"/>
    <n v="2.5"/>
    <n v="2.2000000000000002"/>
    <n v="5.4"/>
    <s v="Severe"/>
    <x v="0"/>
  </r>
  <r>
    <x v="748"/>
    <n v="20"/>
    <x v="0"/>
    <x v="1"/>
    <s v="Single"/>
    <x v="0"/>
    <n v="3.9"/>
    <n v="3"/>
    <n v="8"/>
    <s v="Yes"/>
    <s v="Within 5 min"/>
    <n v="27"/>
    <n v="5.9"/>
    <n v="6.7"/>
    <n v="8.3000000000000007"/>
    <n v="5.0999999999999996"/>
    <s v="No"/>
    <s v="No"/>
    <n v="4.7"/>
    <n v="2"/>
    <n v="4.2"/>
    <n v="5.8"/>
    <n v="5.0999999999999996"/>
    <n v="8.4"/>
    <n v="1.7"/>
    <n v="5.5"/>
    <n v="6"/>
    <n v="4.2"/>
    <n v="6.6"/>
    <s v="Moderate"/>
    <x v="1"/>
  </r>
  <r>
    <x v="749"/>
    <n v="41"/>
    <x v="0"/>
    <x v="0"/>
    <s v="Single"/>
    <x v="5"/>
    <n v="2.5"/>
    <n v="3"/>
    <n v="6"/>
    <s v="No"/>
    <s v="After 30 min"/>
    <n v="23"/>
    <n v="3.3"/>
    <n v="7.7"/>
    <n v="6.7"/>
    <n v="6.7"/>
    <s v="Yes"/>
    <s v="Yes"/>
    <n v="5.3"/>
    <n v="8"/>
    <n v="1.7"/>
    <n v="6.8"/>
    <n v="10"/>
    <n v="9"/>
    <n v="4"/>
    <n v="5.9"/>
    <n v="7.5"/>
    <n v="3.4"/>
    <n v="8.1999999999999993"/>
    <s v="Low"/>
    <x v="2"/>
  </r>
  <r>
    <x v="750"/>
    <n v="18"/>
    <x v="1"/>
    <x v="1"/>
    <s v="Single"/>
    <x v="1"/>
    <n v="8.4"/>
    <n v="3"/>
    <n v="2"/>
    <s v="No"/>
    <s v="5-30 min"/>
    <n v="100"/>
    <n v="7.9"/>
    <n v="5"/>
    <n v="3.4"/>
    <n v="1.4"/>
    <s v="No"/>
    <s v="Yes"/>
    <n v="2.2999999999999998"/>
    <n v="5"/>
    <n v="3.7"/>
    <n v="7.7"/>
    <n v="5"/>
    <n v="8.1999999999999993"/>
    <n v="5.6"/>
    <n v="6.2"/>
    <n v="4.7"/>
    <n v="0"/>
    <n v="6.5"/>
    <s v="Moderate"/>
    <x v="1"/>
  </r>
  <r>
    <x v="751"/>
    <n v="28"/>
    <x v="0"/>
    <x v="3"/>
    <s v="Single"/>
    <x v="3"/>
    <n v="4.8"/>
    <n v="2"/>
    <n v="5"/>
    <s v="No"/>
    <s v="5-30 min"/>
    <n v="5"/>
    <n v="7"/>
    <n v="1.7"/>
    <n v="4.7"/>
    <n v="8"/>
    <s v="No"/>
    <s v="Yes"/>
    <n v="4.2"/>
    <n v="7.5"/>
    <n v="4"/>
    <n v="7"/>
    <n v="5.8"/>
    <n v="6.9"/>
    <n v="6.8"/>
    <n v="6"/>
    <n v="1.3"/>
    <n v="6.1"/>
    <n v="6.9"/>
    <s v="Moderate"/>
    <x v="0"/>
  </r>
  <r>
    <x v="752"/>
    <n v="20"/>
    <x v="1"/>
    <x v="0"/>
    <s v="Single"/>
    <x v="0"/>
    <n v="5.2"/>
    <n v="3"/>
    <n v="3"/>
    <s v="Yes"/>
    <s v="Within 5 min"/>
    <n v="34"/>
    <n v="5.0999999999999996"/>
    <n v="8.1"/>
    <n v="7.3"/>
    <n v="8.1"/>
    <s v="Yes"/>
    <s v="Yes"/>
    <n v="8.9"/>
    <n v="6.4"/>
    <n v="1.8"/>
    <n v="9.6"/>
    <n v="6.9"/>
    <m/>
    <n v="4.8"/>
    <n v="1.5"/>
    <n v="1.1000000000000001"/>
    <n v="2.2000000000000002"/>
    <n v="4"/>
    <s v="Severe"/>
    <x v="1"/>
  </r>
  <r>
    <x v="753"/>
    <n v="39"/>
    <x v="1"/>
    <x v="1"/>
    <s v="In a Relationship"/>
    <x v="0"/>
    <n v="7"/>
    <n v="3"/>
    <n v="3"/>
    <s v="Yes"/>
    <s v="Within 5 min"/>
    <n v="70"/>
    <n v="7.2"/>
    <n v="7.6"/>
    <n v="5.3"/>
    <n v="8.8000000000000007"/>
    <s v="Yes"/>
    <s v="Yes"/>
    <n v="3.7"/>
    <n v="3.3"/>
    <n v="5.3"/>
    <n v="2.5"/>
    <n v="4.9000000000000004"/>
    <n v="5.0999999999999996"/>
    <n v="3.2"/>
    <n v="6.9"/>
    <n v="2.6"/>
    <n v="2.9"/>
    <n v="3.4"/>
    <s v="Severe"/>
    <x v="2"/>
  </r>
  <r>
    <x v="754"/>
    <n v="22"/>
    <x v="0"/>
    <x v="0"/>
    <s v="Single"/>
    <x v="1"/>
    <n v="9.1999999999999993"/>
    <n v="3"/>
    <n v="0"/>
    <s v="Yes"/>
    <s v="Within 5 min"/>
    <n v="22"/>
    <n v="5.3"/>
    <n v="2.1"/>
    <n v="3.6"/>
    <n v="3.5"/>
    <s v="Yes"/>
    <s v="Yes"/>
    <n v="2.4"/>
    <m/>
    <n v="5"/>
    <n v="6.9"/>
    <n v="5.8"/>
    <n v="6.3"/>
    <n v="0.4"/>
    <n v="4.9000000000000004"/>
    <n v="3.4"/>
    <n v="2.5"/>
    <n v="6.4"/>
    <s v="Moderate"/>
    <x v="1"/>
  </r>
  <r>
    <x v="755"/>
    <n v="15"/>
    <x v="1"/>
    <x v="2"/>
    <s v="In a Relationship"/>
    <x v="1"/>
    <n v="4.4000000000000004"/>
    <n v="1"/>
    <n v="3"/>
    <s v="No"/>
    <s v="After 30 min"/>
    <n v="58"/>
    <n v="5.3"/>
    <n v="5"/>
    <n v="0"/>
    <n v="7.7"/>
    <s v="Yes"/>
    <s v="No"/>
    <n v="8"/>
    <n v="3.2"/>
    <n v="2.8"/>
    <n v="7.4"/>
    <n v="6.4"/>
    <n v="7.1"/>
    <n v="8.3000000000000007"/>
    <n v="5.5"/>
    <n v="2.6"/>
    <m/>
    <n v="6.8"/>
    <s v="Low"/>
    <x v="3"/>
  </r>
  <r>
    <x v="756"/>
    <n v="25"/>
    <x v="0"/>
    <x v="0"/>
    <s v="Single"/>
    <x v="1"/>
    <n v="4.7"/>
    <n v="3"/>
    <n v="6"/>
    <m/>
    <s v="Within 5 min"/>
    <n v="97"/>
    <n v="2.4"/>
    <n v="4.8"/>
    <n v="5.4"/>
    <n v="6.7"/>
    <s v="No"/>
    <s v="Yes"/>
    <n v="1.9"/>
    <n v="3.3"/>
    <n v="7"/>
    <n v="6.7"/>
    <n v="3.7"/>
    <m/>
    <n v="3.2"/>
    <n v="6.7"/>
    <n v="2.1"/>
    <n v="2.5"/>
    <n v="5.5"/>
    <s v="High"/>
    <x v="0"/>
  </r>
  <r>
    <x v="757"/>
    <n v="27"/>
    <x v="1"/>
    <x v="0"/>
    <s v="Married"/>
    <x v="2"/>
    <n v="1.5"/>
    <n v="3"/>
    <n v="1"/>
    <s v="No"/>
    <s v="Within 5 min"/>
    <n v="33"/>
    <n v="7"/>
    <n v="4.2"/>
    <n v="4.3"/>
    <n v="3.8"/>
    <s v="Yes"/>
    <s v="Yes"/>
    <n v="5.3"/>
    <n v="3.7"/>
    <n v="5.0999999999999996"/>
    <m/>
    <n v="7.7"/>
    <n v="6.5"/>
    <m/>
    <n v="6.7"/>
    <n v="3.1"/>
    <n v="4.3"/>
    <n v="7.2"/>
    <s v="Low"/>
    <x v="0"/>
  </r>
  <r>
    <x v="758"/>
    <n v="39"/>
    <x v="1"/>
    <x v="0"/>
    <s v="Single"/>
    <x v="3"/>
    <m/>
    <n v="2"/>
    <n v="2"/>
    <s v="Yes"/>
    <s v="Within 5 min"/>
    <n v="73"/>
    <n v="1.7"/>
    <n v="5.6"/>
    <n v="7.6"/>
    <n v="4.9000000000000004"/>
    <s v="No"/>
    <s v="No"/>
    <n v="5.6"/>
    <n v="1.9"/>
    <n v="3.9"/>
    <n v="3.8"/>
    <n v="5.9"/>
    <n v="4.5999999999999996"/>
    <n v="3"/>
    <n v="5"/>
    <n v="0.4"/>
    <n v="1.4"/>
    <n v="6.3"/>
    <s v="Moderate"/>
    <x v="2"/>
  </r>
  <r>
    <x v="759"/>
    <n v="30"/>
    <x v="0"/>
    <x v="0"/>
    <s v="In a Relationship"/>
    <x v="3"/>
    <n v="8.1"/>
    <n v="2"/>
    <n v="2"/>
    <s v="Yes"/>
    <s v="After 30 min"/>
    <n v="100"/>
    <n v="4.8"/>
    <n v="3.3"/>
    <n v="6.2"/>
    <n v="6.3"/>
    <s v="Yes"/>
    <s v="Yes"/>
    <n v="3.7"/>
    <n v="5.6"/>
    <n v="6.9"/>
    <n v="6.4"/>
    <n v="4.0999999999999996"/>
    <n v="7.5"/>
    <m/>
    <n v="3.8"/>
    <n v="1.3"/>
    <n v="4.4000000000000004"/>
    <n v="6.2"/>
    <s v="High"/>
    <x v="0"/>
  </r>
  <r>
    <x v="760"/>
    <n v="43"/>
    <x v="1"/>
    <x v="0"/>
    <s v="Single"/>
    <x v="3"/>
    <n v="2.8"/>
    <n v="4"/>
    <n v="5"/>
    <s v="No"/>
    <s v="Within 5 min"/>
    <n v="50"/>
    <n v="5.5"/>
    <n v="10"/>
    <n v="7.9"/>
    <n v="5.2"/>
    <s v="Yes"/>
    <s v="No"/>
    <n v="7.8"/>
    <n v="5.3"/>
    <n v="5.2"/>
    <n v="3"/>
    <n v="8.8000000000000007"/>
    <n v="8.6999999999999993"/>
    <n v="5.6"/>
    <n v="1.8"/>
    <m/>
    <n v="5.5"/>
    <n v="5.8"/>
    <s v="Severe"/>
    <x v="2"/>
  </r>
  <r>
    <x v="761"/>
    <n v="36"/>
    <x v="1"/>
    <x v="1"/>
    <s v="Married"/>
    <x v="3"/>
    <n v="2.5"/>
    <n v="3"/>
    <n v="3"/>
    <m/>
    <s v="Within 5 min"/>
    <n v="46"/>
    <n v="6.2"/>
    <n v="7.8"/>
    <n v="5.3"/>
    <n v="4.3"/>
    <s v="Yes"/>
    <s v="No"/>
    <n v="0"/>
    <n v="5.2"/>
    <n v="7.7"/>
    <n v="3.7"/>
    <m/>
    <n v="3.5"/>
    <n v="4.5"/>
    <n v="8.3000000000000007"/>
    <n v="5.0999999999999996"/>
    <n v="0"/>
    <n v="7.2"/>
    <s v="Moderate"/>
    <x v="2"/>
  </r>
  <r>
    <x v="762"/>
    <n v="19"/>
    <x v="0"/>
    <x v="1"/>
    <s v="Single"/>
    <x v="1"/>
    <n v="0.8"/>
    <n v="3"/>
    <n v="5"/>
    <s v="Yes"/>
    <s v="Within 5 min"/>
    <n v="131"/>
    <n v="1"/>
    <n v="3.9"/>
    <n v="3.9"/>
    <n v="5.9"/>
    <s v="Yes"/>
    <s v="No"/>
    <n v="7.7"/>
    <n v="7.6"/>
    <m/>
    <n v="5.7"/>
    <n v="7.4"/>
    <n v="7"/>
    <n v="0"/>
    <n v="5.2"/>
    <n v="4"/>
    <n v="0"/>
    <n v="7.4"/>
    <s v="Low"/>
    <x v="1"/>
  </r>
  <r>
    <x v="763"/>
    <n v="27"/>
    <x v="0"/>
    <x v="1"/>
    <s v="Single"/>
    <x v="1"/>
    <n v="1.7"/>
    <n v="4"/>
    <n v="6"/>
    <s v="No"/>
    <s v="After 30 min"/>
    <n v="78"/>
    <n v="4"/>
    <n v="3.1"/>
    <n v="6.8"/>
    <n v="2.8"/>
    <s v="No"/>
    <s v="Yes"/>
    <n v="9.6999999999999993"/>
    <n v="1.6"/>
    <n v="2.1"/>
    <n v="1.3"/>
    <n v="5.8"/>
    <n v="6.8"/>
    <n v="4.5"/>
    <n v="6.8"/>
    <n v="2.7"/>
    <n v="3.3"/>
    <n v="8.6999999999999993"/>
    <s v="Low"/>
    <x v="0"/>
  </r>
  <r>
    <x v="764"/>
    <n v="28"/>
    <x v="0"/>
    <x v="0"/>
    <s v="Single"/>
    <x v="5"/>
    <n v="1.6"/>
    <n v="2"/>
    <n v="5"/>
    <s v="Yes"/>
    <s v="Within 5 min"/>
    <n v="79"/>
    <n v="8.4"/>
    <n v="7.4"/>
    <n v="5.4"/>
    <n v="1.7"/>
    <s v="No"/>
    <s v="No"/>
    <n v="4.8"/>
    <n v="2.2000000000000002"/>
    <n v="2.1"/>
    <n v="7.5"/>
    <n v="7.5"/>
    <n v="5.2"/>
    <n v="7.5"/>
    <n v="7.7"/>
    <n v="1.7"/>
    <n v="4.5"/>
    <n v="6.8"/>
    <s v="Moderate"/>
    <x v="0"/>
  </r>
  <r>
    <x v="765"/>
    <n v="15"/>
    <x v="2"/>
    <x v="3"/>
    <s v="Single"/>
    <x v="1"/>
    <n v="4.5"/>
    <n v="7"/>
    <n v="3"/>
    <s v="No"/>
    <s v="Within 5 min"/>
    <n v="98"/>
    <n v="3.4"/>
    <n v="7.6"/>
    <n v="3.4"/>
    <n v="4.5"/>
    <s v="Yes"/>
    <s v="Yes"/>
    <n v="6"/>
    <n v="0.8"/>
    <n v="3.1"/>
    <n v="5.4"/>
    <n v="2.6"/>
    <n v="6.4"/>
    <n v="3.9"/>
    <n v="4.5999999999999996"/>
    <n v="2.5"/>
    <n v="0.7"/>
    <n v="4.4000000000000004"/>
    <s v="Severe"/>
    <x v="3"/>
  </r>
  <r>
    <x v="766"/>
    <n v="35"/>
    <x v="1"/>
    <x v="1"/>
    <s v="Married"/>
    <x v="4"/>
    <n v="5.0999999999999996"/>
    <n v="4"/>
    <n v="2"/>
    <s v="Yes"/>
    <s v="Within 5 min"/>
    <n v="5"/>
    <n v="9.5"/>
    <n v="6.9"/>
    <n v="5.7"/>
    <n v="7.4"/>
    <s v="No"/>
    <s v="No"/>
    <n v="2.7"/>
    <n v="4.4000000000000004"/>
    <n v="5.0999999999999996"/>
    <n v="5.8"/>
    <n v="3.1"/>
    <n v="5.9"/>
    <n v="3.1"/>
    <n v="8.6999999999999993"/>
    <n v="1.8"/>
    <n v="5.2"/>
    <n v="7"/>
    <s v="Moderate"/>
    <x v="4"/>
  </r>
  <r>
    <x v="767"/>
    <n v="38"/>
    <x v="2"/>
    <x v="3"/>
    <s v="Married"/>
    <x v="0"/>
    <n v="0.5"/>
    <n v="3"/>
    <n v="7"/>
    <s v="No"/>
    <s v="After 30 min"/>
    <n v="104"/>
    <n v="8.8000000000000007"/>
    <n v="5"/>
    <n v="2.2999999999999998"/>
    <n v="4.4000000000000004"/>
    <s v="Yes"/>
    <s v="Yes"/>
    <n v="6.6"/>
    <n v="3"/>
    <n v="5.2"/>
    <n v="7.5"/>
    <n v="6.9"/>
    <n v="5.4"/>
    <n v="6.1"/>
    <n v="4.3"/>
    <n v="0"/>
    <n v="3.1"/>
    <n v="7.7"/>
    <s v="Low"/>
    <x v="2"/>
  </r>
  <r>
    <x v="768"/>
    <n v="41"/>
    <x v="1"/>
    <x v="1"/>
    <s v="Single"/>
    <x v="1"/>
    <n v="5.4"/>
    <n v="3"/>
    <n v="2"/>
    <s v="Yes"/>
    <s v="Within 5 min"/>
    <n v="56"/>
    <n v="7.8"/>
    <n v="9.1"/>
    <n v="5"/>
    <n v="5.8"/>
    <s v="Yes"/>
    <s v="No"/>
    <n v="6.3"/>
    <n v="3.6"/>
    <n v="9.8000000000000007"/>
    <n v="3.4"/>
    <n v="2.5"/>
    <n v="5.3"/>
    <n v="3"/>
    <n v="4.4000000000000004"/>
    <n v="2.7"/>
    <n v="1.2"/>
    <n v="3.1"/>
    <s v="Severe"/>
    <x v="2"/>
  </r>
  <r>
    <x v="769"/>
    <n v="15"/>
    <x v="1"/>
    <x v="1"/>
    <m/>
    <x v="1"/>
    <n v="7.3"/>
    <n v="3"/>
    <n v="8"/>
    <s v="No"/>
    <s v="After 30 min"/>
    <n v="59"/>
    <m/>
    <n v="5.4"/>
    <n v="3.8"/>
    <n v="2.1"/>
    <s v="No"/>
    <s v="No"/>
    <n v="5.2"/>
    <n v="0.9"/>
    <n v="5"/>
    <n v="3.4"/>
    <n v="2.1"/>
    <n v="5"/>
    <n v="0.3"/>
    <n v="4.5"/>
    <n v="2.2000000000000002"/>
    <n v="1"/>
    <n v="9.5"/>
    <s v="Low"/>
    <x v="3"/>
  </r>
  <r>
    <x v="770"/>
    <n v="37"/>
    <x v="0"/>
    <x v="0"/>
    <s v="Married"/>
    <x v="2"/>
    <n v="6.3"/>
    <n v="2"/>
    <n v="7"/>
    <s v="Yes"/>
    <s v="5-30 min"/>
    <n v="93"/>
    <n v="4.2"/>
    <n v="6.4"/>
    <n v="8"/>
    <n v="3.4"/>
    <s v="No"/>
    <s v="Yes"/>
    <n v="2"/>
    <n v="6.5"/>
    <n v="7.2"/>
    <n v="7.9"/>
    <n v="5.0999999999999996"/>
    <n v="7.2"/>
    <n v="7.3"/>
    <n v="4.5999999999999996"/>
    <n v="0.7"/>
    <n v="0.9"/>
    <n v="7.2"/>
    <s v="Moderate"/>
    <x v="2"/>
  </r>
  <r>
    <x v="771"/>
    <n v="26"/>
    <x v="1"/>
    <x v="2"/>
    <s v="Married"/>
    <x v="1"/>
    <n v="2.8"/>
    <n v="4"/>
    <n v="3"/>
    <s v="No"/>
    <s v="5-30 min"/>
    <n v="73"/>
    <n v="8.8000000000000007"/>
    <n v="6.6"/>
    <n v="6.5"/>
    <n v="8"/>
    <s v="Yes"/>
    <s v="No"/>
    <n v="5.0999999999999996"/>
    <n v="3.6"/>
    <n v="4.9000000000000004"/>
    <n v="3.3"/>
    <n v="6.1"/>
    <n v="5.9"/>
    <n v="2.1"/>
    <n v="7.1"/>
    <n v="1.6"/>
    <n v="2.5"/>
    <n v="6.1"/>
    <s v="High"/>
    <x v="0"/>
  </r>
  <r>
    <x v="772"/>
    <n v="26"/>
    <x v="0"/>
    <x v="2"/>
    <s v="Married"/>
    <x v="1"/>
    <n v="6.2"/>
    <n v="3"/>
    <n v="3"/>
    <s v="Yes"/>
    <s v="Within 5 min"/>
    <n v="103"/>
    <n v="8.1"/>
    <n v="8.5"/>
    <n v="5.9"/>
    <n v="5.9"/>
    <s v="Yes"/>
    <s v="No"/>
    <n v="5.6"/>
    <n v="4.8"/>
    <n v="5.7"/>
    <n v="3.8"/>
    <n v="5.7"/>
    <n v="7.8"/>
    <n v="9.1999999999999993"/>
    <n v="8"/>
    <n v="3.8"/>
    <n v="0.5"/>
    <n v="3.7"/>
    <s v="Severe"/>
    <x v="0"/>
  </r>
  <r>
    <x v="773"/>
    <n v="16"/>
    <x v="1"/>
    <x v="1"/>
    <s v="Married"/>
    <x v="1"/>
    <n v="3.4"/>
    <n v="4"/>
    <n v="5"/>
    <s v="Yes"/>
    <s v="Within 5 min"/>
    <n v="56"/>
    <n v="6.2"/>
    <n v="6.3"/>
    <n v="7.4"/>
    <n v="7.8"/>
    <s v="No"/>
    <s v="Yes"/>
    <n v="3.2"/>
    <n v="3.9"/>
    <n v="4.4000000000000004"/>
    <n v="4.9000000000000004"/>
    <n v="2.1"/>
    <n v="6.2"/>
    <n v="6.6"/>
    <n v="5.3"/>
    <n v="3.7"/>
    <n v="1.3"/>
    <n v="3.9"/>
    <s v="Severe"/>
    <x v="3"/>
  </r>
  <r>
    <x v="774"/>
    <n v="15"/>
    <x v="1"/>
    <x v="1"/>
    <s v="In a Relationship"/>
    <x v="1"/>
    <n v="2.1"/>
    <n v="4"/>
    <n v="3"/>
    <s v="Yes"/>
    <s v="Within 5 min"/>
    <n v="80"/>
    <n v="7.1"/>
    <n v="5"/>
    <n v="6.2"/>
    <n v="6.8"/>
    <s v="No"/>
    <s v="No"/>
    <n v="4.2"/>
    <n v="5.0999999999999996"/>
    <n v="4.7"/>
    <n v="9"/>
    <n v="5.4"/>
    <n v="5.8"/>
    <n v="4.9000000000000004"/>
    <n v="3.7"/>
    <n v="6.2"/>
    <n v="3.1"/>
    <n v="5.5"/>
    <s v="High"/>
    <x v="3"/>
  </r>
  <r>
    <x v="775"/>
    <n v="22"/>
    <x v="1"/>
    <x v="0"/>
    <s v="Single"/>
    <x v="4"/>
    <n v="1.4"/>
    <n v="1"/>
    <n v="5"/>
    <s v="No"/>
    <s v="Within 5 min"/>
    <n v="76"/>
    <n v="4"/>
    <n v="3"/>
    <n v="2.2999999999999998"/>
    <n v="6.6"/>
    <s v="Yes"/>
    <s v="No"/>
    <m/>
    <n v="5.3"/>
    <n v="5.9"/>
    <n v="6.1"/>
    <n v="3.5"/>
    <n v="6.7"/>
    <n v="5.6"/>
    <n v="8.3000000000000007"/>
    <n v="0.9"/>
    <n v="3"/>
    <n v="7"/>
    <s v="Low"/>
    <x v="1"/>
  </r>
  <r>
    <x v="776"/>
    <n v="21"/>
    <x v="0"/>
    <x v="1"/>
    <s v="In a Relationship"/>
    <x v="1"/>
    <n v="1.3"/>
    <n v="5"/>
    <n v="4"/>
    <s v="Yes"/>
    <s v="After 30 min"/>
    <n v="81"/>
    <n v="8.6"/>
    <n v="2.7"/>
    <n v="3"/>
    <n v="2.8"/>
    <s v="Yes"/>
    <s v="Yes"/>
    <n v="6"/>
    <n v="3.9"/>
    <n v="6.2"/>
    <n v="4.5"/>
    <n v="2.2000000000000002"/>
    <n v="6.3"/>
    <n v="6.2"/>
    <n v="7.2"/>
    <n v="4.7"/>
    <n v="2.6"/>
    <n v="6.5"/>
    <s v="Moderate"/>
    <x v="1"/>
  </r>
  <r>
    <x v="777"/>
    <n v="31"/>
    <x v="1"/>
    <x v="2"/>
    <s v="Single"/>
    <x v="4"/>
    <n v="3.8"/>
    <n v="2"/>
    <n v="5"/>
    <s v="No"/>
    <s v="Within 5 min"/>
    <n v="23"/>
    <n v="4.8"/>
    <n v="7.8"/>
    <n v="3.9"/>
    <n v="4.9000000000000004"/>
    <s v="Yes"/>
    <s v="Yes"/>
    <n v="3.7"/>
    <n v="10"/>
    <n v="4.5999999999999996"/>
    <n v="7.4"/>
    <n v="5"/>
    <n v="6.7"/>
    <n v="5.0999999999999996"/>
    <n v="6.7"/>
    <n v="3.2"/>
    <n v="1.3"/>
    <n v="7"/>
    <s v="Moderate"/>
    <x v="0"/>
  </r>
  <r>
    <x v="778"/>
    <n v="18"/>
    <x v="1"/>
    <x v="0"/>
    <s v="In a Relationship"/>
    <x v="1"/>
    <n v="5.8"/>
    <n v="2"/>
    <n v="4"/>
    <s v="No"/>
    <s v="Within 5 min"/>
    <n v="5"/>
    <n v="2"/>
    <n v="4.0999999999999996"/>
    <n v="3.5"/>
    <n v="2.2999999999999998"/>
    <s v="Yes"/>
    <s v="No"/>
    <n v="2.9"/>
    <n v="3.8"/>
    <n v="2.1"/>
    <n v="7"/>
    <n v="7.4"/>
    <n v="8"/>
    <n v="2.9"/>
    <n v="4.4000000000000004"/>
    <n v="3.2"/>
    <n v="0.2"/>
    <n v="9.3000000000000007"/>
    <s v="Low"/>
    <x v="1"/>
  </r>
  <r>
    <x v="779"/>
    <n v="21"/>
    <x v="1"/>
    <x v="1"/>
    <s v="In a Relationship"/>
    <x v="1"/>
    <n v="0.6"/>
    <n v="2"/>
    <n v="3"/>
    <s v="Yes"/>
    <s v="5-30 min"/>
    <n v="55"/>
    <n v="6.6"/>
    <n v="3.2"/>
    <n v="2.9"/>
    <n v="4"/>
    <s v="No"/>
    <s v="Yes"/>
    <n v="4.7"/>
    <n v="2.9"/>
    <n v="3.1"/>
    <n v="5.0999999999999996"/>
    <n v="2.5"/>
    <n v="6.3"/>
    <n v="4.3"/>
    <n v="7.3"/>
    <n v="0"/>
    <n v="3.1"/>
    <n v="7.6"/>
    <s v="Moderate"/>
    <x v="1"/>
  </r>
  <r>
    <x v="780"/>
    <n v="38"/>
    <x v="0"/>
    <x v="0"/>
    <s v="In a Relationship"/>
    <x v="0"/>
    <n v="0.5"/>
    <n v="4"/>
    <n v="5"/>
    <s v="No"/>
    <s v="5-30 min"/>
    <n v="5"/>
    <n v="6.6"/>
    <n v="5.7"/>
    <n v="4.2"/>
    <n v="9.9"/>
    <s v="Yes"/>
    <s v="No"/>
    <n v="3.3"/>
    <n v="6.6"/>
    <n v="1.4"/>
    <n v="6.8"/>
    <n v="6.2"/>
    <n v="7.6"/>
    <n v="5.9"/>
    <n v="4.4000000000000004"/>
    <n v="3.4"/>
    <n v="4.5999999999999996"/>
    <n v="8"/>
    <s v="Low"/>
    <x v="2"/>
  </r>
  <r>
    <x v="781"/>
    <n v="19"/>
    <x v="0"/>
    <x v="0"/>
    <s v="Married"/>
    <x v="4"/>
    <n v="7"/>
    <n v="1"/>
    <n v="5"/>
    <s v="No"/>
    <s v="5-30 min"/>
    <n v="80"/>
    <n v="5.9"/>
    <n v="4.9000000000000004"/>
    <n v="4.9000000000000004"/>
    <n v="9.4"/>
    <s v="Yes"/>
    <s v="No"/>
    <n v="4.4000000000000004"/>
    <m/>
    <n v="6.1"/>
    <n v="6.9"/>
    <n v="5.4"/>
    <n v="6.5"/>
    <n v="8.4"/>
    <n v="0.3"/>
    <n v="0.3"/>
    <n v="1.6"/>
    <n v="6.1"/>
    <s v="High"/>
    <x v="1"/>
  </r>
  <r>
    <x v="782"/>
    <n v="42"/>
    <x v="1"/>
    <x v="3"/>
    <s v="In a Relationship"/>
    <x v="0"/>
    <n v="2.4"/>
    <n v="6"/>
    <n v="4"/>
    <s v="Yes"/>
    <s v="Within 5 min"/>
    <n v="84"/>
    <n v="6.8"/>
    <n v="4.2"/>
    <n v="7.5"/>
    <n v="7.3"/>
    <s v="No"/>
    <s v="Yes"/>
    <n v="5.0999999999999996"/>
    <n v="2.7"/>
    <m/>
    <n v="3.7"/>
    <n v="5.4"/>
    <n v="7.8"/>
    <n v="5.4"/>
    <n v="7.1"/>
    <n v="2.4"/>
    <n v="1.5"/>
    <n v="4.5"/>
    <s v="Severe"/>
    <x v="2"/>
  </r>
  <r>
    <x v="783"/>
    <n v="23"/>
    <x v="1"/>
    <x v="3"/>
    <s v="Single"/>
    <x v="1"/>
    <n v="9.3000000000000007"/>
    <n v="3"/>
    <n v="5"/>
    <s v="No"/>
    <s v="Within 5 min"/>
    <n v="37"/>
    <n v="5.0999999999999996"/>
    <n v="7.2"/>
    <n v="4.3"/>
    <n v="6.6"/>
    <s v="Yes"/>
    <s v="No"/>
    <n v="6.7"/>
    <n v="4.4000000000000004"/>
    <m/>
    <n v="7.8"/>
    <n v="5.6"/>
    <n v="5.2"/>
    <n v="5.4"/>
    <n v="8.5"/>
    <n v="3.3"/>
    <n v="4.2"/>
    <n v="6.7"/>
    <s v="High"/>
    <x v="1"/>
  </r>
  <r>
    <x v="784"/>
    <n v="41"/>
    <x v="0"/>
    <x v="0"/>
    <s v="Single"/>
    <x v="3"/>
    <n v="5.3"/>
    <n v="8"/>
    <n v="3"/>
    <s v="Yes"/>
    <s v="5-30 min"/>
    <n v="5"/>
    <n v="6.1"/>
    <n v="7.8"/>
    <n v="5.2"/>
    <n v="6.5"/>
    <s v="No"/>
    <s v="Yes"/>
    <n v="1.7"/>
    <n v="1.8"/>
    <n v="2.5"/>
    <n v="5.3"/>
    <n v="4.4000000000000004"/>
    <n v="7.8"/>
    <n v="2.5"/>
    <n v="8.6999999999999993"/>
    <n v="4"/>
    <m/>
    <n v="5.6"/>
    <s v="Severe"/>
    <x v="2"/>
  </r>
  <r>
    <x v="785"/>
    <n v="29"/>
    <x v="3"/>
    <x v="0"/>
    <s v="In a Relationship"/>
    <x v="1"/>
    <m/>
    <n v="2"/>
    <n v="2"/>
    <s v="No"/>
    <s v="Within 5 min"/>
    <n v="69"/>
    <n v="4.0999999999999996"/>
    <n v="5.4"/>
    <n v="6.3"/>
    <n v="7.1"/>
    <s v="No"/>
    <s v="No"/>
    <n v="3"/>
    <n v="2.9"/>
    <n v="5"/>
    <n v="5.3"/>
    <n v="8.6"/>
    <n v="5.5"/>
    <n v="3.8"/>
    <n v="5.7"/>
    <n v="1.1000000000000001"/>
    <n v="1.7"/>
    <n v="6.8"/>
    <s v="Moderate"/>
    <x v="0"/>
  </r>
  <r>
    <x v="786"/>
    <n v="38"/>
    <x v="2"/>
    <x v="2"/>
    <s v="In a Relationship"/>
    <x v="1"/>
    <n v="6.5"/>
    <n v="4"/>
    <n v="6"/>
    <s v="No"/>
    <s v="5-30 min"/>
    <n v="32"/>
    <n v="4.7"/>
    <n v="4.9000000000000004"/>
    <n v="6"/>
    <n v="4.5999999999999996"/>
    <s v="No"/>
    <s v="Yes"/>
    <n v="3.4"/>
    <n v="3.6"/>
    <n v="3.6"/>
    <n v="1.1000000000000001"/>
    <n v="7.4"/>
    <n v="7.9"/>
    <n v="5.4"/>
    <n v="4.9000000000000004"/>
    <n v="2.9"/>
    <n v="3.6"/>
    <n v="7.5"/>
    <s v="Low"/>
    <x v="2"/>
  </r>
  <r>
    <x v="787"/>
    <n v="24"/>
    <x v="0"/>
    <x v="0"/>
    <s v="Married"/>
    <x v="3"/>
    <n v="6.7"/>
    <n v="3"/>
    <n v="4"/>
    <s v="Yes"/>
    <s v="Within 5 min"/>
    <n v="73"/>
    <n v="6.4"/>
    <n v="8.4"/>
    <n v="5.9"/>
    <n v="4.3"/>
    <s v="Yes"/>
    <s v="No"/>
    <n v="1.1000000000000001"/>
    <n v="3.1"/>
    <n v="7.8"/>
    <m/>
    <n v="9.6999999999999993"/>
    <n v="4.7"/>
    <n v="5.8"/>
    <n v="5.3"/>
    <n v="4.5"/>
    <n v="2.7"/>
    <n v="5.0999999999999996"/>
    <s v="Severe"/>
    <x v="1"/>
  </r>
  <r>
    <x v="788"/>
    <n v="37"/>
    <x v="1"/>
    <x v="0"/>
    <s v="Married"/>
    <x v="1"/>
    <n v="0.8"/>
    <n v="2"/>
    <n v="7"/>
    <s v="Yes"/>
    <s v="After 30 min"/>
    <n v="62"/>
    <n v="2.8"/>
    <n v="3.9"/>
    <n v="5.4"/>
    <n v="6.9"/>
    <s v="Yes"/>
    <s v="Yes"/>
    <n v="3.7"/>
    <n v="3.3"/>
    <n v="2.6"/>
    <n v="5.2"/>
    <n v="2.8"/>
    <n v="3.7"/>
    <n v="6.2"/>
    <m/>
    <n v="1.1000000000000001"/>
    <n v="4.2"/>
    <n v="6.7"/>
    <s v="Moderate"/>
    <x v="2"/>
  </r>
  <r>
    <x v="789"/>
    <n v="34"/>
    <x v="0"/>
    <x v="0"/>
    <s v="Married"/>
    <x v="2"/>
    <n v="3.9"/>
    <n v="4"/>
    <n v="7"/>
    <s v="Yes"/>
    <s v="Within 5 min"/>
    <n v="27"/>
    <n v="4.5"/>
    <n v="3.4"/>
    <n v="4"/>
    <n v="3.9"/>
    <s v="Yes"/>
    <s v="No"/>
    <n v="8.1"/>
    <n v="4.2"/>
    <n v="2.1"/>
    <n v="6.4"/>
    <n v="3.4"/>
    <n v="8.5"/>
    <n v="7.7"/>
    <n v="6.2"/>
    <n v="2.1"/>
    <n v="4.7"/>
    <n v="7.2"/>
    <s v="Moderate"/>
    <x v="0"/>
  </r>
  <r>
    <x v="790"/>
    <n v="41"/>
    <x v="0"/>
    <x v="1"/>
    <s v="In a Relationship"/>
    <x v="5"/>
    <n v="7.4"/>
    <n v="1"/>
    <n v="4"/>
    <s v="No"/>
    <s v="After 30 min"/>
    <n v="113"/>
    <n v="5.0999999999999996"/>
    <n v="7.2"/>
    <n v="6.7"/>
    <n v="2.1"/>
    <s v="Yes"/>
    <s v="No"/>
    <n v="6"/>
    <n v="4.0999999999999996"/>
    <n v="6"/>
    <n v="3"/>
    <n v="4.8"/>
    <n v="5.5"/>
    <n v="2.7"/>
    <n v="6.6"/>
    <n v="1.2"/>
    <n v="3.6"/>
    <n v="7.1"/>
    <s v="Moderate"/>
    <x v="2"/>
  </r>
  <r>
    <x v="791"/>
    <n v="42"/>
    <x v="0"/>
    <x v="1"/>
    <s v="Single"/>
    <x v="3"/>
    <n v="1.2"/>
    <n v="2"/>
    <n v="2"/>
    <m/>
    <s v="After 30 min"/>
    <n v="55"/>
    <n v="10"/>
    <n v="7.8"/>
    <n v="4.3"/>
    <n v="1.6"/>
    <s v="Yes"/>
    <s v="No"/>
    <n v="4.5"/>
    <n v="5.0999999999999996"/>
    <n v="4.4000000000000004"/>
    <n v="6.8"/>
    <n v="4.2"/>
    <n v="5.9"/>
    <n v="8.8000000000000007"/>
    <n v="5.4"/>
    <n v="4.2"/>
    <n v="2.7"/>
    <n v="7.6"/>
    <s v="Low"/>
    <x v="2"/>
  </r>
  <r>
    <x v="792"/>
    <n v="40"/>
    <x v="0"/>
    <x v="1"/>
    <s v="In a Relationship"/>
    <x v="5"/>
    <n v="5.4"/>
    <n v="1"/>
    <n v="5"/>
    <s v="No"/>
    <s v="5-30 min"/>
    <n v="41"/>
    <n v="2.7"/>
    <n v="4.4000000000000004"/>
    <n v="3.6"/>
    <n v="2.8"/>
    <s v="Yes"/>
    <s v="Yes"/>
    <n v="6.6"/>
    <n v="4.0999999999999996"/>
    <n v="1.1000000000000001"/>
    <n v="3.9"/>
    <n v="6.3"/>
    <n v="8.6999999999999993"/>
    <n v="8.1"/>
    <n v="6.9"/>
    <n v="5.5"/>
    <n v="2.6"/>
    <n v="7.2"/>
    <s v="Low"/>
    <x v="2"/>
  </r>
  <r>
    <x v="793"/>
    <n v="17"/>
    <x v="0"/>
    <x v="1"/>
    <m/>
    <x v="3"/>
    <n v="5.2"/>
    <n v="2"/>
    <n v="2"/>
    <s v="Yes"/>
    <s v="Within 5 min"/>
    <n v="51"/>
    <n v="2.6"/>
    <n v="3.8"/>
    <n v="4"/>
    <n v="5.9"/>
    <s v="No"/>
    <s v="No"/>
    <n v="4.8"/>
    <n v="0.5"/>
    <n v="2.7"/>
    <n v="5.3"/>
    <n v="5.2"/>
    <n v="9.4"/>
    <n v="1"/>
    <n v="6.5"/>
    <n v="2.2000000000000002"/>
    <n v="1.5"/>
    <n v="7.3"/>
    <s v="Moderate"/>
    <x v="3"/>
  </r>
  <r>
    <x v="794"/>
    <n v="36"/>
    <x v="1"/>
    <x v="1"/>
    <s v="Married"/>
    <x v="1"/>
    <n v="8.6999999999999993"/>
    <n v="2"/>
    <n v="5"/>
    <s v="Yes"/>
    <s v="5-30 min"/>
    <n v="51"/>
    <n v="4.2"/>
    <n v="5.4"/>
    <n v="3.9"/>
    <n v="8"/>
    <s v="Yes"/>
    <s v="Yes"/>
    <n v="8"/>
    <n v="0.7"/>
    <n v="1.5"/>
    <n v="3.5"/>
    <n v="3.8"/>
    <n v="5.7"/>
    <n v="5.2"/>
    <n v="3.7"/>
    <n v="5.5"/>
    <n v="2"/>
    <n v="5.2"/>
    <s v="Severe"/>
    <x v="2"/>
  </r>
  <r>
    <x v="795"/>
    <n v="27"/>
    <x v="1"/>
    <x v="0"/>
    <s v="In a Relationship"/>
    <x v="2"/>
    <n v="7.3"/>
    <n v="3"/>
    <n v="5"/>
    <s v="Yes"/>
    <s v="Within 5 min"/>
    <n v="35"/>
    <n v="2.8"/>
    <n v="6"/>
    <n v="8.1"/>
    <n v="4.5999999999999996"/>
    <s v="Yes"/>
    <s v="No"/>
    <n v="1.9"/>
    <n v="7.8"/>
    <n v="7.2"/>
    <n v="3.3"/>
    <n v="7.4"/>
    <n v="10"/>
    <m/>
    <n v="5.6"/>
    <n v="3.4"/>
    <n v="4.7"/>
    <n v="6.4"/>
    <s v="Moderate"/>
    <x v="0"/>
  </r>
  <r>
    <x v="796"/>
    <n v="35"/>
    <x v="0"/>
    <x v="0"/>
    <s v="Married"/>
    <x v="3"/>
    <n v="3.6"/>
    <n v="1"/>
    <n v="5"/>
    <s v="Yes"/>
    <s v="Within 5 min"/>
    <n v="104"/>
    <n v="5"/>
    <n v="4.9000000000000004"/>
    <n v="7.4"/>
    <n v="3.2"/>
    <s v="No"/>
    <s v="No"/>
    <m/>
    <n v="2.2000000000000002"/>
    <n v="6"/>
    <n v="7"/>
    <n v="7.5"/>
    <n v="7.1"/>
    <n v="4.2"/>
    <n v="6.8"/>
    <n v="1.6"/>
    <n v="2.4"/>
    <n v="6.9"/>
    <s v="Moderate"/>
    <x v="4"/>
  </r>
  <r>
    <x v="797"/>
    <n v="25"/>
    <x v="1"/>
    <x v="0"/>
    <s v="Married"/>
    <x v="4"/>
    <n v="1.4"/>
    <n v="2"/>
    <n v="3"/>
    <m/>
    <s v="5-30 min"/>
    <n v="66"/>
    <n v="6.2"/>
    <n v="6.7"/>
    <m/>
    <n v="5.4"/>
    <s v="No"/>
    <s v="Yes"/>
    <n v="5.2"/>
    <n v="6.5"/>
    <n v="3.8"/>
    <n v="5.6"/>
    <n v="3.8"/>
    <n v="5.9"/>
    <n v="5.5"/>
    <n v="10"/>
    <n v="4.5999999999999996"/>
    <n v="6"/>
    <n v="7.1"/>
    <s v="Low"/>
    <x v="0"/>
  </r>
  <r>
    <x v="798"/>
    <n v="32"/>
    <x v="2"/>
    <x v="0"/>
    <s v="In a Relationship"/>
    <x v="0"/>
    <n v="3.7"/>
    <n v="6"/>
    <n v="2"/>
    <s v="No"/>
    <s v="After 30 min"/>
    <n v="68"/>
    <m/>
    <n v="8.5"/>
    <n v="6.9"/>
    <n v="4.8"/>
    <s v="Yes"/>
    <s v="Yes"/>
    <n v="10"/>
    <n v="8.6"/>
    <n v="3.7"/>
    <n v="6.3"/>
    <n v="4"/>
    <n v="5.7"/>
    <n v="6.4"/>
    <n v="3.7"/>
    <n v="3.5"/>
    <n v="0"/>
    <n v="6.2"/>
    <s v="High"/>
    <x v="0"/>
  </r>
  <r>
    <x v="799"/>
    <n v="16"/>
    <x v="1"/>
    <x v="0"/>
    <s v="Married"/>
    <x v="4"/>
    <n v="4.7"/>
    <n v="4"/>
    <n v="3"/>
    <s v="Yes"/>
    <s v="5-30 min"/>
    <n v="28"/>
    <n v="4"/>
    <n v="2.5"/>
    <n v="3.9"/>
    <n v="6.2"/>
    <s v="Yes"/>
    <s v="Yes"/>
    <n v="3.2"/>
    <n v="2"/>
    <n v="3.8"/>
    <n v="6.4"/>
    <n v="1.2"/>
    <n v="4.0999999999999996"/>
    <n v="8.6"/>
    <n v="4.0999999999999996"/>
    <n v="3.2"/>
    <n v="2.6"/>
    <n v="6.1"/>
    <s v="Moderate"/>
    <x v="3"/>
  </r>
  <r>
    <x v="800"/>
    <n v="20"/>
    <x v="0"/>
    <x v="4"/>
    <s v="In a Relationship"/>
    <x v="4"/>
    <n v="4.4000000000000004"/>
    <n v="3"/>
    <n v="4"/>
    <s v="Yes"/>
    <s v="Within 5 min"/>
    <n v="114"/>
    <n v="7.4"/>
    <n v="8.3000000000000007"/>
    <n v="3.6"/>
    <n v="8.1"/>
    <s v="No"/>
    <s v="Yes"/>
    <n v="10"/>
    <n v="3.3"/>
    <n v="1.7"/>
    <n v="5.6"/>
    <n v="8.1999999999999993"/>
    <n v="7.7"/>
    <n v="5.7"/>
    <n v="5.7"/>
    <n v="0.2"/>
    <n v="2.8"/>
    <n v="4.9000000000000004"/>
    <s v="Severe"/>
    <x v="1"/>
  </r>
  <r>
    <x v="801"/>
    <n v="27"/>
    <x v="1"/>
    <x v="0"/>
    <s v="In a Relationship"/>
    <x v="0"/>
    <n v="3.5"/>
    <n v="5"/>
    <n v="5"/>
    <s v="Yes"/>
    <s v="Within 5 min"/>
    <n v="99"/>
    <n v="6.1"/>
    <n v="7.5"/>
    <n v="8.1999999999999993"/>
    <n v="5.6"/>
    <s v="Yes"/>
    <s v="No"/>
    <n v="7.6"/>
    <n v="3.2"/>
    <n v="4.4000000000000004"/>
    <n v="4.4000000000000004"/>
    <n v="5.7"/>
    <n v="7.6"/>
    <n v="4.5"/>
    <n v="4.5"/>
    <n v="3"/>
    <n v="2.2999999999999998"/>
    <n v="5.0999999999999996"/>
    <s v="Severe"/>
    <x v="0"/>
  </r>
  <r>
    <x v="802"/>
    <n v="32"/>
    <x v="0"/>
    <x v="0"/>
    <s v="Single"/>
    <x v="0"/>
    <n v="2.4"/>
    <n v="4"/>
    <n v="4"/>
    <s v="Yes"/>
    <s v="5-30 min"/>
    <n v="107"/>
    <m/>
    <n v="5.4"/>
    <m/>
    <n v="6.1"/>
    <s v="Yes"/>
    <s v="No"/>
    <n v="9.1"/>
    <n v="4.0999999999999996"/>
    <n v="7.5"/>
    <n v="8.1"/>
    <n v="7.9"/>
    <n v="5.7"/>
    <n v="5.7"/>
    <m/>
    <n v="3.8"/>
    <n v="3.1"/>
    <n v="5.9"/>
    <s v="High"/>
    <x v="0"/>
  </r>
  <r>
    <x v="803"/>
    <n v="33"/>
    <x v="2"/>
    <x v="3"/>
    <s v="Single"/>
    <x v="1"/>
    <m/>
    <n v="2"/>
    <n v="6"/>
    <s v="Yes"/>
    <s v="Within 5 min"/>
    <n v="60"/>
    <n v="6.5"/>
    <n v="7.4"/>
    <n v="3.9"/>
    <n v="4.2"/>
    <s v="No"/>
    <s v="No"/>
    <n v="6.2"/>
    <n v="3"/>
    <n v="4.2"/>
    <n v="3.6"/>
    <n v="8.1"/>
    <n v="6.2"/>
    <n v="5.4"/>
    <n v="3.2"/>
    <n v="4.5999999999999996"/>
    <n v="1.8"/>
    <n v="6.4"/>
    <s v="Moderate"/>
    <x v="0"/>
  </r>
  <r>
    <x v="804"/>
    <n v="28"/>
    <x v="0"/>
    <x v="1"/>
    <s v="Single"/>
    <x v="1"/>
    <n v="3.6"/>
    <n v="5"/>
    <n v="7"/>
    <s v="Yes"/>
    <s v="5-30 min"/>
    <n v="40"/>
    <n v="6"/>
    <n v="6.4"/>
    <n v="10"/>
    <n v="6"/>
    <m/>
    <s v="Yes"/>
    <n v="7"/>
    <n v="4.9000000000000004"/>
    <n v="7.2"/>
    <n v="4.9000000000000004"/>
    <m/>
    <n v="9"/>
    <n v="1"/>
    <n v="5.0999999999999996"/>
    <n v="0"/>
    <n v="0"/>
    <n v="3.2"/>
    <s v="Severe"/>
    <x v="0"/>
  </r>
  <r>
    <x v="805"/>
    <n v="32"/>
    <x v="0"/>
    <x v="3"/>
    <s v="Married"/>
    <x v="3"/>
    <n v="2.9"/>
    <n v="2"/>
    <n v="7"/>
    <s v="Yes"/>
    <s v="Within 5 min"/>
    <n v="106"/>
    <n v="7.8"/>
    <n v="5.0999999999999996"/>
    <n v="7.4"/>
    <n v="0"/>
    <s v="No"/>
    <s v="Yes"/>
    <n v="7.7"/>
    <n v="3.8"/>
    <n v="1.5"/>
    <n v="6.5"/>
    <n v="6.2"/>
    <n v="5.2"/>
    <n v="5.2"/>
    <n v="6"/>
    <n v="3.3"/>
    <n v="2.1"/>
    <n v="4.9000000000000004"/>
    <s v="Severe"/>
    <x v="0"/>
  </r>
  <r>
    <x v="806"/>
    <n v="38"/>
    <x v="0"/>
    <x v="1"/>
    <s v="Single"/>
    <x v="5"/>
    <n v="4.9000000000000004"/>
    <n v="3"/>
    <n v="5"/>
    <s v="Yes"/>
    <s v="Within 5 min"/>
    <n v="121"/>
    <n v="5.9"/>
    <n v="5.9"/>
    <n v="5.4"/>
    <n v="5.0999999999999996"/>
    <s v="No"/>
    <s v="No"/>
    <n v="3.9"/>
    <n v="4.8"/>
    <n v="3.8"/>
    <n v="5.7"/>
    <n v="6.9"/>
    <n v="5.0999999999999996"/>
    <n v="5.3"/>
    <n v="4.0999999999999996"/>
    <n v="0.1"/>
    <n v="6.2"/>
    <n v="5.6"/>
    <s v="High"/>
    <x v="2"/>
  </r>
  <r>
    <x v="807"/>
    <n v="29"/>
    <x v="0"/>
    <x v="1"/>
    <s v="Single"/>
    <x v="1"/>
    <n v="4.8"/>
    <n v="4"/>
    <n v="5"/>
    <s v="No"/>
    <s v="After 30 min"/>
    <n v="115"/>
    <n v="6.6"/>
    <n v="4.5999999999999996"/>
    <n v="6.9"/>
    <n v="10"/>
    <s v="Yes"/>
    <s v="Yes"/>
    <n v="7.3"/>
    <n v="7.6"/>
    <n v="7.2"/>
    <n v="5.7"/>
    <n v="2.1"/>
    <n v="8"/>
    <n v="2.8"/>
    <n v="2.6"/>
    <n v="3.2"/>
    <n v="4.3"/>
    <n v="5.2"/>
    <s v="Severe"/>
    <x v="0"/>
  </r>
  <r>
    <x v="808"/>
    <n v="32"/>
    <x v="0"/>
    <x v="3"/>
    <s v="In a Relationship"/>
    <x v="1"/>
    <n v="4.4000000000000004"/>
    <n v="5"/>
    <n v="4"/>
    <s v="Yes"/>
    <s v="5-30 min"/>
    <n v="43"/>
    <n v="5.5"/>
    <n v="7.3"/>
    <n v="4.7"/>
    <n v="6.2"/>
    <s v="Yes"/>
    <s v="No"/>
    <n v="5.7"/>
    <n v="2.8"/>
    <n v="2.2000000000000002"/>
    <n v="5.4"/>
    <n v="8.1"/>
    <n v="6.7"/>
    <n v="3.7"/>
    <n v="5.8"/>
    <n v="1.6"/>
    <n v="1.1000000000000001"/>
    <n v="5.9"/>
    <s v="High"/>
    <x v="0"/>
  </r>
  <r>
    <x v="809"/>
    <n v="17"/>
    <x v="2"/>
    <x v="1"/>
    <s v="In a Relationship"/>
    <x v="5"/>
    <n v="7.1"/>
    <n v="2"/>
    <n v="2"/>
    <s v="No"/>
    <s v="After 30 min"/>
    <n v="81"/>
    <n v="4.5"/>
    <n v="4.2"/>
    <n v="5.3"/>
    <n v="5.5"/>
    <s v="Yes"/>
    <s v="No"/>
    <n v="5.8"/>
    <n v="5.2"/>
    <n v="4.7"/>
    <n v="5.2"/>
    <n v="4.7"/>
    <n v="9.1"/>
    <n v="7"/>
    <n v="6"/>
    <n v="5.9"/>
    <n v="5.6"/>
    <n v="8.5"/>
    <s v="Low"/>
    <x v="3"/>
  </r>
  <r>
    <x v="810"/>
    <n v="23"/>
    <x v="1"/>
    <x v="3"/>
    <s v="Single"/>
    <x v="1"/>
    <n v="2.2999999999999998"/>
    <n v="2"/>
    <n v="2"/>
    <s v="No"/>
    <s v="After 30 min"/>
    <n v="131"/>
    <n v="6"/>
    <n v="4.3"/>
    <n v="6"/>
    <n v="7.9"/>
    <s v="No"/>
    <s v="Yes"/>
    <n v="6.1"/>
    <n v="3"/>
    <n v="3.2"/>
    <n v="2.7"/>
    <n v="4.5"/>
    <n v="5.8"/>
    <n v="3.8"/>
    <n v="7.2"/>
    <n v="3.1"/>
    <n v="2.4"/>
    <n v="6.2"/>
    <s v="High"/>
    <x v="1"/>
  </r>
  <r>
    <x v="811"/>
    <n v="37"/>
    <x v="3"/>
    <x v="1"/>
    <s v="Single"/>
    <x v="0"/>
    <n v="5"/>
    <n v="1"/>
    <n v="3"/>
    <s v="No"/>
    <s v="After 30 min"/>
    <n v="97"/>
    <n v="3.7"/>
    <n v="6.2"/>
    <n v="3"/>
    <n v="2.8"/>
    <s v="Yes"/>
    <s v="Yes"/>
    <n v="4.0999999999999996"/>
    <n v="5.4"/>
    <n v="4.2"/>
    <n v="4.5999999999999996"/>
    <n v="4.8"/>
    <n v="5.7"/>
    <n v="2.9"/>
    <n v="6.6"/>
    <n v="0"/>
    <n v="3.7"/>
    <n v="8.3000000000000007"/>
    <s v="Low"/>
    <x v="2"/>
  </r>
  <r>
    <x v="812"/>
    <n v="28"/>
    <x v="2"/>
    <x v="1"/>
    <s v="Single"/>
    <x v="1"/>
    <n v="6.7"/>
    <n v="1"/>
    <n v="2"/>
    <s v="No"/>
    <s v="Within 5 min"/>
    <n v="66"/>
    <n v="1.9"/>
    <n v="7.8"/>
    <n v="8.1999999999999993"/>
    <n v="4"/>
    <s v="Yes"/>
    <s v="No"/>
    <n v="7.1"/>
    <n v="7.4"/>
    <n v="2.5"/>
    <n v="3.4"/>
    <n v="5"/>
    <n v="3"/>
    <n v="4.8"/>
    <n v="5.0999999999999996"/>
    <n v="2.2000000000000002"/>
    <n v="4.3"/>
    <n v="5.0999999999999996"/>
    <s v="High"/>
    <x v="0"/>
  </r>
  <r>
    <x v="813"/>
    <n v="30"/>
    <x v="1"/>
    <x v="4"/>
    <s v="Single"/>
    <x v="1"/>
    <n v="3.5"/>
    <n v="1"/>
    <n v="3"/>
    <s v="Yes"/>
    <s v="5-30 min"/>
    <n v="110"/>
    <n v="4.0999999999999996"/>
    <n v="4.3"/>
    <n v="0.8"/>
    <n v="4.5999999999999996"/>
    <s v="No"/>
    <s v="Yes"/>
    <n v="3"/>
    <n v="9.1"/>
    <n v="5.3"/>
    <n v="2.2000000000000002"/>
    <n v="5.9"/>
    <n v="4.7"/>
    <n v="4.3"/>
    <n v="5.9"/>
    <n v="3.5"/>
    <n v="1.1000000000000001"/>
    <n v="7.3"/>
    <s v="Low"/>
    <x v="0"/>
  </r>
  <r>
    <x v="814"/>
    <n v="20"/>
    <x v="1"/>
    <x v="0"/>
    <s v="Single"/>
    <x v="2"/>
    <n v="4.8"/>
    <n v="5"/>
    <n v="5"/>
    <s v="Yes"/>
    <s v="Within 5 min"/>
    <n v="66"/>
    <n v="7.1"/>
    <n v="3.4"/>
    <n v="3.9"/>
    <n v="2"/>
    <s v="Yes"/>
    <s v="Yes"/>
    <n v="5.8"/>
    <n v="6.4"/>
    <n v="5.7"/>
    <n v="4.4000000000000004"/>
    <n v="4.2"/>
    <n v="8.6"/>
    <n v="2.5"/>
    <n v="5.2"/>
    <n v="3.5"/>
    <n v="0"/>
    <n v="5.6"/>
    <s v="High"/>
    <x v="1"/>
  </r>
  <r>
    <x v="815"/>
    <n v="37"/>
    <x v="0"/>
    <x v="1"/>
    <s v="Single"/>
    <x v="1"/>
    <n v="5.9"/>
    <n v="3"/>
    <n v="4"/>
    <s v="Yes"/>
    <s v="5-30 min"/>
    <n v="81"/>
    <n v="8.3000000000000007"/>
    <n v="6.6"/>
    <n v="3"/>
    <n v="4.9000000000000004"/>
    <s v="Yes"/>
    <s v="No"/>
    <n v="4.0999999999999996"/>
    <n v="5.8"/>
    <n v="2.7"/>
    <n v="6.1"/>
    <n v="4.5999999999999996"/>
    <n v="7.2"/>
    <n v="5.3"/>
    <n v="5.0999999999999996"/>
    <n v="1.7"/>
    <n v="0.9"/>
    <n v="5.5"/>
    <s v="High"/>
    <x v="2"/>
  </r>
  <r>
    <x v="816"/>
    <n v="23"/>
    <x v="3"/>
    <x v="2"/>
    <s v="In a Relationship"/>
    <x v="2"/>
    <n v="5.6"/>
    <n v="2"/>
    <n v="6"/>
    <s v="No"/>
    <s v="After 30 min"/>
    <n v="86"/>
    <n v="3.3"/>
    <n v="4.8"/>
    <n v="1.6"/>
    <n v="6.5"/>
    <s v="Yes"/>
    <s v="No"/>
    <n v="4.4000000000000004"/>
    <n v="0.3"/>
    <n v="4.3"/>
    <n v="3.9"/>
    <n v="5"/>
    <n v="8.1999999999999993"/>
    <n v="6.7"/>
    <n v="6.4"/>
    <n v="5.4"/>
    <n v="3.7"/>
    <n v="8.1"/>
    <s v="Low"/>
    <x v="1"/>
  </r>
  <r>
    <x v="817"/>
    <n v="34"/>
    <x v="1"/>
    <x v="1"/>
    <s v="In a Relationship"/>
    <x v="4"/>
    <n v="4.5"/>
    <n v="5"/>
    <n v="8"/>
    <s v="Yes"/>
    <s v="5-30 min"/>
    <n v="75"/>
    <m/>
    <n v="5.9"/>
    <n v="1.5"/>
    <n v="6.7"/>
    <s v="No"/>
    <s v="Yes"/>
    <m/>
    <n v="8.8000000000000007"/>
    <n v="8.1999999999999993"/>
    <n v="5.8"/>
    <n v="10"/>
    <n v="7.6"/>
    <n v="4.4000000000000004"/>
    <n v="5.7"/>
    <n v="5.8"/>
    <n v="5.7"/>
    <n v="6.2"/>
    <s v="Moderate"/>
    <x v="0"/>
  </r>
  <r>
    <x v="818"/>
    <n v="33"/>
    <x v="1"/>
    <x v="0"/>
    <s v="In a Relationship"/>
    <x v="3"/>
    <n v="1.8"/>
    <n v="1"/>
    <n v="2"/>
    <s v="No"/>
    <s v="5-30 min"/>
    <n v="44"/>
    <n v="7.8"/>
    <n v="5.8"/>
    <n v="8.4"/>
    <n v="4.3"/>
    <s v="No"/>
    <s v="Yes"/>
    <n v="4.5"/>
    <n v="5.0999999999999996"/>
    <n v="3.6"/>
    <n v="8.4"/>
    <n v="5.4"/>
    <n v="3"/>
    <n v="4"/>
    <n v="6.1"/>
    <n v="0"/>
    <n v="3.9"/>
    <n v="6.5"/>
    <s v="Moderate"/>
    <x v="0"/>
  </r>
  <r>
    <x v="819"/>
    <n v="16"/>
    <x v="0"/>
    <x v="2"/>
    <s v="Married"/>
    <x v="1"/>
    <n v="2.5"/>
    <n v="2"/>
    <n v="4"/>
    <s v="No"/>
    <s v="Within 5 min"/>
    <n v="34"/>
    <m/>
    <n v="2.4"/>
    <n v="6.3"/>
    <n v="1.7"/>
    <s v="Yes"/>
    <s v="Yes"/>
    <n v="5.8"/>
    <n v="5.4"/>
    <n v="4.5999999999999996"/>
    <n v="4.3"/>
    <n v="2.6"/>
    <n v="5.8"/>
    <n v="4.0999999999999996"/>
    <n v="5.4"/>
    <n v="2.4"/>
    <n v="2.9"/>
    <n v="7.9"/>
    <s v="Moderate"/>
    <x v="3"/>
  </r>
  <r>
    <x v="820"/>
    <n v="28"/>
    <x v="1"/>
    <x v="3"/>
    <s v="In a Relationship"/>
    <x v="1"/>
    <n v="4.5"/>
    <n v="2"/>
    <n v="4"/>
    <s v="Yes"/>
    <s v="5-30 min"/>
    <n v="57"/>
    <n v="3.2"/>
    <n v="6.6"/>
    <n v="4.9000000000000004"/>
    <n v="6.8"/>
    <s v="Yes"/>
    <s v="No"/>
    <n v="6.9"/>
    <n v="7.9"/>
    <n v="4.8"/>
    <n v="5.7"/>
    <n v="3.6"/>
    <n v="8.1999999999999993"/>
    <n v="3"/>
    <m/>
    <n v="1.6"/>
    <m/>
    <n v="6.9"/>
    <s v="Moderate"/>
    <x v="0"/>
  </r>
  <r>
    <x v="821"/>
    <n v="36"/>
    <x v="0"/>
    <x v="0"/>
    <s v="Single"/>
    <x v="3"/>
    <n v="3.8"/>
    <n v="3"/>
    <n v="5"/>
    <m/>
    <s v="Within 5 min"/>
    <n v="26"/>
    <n v="6"/>
    <n v="2.8"/>
    <n v="2.2000000000000002"/>
    <n v="5.4"/>
    <s v="Yes"/>
    <s v="No"/>
    <n v="3.6"/>
    <n v="5.6"/>
    <n v="8.6"/>
    <n v="5.2"/>
    <n v="2.9"/>
    <n v="6.5"/>
    <n v="7.4"/>
    <n v="6.5"/>
    <n v="3.1"/>
    <n v="3.5"/>
    <n v="7.1"/>
    <s v="Moderate"/>
    <x v="2"/>
  </r>
  <r>
    <x v="822"/>
    <n v="15"/>
    <x v="0"/>
    <x v="2"/>
    <m/>
    <x v="3"/>
    <n v="3.8"/>
    <n v="5"/>
    <n v="4"/>
    <s v="No"/>
    <s v="5-30 min"/>
    <n v="47"/>
    <n v="7.6"/>
    <n v="3.7"/>
    <n v="4.5"/>
    <n v="7.3"/>
    <s v="Yes"/>
    <s v="No"/>
    <n v="3.1"/>
    <m/>
    <n v="4.5999999999999996"/>
    <n v="5.7"/>
    <n v="5.8"/>
    <n v="7.7"/>
    <n v="0.4"/>
    <n v="5.4"/>
    <n v="5"/>
    <n v="3.7"/>
    <n v="7.7"/>
    <s v="Low"/>
    <x v="3"/>
  </r>
  <r>
    <x v="823"/>
    <n v="35"/>
    <x v="1"/>
    <x v="0"/>
    <s v="Single"/>
    <x v="3"/>
    <n v="3.3"/>
    <n v="4"/>
    <n v="3"/>
    <m/>
    <s v="Within 5 min"/>
    <n v="61"/>
    <n v="6.9"/>
    <n v="8"/>
    <n v="8.5"/>
    <n v="3.7"/>
    <s v="No"/>
    <s v="Yes"/>
    <n v="3.8"/>
    <n v="2.7"/>
    <n v="6.2"/>
    <n v="2.2000000000000002"/>
    <n v="10"/>
    <n v="7.7"/>
    <n v="0"/>
    <n v="7.6"/>
    <n v="2.7"/>
    <n v="1.3"/>
    <n v="5.8"/>
    <s v="Severe"/>
    <x v="4"/>
  </r>
  <r>
    <x v="824"/>
    <n v="34"/>
    <x v="2"/>
    <x v="1"/>
    <s v="In a Relationship"/>
    <x v="1"/>
    <n v="0.7"/>
    <n v="4"/>
    <n v="4"/>
    <s v="No"/>
    <s v="5-30 min"/>
    <n v="66"/>
    <n v="5.9"/>
    <n v="7.6"/>
    <n v="3.9"/>
    <n v="3.8"/>
    <s v="No"/>
    <s v="Yes"/>
    <n v="3.3"/>
    <n v="4.2"/>
    <n v="5.5"/>
    <n v="6"/>
    <n v="6"/>
    <n v="7.9"/>
    <n v="3.1"/>
    <n v="5.2"/>
    <n v="2.5"/>
    <n v="2"/>
    <n v="6.8"/>
    <s v="Low"/>
    <x v="0"/>
  </r>
  <r>
    <x v="825"/>
    <n v="22"/>
    <x v="2"/>
    <x v="2"/>
    <s v="Single"/>
    <x v="1"/>
    <n v="5.8"/>
    <n v="2"/>
    <n v="4"/>
    <m/>
    <s v="Within 5 min"/>
    <n v="55"/>
    <n v="7"/>
    <n v="3.2"/>
    <n v="4.0999999999999996"/>
    <n v="7.6"/>
    <s v="No"/>
    <s v="Yes"/>
    <n v="6.8"/>
    <n v="8.8000000000000007"/>
    <n v="6.7"/>
    <n v="8.1999999999999993"/>
    <n v="5.8"/>
    <n v="5.8"/>
    <n v="2.6"/>
    <n v="9.8000000000000007"/>
    <n v="2.9"/>
    <n v="4.9000000000000004"/>
    <n v="6"/>
    <s v="High"/>
    <x v="1"/>
  </r>
  <r>
    <x v="826"/>
    <n v="19"/>
    <x v="1"/>
    <x v="0"/>
    <s v="In a Relationship"/>
    <x v="1"/>
    <n v="2.2000000000000002"/>
    <n v="3"/>
    <n v="5"/>
    <s v="No"/>
    <s v="5-30 min"/>
    <n v="5"/>
    <n v="7.4"/>
    <n v="5.4"/>
    <n v="6.5"/>
    <n v="7.9"/>
    <s v="No"/>
    <s v="Yes"/>
    <m/>
    <n v="5.9"/>
    <n v="2.4"/>
    <n v="4.5999999999999996"/>
    <n v="2.9"/>
    <n v="8.5"/>
    <n v="4.2"/>
    <n v="5.4"/>
    <n v="2.2999999999999998"/>
    <n v="3.4"/>
    <n v="5.2"/>
    <s v="High"/>
    <x v="1"/>
  </r>
  <r>
    <x v="827"/>
    <n v="44"/>
    <x v="0"/>
    <x v="1"/>
    <s v="Married"/>
    <x v="3"/>
    <n v="7.9"/>
    <n v="7"/>
    <n v="1"/>
    <s v="No"/>
    <s v="Within 5 min"/>
    <n v="91"/>
    <n v="4"/>
    <n v="7.3"/>
    <n v="6.3"/>
    <n v="2.4"/>
    <s v="No"/>
    <s v="Yes"/>
    <n v="2.2999999999999998"/>
    <n v="2.2999999999999998"/>
    <n v="5.4"/>
    <n v="2.1"/>
    <n v="7.8"/>
    <n v="5.7"/>
    <n v="3.3"/>
    <n v="7.7"/>
    <n v="3.5"/>
    <n v="5.3"/>
    <n v="6"/>
    <s v="High"/>
    <x v="2"/>
  </r>
  <r>
    <x v="828"/>
    <n v="27"/>
    <x v="0"/>
    <x v="0"/>
    <s v="Single"/>
    <x v="2"/>
    <n v="10.5"/>
    <n v="4"/>
    <n v="3"/>
    <s v="Yes"/>
    <s v="5-30 min"/>
    <n v="87"/>
    <n v="4.0999999999999996"/>
    <n v="6.4"/>
    <n v="3"/>
    <n v="3.2"/>
    <s v="No"/>
    <s v="Yes"/>
    <n v="4.3"/>
    <n v="4.5"/>
    <n v="2"/>
    <n v="6.1"/>
    <n v="5.3"/>
    <n v="8.5"/>
    <n v="4"/>
    <n v="4.9000000000000004"/>
    <n v="5.0999999999999996"/>
    <n v="0"/>
    <n v="5.0999999999999996"/>
    <s v="Severe"/>
    <x v="0"/>
  </r>
  <r>
    <x v="829"/>
    <n v="19"/>
    <x v="1"/>
    <x v="1"/>
    <s v="Married"/>
    <x v="1"/>
    <n v="6.2"/>
    <n v="6"/>
    <n v="6"/>
    <s v="No"/>
    <s v="After 30 min"/>
    <n v="116"/>
    <n v="5.6"/>
    <n v="6.8"/>
    <n v="1.1000000000000001"/>
    <n v="5.3"/>
    <s v="Yes"/>
    <s v="No"/>
    <n v="2"/>
    <n v="5.7"/>
    <n v="0.3"/>
    <n v="9"/>
    <n v="0.3"/>
    <n v="4.9000000000000004"/>
    <n v="4.5999999999999996"/>
    <n v="3.6"/>
    <n v="4.7"/>
    <m/>
    <n v="8"/>
    <s v="Low"/>
    <x v="1"/>
  </r>
  <r>
    <x v="830"/>
    <n v="15"/>
    <x v="2"/>
    <x v="0"/>
    <s v="Single"/>
    <x v="5"/>
    <n v="5.5"/>
    <n v="2"/>
    <n v="4"/>
    <s v="No"/>
    <s v="5-30 min"/>
    <n v="81"/>
    <n v="2.9"/>
    <n v="4.3"/>
    <n v="4.8"/>
    <n v="7.3"/>
    <s v="No"/>
    <s v="Yes"/>
    <n v="5.3"/>
    <n v="2.4"/>
    <n v="4.5"/>
    <n v="3.6"/>
    <n v="6.7"/>
    <n v="5.5"/>
    <n v="7"/>
    <n v="7.7"/>
    <n v="2.2999999999999998"/>
    <n v="6.8"/>
    <n v="6.7"/>
    <s v="Moderate"/>
    <x v="3"/>
  </r>
  <r>
    <x v="831"/>
    <n v="20"/>
    <x v="0"/>
    <x v="0"/>
    <s v="In a Relationship"/>
    <x v="2"/>
    <n v="3.1"/>
    <n v="1"/>
    <n v="5"/>
    <s v="Yes"/>
    <s v="5-30 min"/>
    <n v="96"/>
    <n v="8.9"/>
    <n v="3.5"/>
    <n v="7.4"/>
    <n v="7.1"/>
    <s v="Yes"/>
    <s v="No"/>
    <n v="6.9"/>
    <n v="0"/>
    <n v="1.9"/>
    <n v="6.5"/>
    <m/>
    <n v="6.5"/>
    <n v="5.7"/>
    <n v="3.4"/>
    <n v="3.6"/>
    <n v="1.6"/>
    <n v="6.7"/>
    <s v="Moderate"/>
    <x v="1"/>
  </r>
  <r>
    <x v="832"/>
    <n v="17"/>
    <x v="1"/>
    <x v="1"/>
    <s v="Single"/>
    <x v="4"/>
    <m/>
    <n v="4"/>
    <n v="5"/>
    <s v="Yes"/>
    <s v="Within 5 min"/>
    <n v="155"/>
    <n v="5.8"/>
    <n v="8.4"/>
    <n v="5.5"/>
    <n v="4.0999999999999996"/>
    <s v="Yes"/>
    <s v="No"/>
    <n v="1.9"/>
    <n v="8.1999999999999993"/>
    <n v="8.1999999999999993"/>
    <n v="5.5"/>
    <n v="6.3"/>
    <n v="6.6"/>
    <n v="3.9"/>
    <n v="8.5"/>
    <n v="6"/>
    <n v="1.5"/>
    <n v="6.4"/>
    <s v="Moderate"/>
    <x v="3"/>
  </r>
  <r>
    <x v="833"/>
    <n v="30"/>
    <x v="1"/>
    <x v="0"/>
    <s v="In a Relationship"/>
    <x v="3"/>
    <n v="3.6"/>
    <n v="5"/>
    <n v="5"/>
    <s v="Yes"/>
    <s v="After 30 min"/>
    <n v="65"/>
    <n v="5.2"/>
    <n v="2.7"/>
    <n v="2.2000000000000002"/>
    <n v="3.5"/>
    <s v="No"/>
    <s v="Yes"/>
    <n v="4.3"/>
    <n v="7"/>
    <n v="4"/>
    <n v="6.4"/>
    <n v="4.0999999999999996"/>
    <n v="6.2"/>
    <n v="4"/>
    <n v="8.1999999999999993"/>
    <n v="3.9"/>
    <n v="4.8"/>
    <n v="7.5"/>
    <s v="Low"/>
    <x v="0"/>
  </r>
  <r>
    <x v="834"/>
    <n v="36"/>
    <x v="0"/>
    <x v="1"/>
    <s v="Single"/>
    <x v="0"/>
    <n v="6.7"/>
    <n v="3"/>
    <n v="6"/>
    <s v="No"/>
    <s v="After 30 min"/>
    <n v="102"/>
    <n v="2.4"/>
    <n v="1.6"/>
    <n v="2.4"/>
    <n v="6.2"/>
    <s v="Yes"/>
    <s v="Yes"/>
    <n v="0.2"/>
    <n v="8.5"/>
    <n v="6.8"/>
    <n v="4.5999999999999996"/>
    <n v="3"/>
    <n v="9.4"/>
    <n v="5.9"/>
    <n v="7.9"/>
    <n v="0"/>
    <n v="3.6"/>
    <n v="8.5"/>
    <s v="Low"/>
    <x v="2"/>
  </r>
  <r>
    <x v="835"/>
    <n v="37"/>
    <x v="2"/>
    <x v="3"/>
    <s v="Married"/>
    <x v="3"/>
    <n v="4.5999999999999996"/>
    <n v="3"/>
    <n v="3"/>
    <s v="No"/>
    <s v="Within 5 min"/>
    <n v="86"/>
    <n v="7"/>
    <n v="6.3"/>
    <n v="1.5"/>
    <n v="9.9"/>
    <s v="Yes"/>
    <s v="No"/>
    <n v="6.3"/>
    <n v="6.8"/>
    <n v="4.0999999999999996"/>
    <n v="5"/>
    <n v="6"/>
    <n v="8.6"/>
    <n v="1.9"/>
    <n v="6.9"/>
    <n v="1.7"/>
    <n v="3.7"/>
    <n v="7.1"/>
    <s v="Moderate"/>
    <x v="2"/>
  </r>
  <r>
    <x v="836"/>
    <n v="24"/>
    <x v="1"/>
    <x v="1"/>
    <s v="In a Relationship"/>
    <x v="3"/>
    <n v="1"/>
    <n v="5"/>
    <n v="4"/>
    <s v="No"/>
    <s v="5-30 min"/>
    <n v="22"/>
    <n v="4.3"/>
    <n v="5.8"/>
    <n v="3.1"/>
    <n v="7.9"/>
    <s v="No"/>
    <s v="Yes"/>
    <n v="7.8"/>
    <n v="9.1"/>
    <n v="6.9"/>
    <n v="3.5"/>
    <n v="2.2999999999999998"/>
    <n v="6.6"/>
    <n v="2.2999999999999998"/>
    <n v="4.5"/>
    <n v="3.3"/>
    <n v="1.6"/>
    <n v="6.4"/>
    <s v="High"/>
    <x v="1"/>
  </r>
  <r>
    <x v="837"/>
    <n v="37"/>
    <x v="1"/>
    <x v="0"/>
    <s v="In a Relationship"/>
    <x v="3"/>
    <n v="6.2"/>
    <n v="8"/>
    <n v="3"/>
    <s v="No"/>
    <s v="5-30 min"/>
    <n v="89"/>
    <n v="6.7"/>
    <n v="6"/>
    <n v="4.7"/>
    <n v="3.4"/>
    <s v="No"/>
    <s v="Yes"/>
    <n v="7.9"/>
    <n v="4.3"/>
    <n v="10"/>
    <n v="8.1999999999999993"/>
    <n v="3.6"/>
    <n v="8.1"/>
    <n v="5.3"/>
    <n v="7.5"/>
    <n v="4.9000000000000004"/>
    <n v="6.3"/>
    <n v="5.3"/>
    <s v="High"/>
    <x v="2"/>
  </r>
  <r>
    <x v="838"/>
    <n v="38"/>
    <x v="1"/>
    <x v="0"/>
    <s v="In a Relationship"/>
    <x v="1"/>
    <n v="3.4"/>
    <n v="2"/>
    <n v="8"/>
    <s v="No"/>
    <s v="Within 5 min"/>
    <n v="44"/>
    <n v="3.5"/>
    <n v="5.3"/>
    <n v="5.3"/>
    <n v="8.4"/>
    <s v="No"/>
    <s v="Yes"/>
    <n v="9.8000000000000007"/>
    <n v="5.0999999999999996"/>
    <n v="4.5999999999999996"/>
    <n v="5.8"/>
    <n v="4.0999999999999996"/>
    <n v="4.4000000000000004"/>
    <n v="2.2000000000000002"/>
    <n v="5"/>
    <n v="2.5"/>
    <m/>
    <n v="6.2"/>
    <s v="High"/>
    <x v="2"/>
  </r>
  <r>
    <x v="839"/>
    <n v="36"/>
    <x v="1"/>
    <x v="0"/>
    <s v="In a Relationship"/>
    <x v="1"/>
    <n v="6.3"/>
    <n v="4"/>
    <n v="4"/>
    <s v="Yes"/>
    <s v="5-30 min"/>
    <n v="15"/>
    <n v="0.7"/>
    <n v="4.7"/>
    <n v="5.2"/>
    <n v="5.3"/>
    <s v="Yes"/>
    <s v="No"/>
    <n v="4.0999999999999996"/>
    <n v="3.3"/>
    <n v="5.9"/>
    <m/>
    <n v="1.1000000000000001"/>
    <n v="9.6999999999999993"/>
    <n v="4.8"/>
    <n v="8"/>
    <n v="0"/>
    <n v="0"/>
    <n v="7"/>
    <s v="Moderate"/>
    <x v="2"/>
  </r>
  <r>
    <x v="840"/>
    <n v="38"/>
    <x v="1"/>
    <x v="1"/>
    <s v="Single"/>
    <x v="1"/>
    <n v="4.5"/>
    <n v="1"/>
    <n v="6"/>
    <s v="Yes"/>
    <s v="Within 5 min"/>
    <n v="8"/>
    <n v="5"/>
    <n v="3.4"/>
    <n v="7.3"/>
    <n v="3.6"/>
    <s v="Yes"/>
    <s v="Yes"/>
    <n v="7.1"/>
    <n v="5.0999999999999996"/>
    <n v="3.7"/>
    <n v="5.2"/>
    <n v="7.1"/>
    <n v="7.3"/>
    <n v="3.6"/>
    <n v="3.4"/>
    <n v="4.0999999999999996"/>
    <n v="4.5"/>
    <n v="4.8"/>
    <s v="High"/>
    <x v="2"/>
  </r>
  <r>
    <x v="841"/>
    <n v="26"/>
    <x v="1"/>
    <x v="1"/>
    <s v="Single"/>
    <x v="1"/>
    <n v="2.8"/>
    <n v="2"/>
    <n v="3"/>
    <s v="No"/>
    <s v="Within 5 min"/>
    <n v="81"/>
    <n v="7.2"/>
    <n v="8.1"/>
    <n v="6.1"/>
    <n v="4.7"/>
    <s v="Yes"/>
    <s v="No"/>
    <n v="7.1"/>
    <n v="3.5"/>
    <n v="2.1"/>
    <n v="4"/>
    <n v="1"/>
    <n v="6.3"/>
    <n v="6"/>
    <n v="7"/>
    <n v="1"/>
    <n v="1.2"/>
    <n v="5.5"/>
    <s v="High"/>
    <x v="0"/>
  </r>
  <r>
    <x v="842"/>
    <n v="35"/>
    <x v="0"/>
    <x v="1"/>
    <s v="Married"/>
    <x v="2"/>
    <n v="3.5"/>
    <n v="5"/>
    <n v="7"/>
    <s v="Yes"/>
    <s v="5-30 min"/>
    <n v="5"/>
    <n v="2"/>
    <n v="4.5999999999999996"/>
    <n v="2.5"/>
    <n v="6.5"/>
    <s v="Yes"/>
    <s v="Yes"/>
    <n v="2.4"/>
    <n v="6"/>
    <n v="7.2"/>
    <n v="7.1"/>
    <n v="10"/>
    <n v="6.5"/>
    <n v="4.7"/>
    <n v="3.1"/>
    <n v="3.6"/>
    <n v="2.5"/>
    <n v="7.6"/>
    <s v="Low"/>
    <x v="4"/>
  </r>
  <r>
    <x v="843"/>
    <n v="25"/>
    <x v="0"/>
    <x v="1"/>
    <s v="In a Relationship"/>
    <x v="4"/>
    <n v="6.1"/>
    <n v="2"/>
    <n v="6"/>
    <s v="No"/>
    <s v="5-30 min"/>
    <n v="71"/>
    <n v="4"/>
    <n v="4.2"/>
    <n v="9"/>
    <n v="7.6"/>
    <s v="Yes"/>
    <s v="No"/>
    <n v="5.8"/>
    <n v="4.8"/>
    <n v="2.4"/>
    <n v="8.3000000000000007"/>
    <n v="4.9000000000000004"/>
    <n v="8"/>
    <n v="6.2"/>
    <n v="6.1"/>
    <n v="3.5"/>
    <n v="5.4"/>
    <n v="7.3"/>
    <s v="Low"/>
    <x v="0"/>
  </r>
  <r>
    <x v="844"/>
    <n v="23"/>
    <x v="2"/>
    <x v="3"/>
    <s v="In a Relationship"/>
    <x v="5"/>
    <n v="3.3"/>
    <n v="1"/>
    <n v="3"/>
    <s v="No"/>
    <s v="Within 5 min"/>
    <n v="118"/>
    <n v="6.4"/>
    <n v="5.0999999999999996"/>
    <n v="6.6"/>
    <n v="0.9"/>
    <s v="Yes"/>
    <s v="No"/>
    <n v="4.3"/>
    <n v="7.8"/>
    <n v="4.7"/>
    <n v="6"/>
    <n v="5.7"/>
    <n v="4"/>
    <n v="4.5"/>
    <n v="4.5"/>
    <n v="2.2999999999999998"/>
    <m/>
    <n v="6.8"/>
    <s v="Moderate"/>
    <x v="1"/>
  </r>
  <r>
    <x v="845"/>
    <n v="26"/>
    <x v="3"/>
    <x v="1"/>
    <s v="In a Relationship"/>
    <x v="1"/>
    <n v="7.4"/>
    <n v="1"/>
    <n v="6"/>
    <s v="No"/>
    <s v="Within 5 min"/>
    <n v="37"/>
    <n v="4.8"/>
    <n v="3.9"/>
    <n v="1.9"/>
    <n v="4.4000000000000004"/>
    <s v="Yes"/>
    <s v="No"/>
    <m/>
    <n v="3.4"/>
    <n v="3.2"/>
    <n v="4.5"/>
    <n v="3.4"/>
    <m/>
    <n v="6.1"/>
    <n v="6"/>
    <n v="4.8"/>
    <n v="1"/>
    <n v="8"/>
    <s v="Low"/>
    <x v="0"/>
  </r>
  <r>
    <x v="846"/>
    <n v="38"/>
    <x v="0"/>
    <x v="0"/>
    <s v="Married"/>
    <x v="0"/>
    <n v="2.8"/>
    <n v="4"/>
    <n v="3"/>
    <s v="Yes"/>
    <s v="After 30 min"/>
    <n v="79"/>
    <n v="9.5"/>
    <n v="4.0999999999999996"/>
    <m/>
    <n v="4.5"/>
    <s v="No"/>
    <s v="Yes"/>
    <n v="1.3"/>
    <n v="3.6"/>
    <n v="6.7"/>
    <n v="4.5"/>
    <n v="5.4"/>
    <n v="3.9"/>
    <n v="6.1"/>
    <n v="6.9"/>
    <n v="1.8"/>
    <n v="4.7"/>
    <n v="6.8"/>
    <s v="Moderate"/>
    <x v="2"/>
  </r>
  <r>
    <x v="847"/>
    <n v="22"/>
    <x v="0"/>
    <x v="1"/>
    <s v="Single"/>
    <x v="3"/>
    <n v="7.6"/>
    <n v="3"/>
    <n v="8"/>
    <s v="No"/>
    <s v="5-30 min"/>
    <n v="53"/>
    <n v="7.5"/>
    <n v="2.1"/>
    <n v="10"/>
    <n v="3.6"/>
    <s v="Yes"/>
    <s v="Yes"/>
    <n v="4.2"/>
    <m/>
    <n v="6.8"/>
    <n v="5.9"/>
    <n v="5.0999999999999996"/>
    <n v="8.5"/>
    <n v="7.7"/>
    <n v="8.1"/>
    <n v="3.8"/>
    <n v="1.7"/>
    <n v="5.6"/>
    <s v="Severe"/>
    <x v="1"/>
  </r>
  <r>
    <x v="848"/>
    <n v="39"/>
    <x v="0"/>
    <x v="1"/>
    <s v="Married"/>
    <x v="3"/>
    <n v="1.6"/>
    <n v="4"/>
    <n v="5"/>
    <s v="No"/>
    <s v="5-30 min"/>
    <n v="91"/>
    <n v="6.1"/>
    <n v="6.6"/>
    <n v="4"/>
    <n v="4.5999999999999996"/>
    <s v="Yes"/>
    <s v="No"/>
    <n v="5.6"/>
    <n v="4.8"/>
    <n v="3.7"/>
    <n v="5.7"/>
    <n v="7.2"/>
    <n v="6.5"/>
    <n v="3.8"/>
    <n v="5.0999999999999996"/>
    <n v="3.8"/>
    <n v="4.4000000000000004"/>
    <n v="8.3000000000000007"/>
    <s v="Low"/>
    <x v="2"/>
  </r>
  <r>
    <x v="849"/>
    <n v="18"/>
    <x v="1"/>
    <x v="0"/>
    <s v="Married"/>
    <x v="1"/>
    <n v="2.2000000000000002"/>
    <n v="1"/>
    <n v="4"/>
    <s v="Yes"/>
    <s v="After 30 min"/>
    <n v="52"/>
    <n v="2.2999999999999998"/>
    <n v="7.7"/>
    <n v="7.5"/>
    <n v="9"/>
    <s v="Yes"/>
    <s v="Yes"/>
    <n v="2.9"/>
    <n v="5.9"/>
    <n v="0.1"/>
    <n v="5"/>
    <n v="9.9"/>
    <n v="5.4"/>
    <n v="0.6"/>
    <n v="4.8"/>
    <n v="2.8"/>
    <n v="6.2"/>
    <n v="6.7"/>
    <s v="Low"/>
    <x v="1"/>
  </r>
  <r>
    <x v="850"/>
    <n v="30"/>
    <x v="0"/>
    <x v="2"/>
    <s v="Single"/>
    <x v="1"/>
    <m/>
    <n v="2"/>
    <n v="2"/>
    <s v="Yes"/>
    <s v="Within 5 min"/>
    <n v="119"/>
    <n v="6"/>
    <n v="3.4"/>
    <n v="4.2"/>
    <n v="1.2"/>
    <s v="Yes"/>
    <s v="No"/>
    <n v="3.5"/>
    <n v="7"/>
    <n v="5.7"/>
    <n v="3.7"/>
    <n v="3"/>
    <n v="5.3"/>
    <n v="9.9"/>
    <n v="4.4000000000000004"/>
    <n v="1.5"/>
    <n v="0"/>
    <n v="4.5999999999999996"/>
    <s v="Severe"/>
    <x v="0"/>
  </r>
  <r>
    <x v="851"/>
    <n v="34"/>
    <x v="0"/>
    <x v="0"/>
    <s v="Single"/>
    <x v="2"/>
    <n v="7.7"/>
    <n v="4"/>
    <n v="6"/>
    <m/>
    <s v="Within 5 min"/>
    <n v="97"/>
    <n v="4.5"/>
    <n v="5.4"/>
    <n v="3.6"/>
    <n v="4.5999999999999996"/>
    <s v="No"/>
    <s v="No"/>
    <n v="4.4000000000000004"/>
    <n v="3.1"/>
    <n v="5.6"/>
    <n v="6.5"/>
    <n v="5.7"/>
    <n v="5.9"/>
    <n v="6.8"/>
    <n v="5.5"/>
    <n v="3.4"/>
    <n v="0.9"/>
    <n v="4.5999999999999996"/>
    <s v="Severe"/>
    <x v="0"/>
  </r>
  <r>
    <x v="852"/>
    <n v="22"/>
    <x v="1"/>
    <x v="1"/>
    <s v="Married"/>
    <x v="1"/>
    <n v="3.9"/>
    <n v="1"/>
    <n v="3"/>
    <s v="No"/>
    <s v="Within 5 min"/>
    <n v="87"/>
    <m/>
    <n v="6.6"/>
    <n v="5.4"/>
    <n v="4"/>
    <s v="Yes"/>
    <s v="Yes"/>
    <n v="5"/>
    <n v="3.9"/>
    <n v="5.8"/>
    <m/>
    <n v="5.0999999999999996"/>
    <n v="9.6999999999999993"/>
    <n v="6.3"/>
    <n v="5.3"/>
    <n v="1.9"/>
    <n v="5.2"/>
    <n v="6.2"/>
    <s v="Moderate"/>
    <x v="1"/>
  </r>
  <r>
    <x v="853"/>
    <n v="31"/>
    <x v="0"/>
    <x v="0"/>
    <s v="Single"/>
    <x v="4"/>
    <n v="6.2"/>
    <n v="2"/>
    <n v="2"/>
    <s v="No"/>
    <s v="Within 5 min"/>
    <n v="37"/>
    <n v="9.1999999999999993"/>
    <n v="6.2"/>
    <n v="5.9"/>
    <n v="6.9"/>
    <s v="No"/>
    <s v="Yes"/>
    <n v="10"/>
    <n v="5.6"/>
    <n v="4.0999999999999996"/>
    <n v="3.7"/>
    <n v="7.1"/>
    <n v="7.2"/>
    <n v="5.2"/>
    <n v="5.8"/>
    <n v="6.2"/>
    <n v="0.4"/>
    <n v="4.3"/>
    <s v="Severe"/>
    <x v="0"/>
  </r>
  <r>
    <x v="854"/>
    <n v="31"/>
    <x v="1"/>
    <x v="1"/>
    <s v="Single"/>
    <x v="1"/>
    <n v="2.5"/>
    <n v="6"/>
    <n v="5"/>
    <s v="Yes"/>
    <s v="Within 5 min"/>
    <n v="5"/>
    <n v="3.1"/>
    <n v="6.1"/>
    <n v="8.9"/>
    <n v="4.8"/>
    <s v="Yes"/>
    <s v="Yes"/>
    <n v="8.1"/>
    <n v="2.4"/>
    <n v="4.5"/>
    <n v="6.8"/>
    <n v="5.2"/>
    <n v="6.3"/>
    <n v="3"/>
    <n v="5.3"/>
    <n v="1.6"/>
    <n v="4.0999999999999996"/>
    <n v="5.7"/>
    <s v="High"/>
    <x v="0"/>
  </r>
  <r>
    <x v="855"/>
    <n v="21"/>
    <x v="1"/>
    <x v="4"/>
    <s v="Single"/>
    <x v="0"/>
    <n v="2.2999999999999998"/>
    <n v="1"/>
    <n v="4"/>
    <s v="Yes"/>
    <s v="5-30 min"/>
    <n v="110"/>
    <n v="6.7"/>
    <n v="3.3"/>
    <n v="5.0999999999999996"/>
    <n v="7.1"/>
    <s v="No"/>
    <s v="No"/>
    <n v="4.3"/>
    <n v="1.2"/>
    <n v="8.6"/>
    <n v="5.7"/>
    <n v="3.8"/>
    <n v="5.4"/>
    <n v="5.6"/>
    <n v="5"/>
    <n v="3.2"/>
    <n v="6.8"/>
    <n v="6.1"/>
    <s v="Moderate"/>
    <x v="1"/>
  </r>
  <r>
    <x v="856"/>
    <n v="22"/>
    <x v="0"/>
    <x v="1"/>
    <s v="Single"/>
    <x v="3"/>
    <n v="4.5"/>
    <n v="3"/>
    <n v="4"/>
    <s v="No"/>
    <s v="Within 5 min"/>
    <n v="51"/>
    <n v="5.2"/>
    <n v="3.7"/>
    <n v="5.4"/>
    <n v="3.3"/>
    <s v="No"/>
    <s v="No"/>
    <m/>
    <n v="6.9"/>
    <n v="3.4"/>
    <n v="7.2"/>
    <n v="4.2"/>
    <n v="7.3"/>
    <n v="1.4"/>
    <n v="2.1"/>
    <n v="0.4"/>
    <n v="4.3"/>
    <n v="7.3"/>
    <s v="Low"/>
    <x v="1"/>
  </r>
  <r>
    <x v="857"/>
    <n v="28"/>
    <x v="3"/>
    <x v="3"/>
    <s v="Single"/>
    <x v="4"/>
    <n v="9.1"/>
    <n v="3"/>
    <n v="5"/>
    <s v="Yes"/>
    <s v="5-30 min"/>
    <n v="63"/>
    <n v="3.9"/>
    <n v="8.6999999999999993"/>
    <n v="10"/>
    <n v="9"/>
    <s v="Yes"/>
    <s v="Yes"/>
    <n v="0"/>
    <n v="4.9000000000000004"/>
    <n v="4.0999999999999996"/>
    <n v="4.0999999999999996"/>
    <n v="4.8"/>
    <n v="6.1"/>
    <n v="3.6"/>
    <n v="6.3"/>
    <n v="3.2"/>
    <n v="6.5"/>
    <n v="5.0999999999999996"/>
    <s v="Severe"/>
    <x v="0"/>
  </r>
  <r>
    <x v="858"/>
    <n v="31"/>
    <x v="3"/>
    <x v="1"/>
    <s v="Single"/>
    <x v="1"/>
    <n v="3.9"/>
    <n v="1"/>
    <n v="6"/>
    <s v="Yes"/>
    <s v="Within 5 min"/>
    <n v="53"/>
    <n v="6.6"/>
    <n v="7.2"/>
    <m/>
    <n v="9"/>
    <s v="Yes"/>
    <s v="Yes"/>
    <n v="8.4"/>
    <n v="5.4"/>
    <n v="0.9"/>
    <n v="7.6"/>
    <n v="3.3"/>
    <n v="4.7"/>
    <n v="4.4000000000000004"/>
    <n v="7.5"/>
    <n v="4.5"/>
    <n v="4.7"/>
    <n v="3.7"/>
    <s v="Severe"/>
    <x v="0"/>
  </r>
  <r>
    <x v="859"/>
    <n v="43"/>
    <x v="1"/>
    <x v="1"/>
    <s v="In a Relationship"/>
    <x v="2"/>
    <n v="1"/>
    <n v="3"/>
    <n v="3"/>
    <s v="No"/>
    <s v="After 30 min"/>
    <n v="54"/>
    <n v="6.4"/>
    <n v="7.1"/>
    <n v="2.4"/>
    <n v="5.5"/>
    <s v="No"/>
    <s v="Yes"/>
    <n v="6.2"/>
    <n v="1.4"/>
    <n v="6.2"/>
    <n v="4.5999999999999996"/>
    <m/>
    <n v="7.3"/>
    <n v="7"/>
    <n v="8.4"/>
    <n v="2"/>
    <n v="5.8"/>
    <n v="7.3"/>
    <s v="Low"/>
    <x v="2"/>
  </r>
  <r>
    <x v="860"/>
    <n v="17"/>
    <x v="0"/>
    <x v="0"/>
    <s v="Married"/>
    <x v="0"/>
    <n v="0.5"/>
    <n v="8"/>
    <n v="3"/>
    <s v="No"/>
    <s v="After 30 min"/>
    <n v="13"/>
    <n v="6.5"/>
    <n v="2.4"/>
    <n v="4.4000000000000004"/>
    <n v="7.8"/>
    <s v="No"/>
    <s v="Yes"/>
    <n v="5.8"/>
    <n v="4.5999999999999996"/>
    <n v="7.5"/>
    <n v="8.1999999999999993"/>
    <n v="5.9"/>
    <n v="7.4"/>
    <n v="4.7"/>
    <n v="4.3"/>
    <n v="3.5"/>
    <n v="1.6"/>
    <n v="7.7"/>
    <s v="Low"/>
    <x v="3"/>
  </r>
  <r>
    <x v="861"/>
    <n v="22"/>
    <x v="2"/>
    <x v="1"/>
    <s v="Married"/>
    <x v="4"/>
    <n v="4.3"/>
    <n v="3"/>
    <n v="2"/>
    <s v="No"/>
    <s v="Within 5 min"/>
    <n v="56"/>
    <n v="6.9"/>
    <n v="2.5"/>
    <n v="4.9000000000000004"/>
    <n v="7"/>
    <s v="Yes"/>
    <s v="Yes"/>
    <n v="5.0999999999999996"/>
    <n v="1.3"/>
    <n v="4.3"/>
    <n v="8.1"/>
    <n v="7.7"/>
    <n v="8.6999999999999993"/>
    <n v="6.3"/>
    <n v="9"/>
    <n v="4.5"/>
    <n v="5.7"/>
    <n v="7"/>
    <s v="Moderate"/>
    <x v="1"/>
  </r>
  <r>
    <x v="862"/>
    <n v="19"/>
    <x v="0"/>
    <x v="1"/>
    <s v="Married"/>
    <x v="1"/>
    <m/>
    <n v="2"/>
    <n v="4"/>
    <s v="Yes"/>
    <s v="After 30 min"/>
    <n v="95"/>
    <n v="5.8"/>
    <n v="6.8"/>
    <n v="3.9"/>
    <n v="6.7"/>
    <s v="Yes"/>
    <s v="No"/>
    <n v="2.7"/>
    <n v="3.7"/>
    <n v="3.6"/>
    <n v="5.0999999999999996"/>
    <n v="7.4"/>
    <n v="7"/>
    <n v="6.4"/>
    <n v="3"/>
    <n v="7.2"/>
    <n v="3.8"/>
    <n v="6.8"/>
    <s v="Moderate"/>
    <x v="1"/>
  </r>
  <r>
    <x v="863"/>
    <n v="17"/>
    <x v="0"/>
    <x v="1"/>
    <s v="Married"/>
    <x v="0"/>
    <n v="3.7"/>
    <n v="3"/>
    <n v="3"/>
    <s v="Yes"/>
    <s v="5-30 min"/>
    <n v="76"/>
    <n v="5.4"/>
    <n v="7"/>
    <n v="2.2999999999999998"/>
    <n v="0.6"/>
    <s v="Yes"/>
    <s v="No"/>
    <n v="3.3"/>
    <n v="4.7"/>
    <n v="4.4000000000000004"/>
    <n v="3.1"/>
    <m/>
    <n v="7.9"/>
    <n v="5.5"/>
    <n v="2.9"/>
    <n v="2.6"/>
    <n v="4.8"/>
    <n v="8.1"/>
    <s v="Low"/>
    <x v="3"/>
  </r>
  <r>
    <x v="864"/>
    <n v="44"/>
    <x v="1"/>
    <x v="3"/>
    <s v="Single"/>
    <x v="0"/>
    <n v="4.8"/>
    <n v="5"/>
    <n v="4"/>
    <s v="No"/>
    <s v="After 30 min"/>
    <n v="48"/>
    <n v="4.5"/>
    <n v="5.9"/>
    <n v="4.2"/>
    <n v="3.9"/>
    <s v="Yes"/>
    <s v="No"/>
    <n v="5.0999999999999996"/>
    <n v="0.9"/>
    <n v="3.2"/>
    <n v="8.6"/>
    <n v="9.1999999999999993"/>
    <n v="5.0999999999999996"/>
    <n v="6.7"/>
    <n v="7.5"/>
    <n v="3.8"/>
    <m/>
    <n v="9.5"/>
    <s v="Low"/>
    <x v="2"/>
  </r>
  <r>
    <x v="865"/>
    <n v="20"/>
    <x v="2"/>
    <x v="2"/>
    <s v="Married"/>
    <x v="1"/>
    <n v="2.8"/>
    <n v="2"/>
    <n v="3"/>
    <s v="Yes"/>
    <s v="After 30 min"/>
    <n v="66"/>
    <n v="7.2"/>
    <n v="5.0999999999999996"/>
    <n v="3.8"/>
    <n v="3.1"/>
    <s v="No"/>
    <s v="Yes"/>
    <n v="6.8"/>
    <n v="8"/>
    <n v="4.9000000000000004"/>
    <n v="5.3"/>
    <n v="5.3"/>
    <n v="7.7"/>
    <n v="8.1999999999999993"/>
    <n v="4.4000000000000004"/>
    <n v="3.7"/>
    <n v="3.4"/>
    <n v="5.9"/>
    <s v="Moderate"/>
    <x v="1"/>
  </r>
  <r>
    <x v="866"/>
    <n v="28"/>
    <x v="0"/>
    <x v="2"/>
    <s v="In a Relationship"/>
    <x v="0"/>
    <n v="7.2"/>
    <n v="3"/>
    <n v="2"/>
    <s v="Yes"/>
    <s v="Within 5 min"/>
    <n v="24"/>
    <n v="3.2"/>
    <n v="5.9"/>
    <n v="4.9000000000000004"/>
    <n v="6"/>
    <s v="No"/>
    <s v="No"/>
    <n v="4.4000000000000004"/>
    <n v="5.6"/>
    <m/>
    <n v="6.1"/>
    <n v="0.5"/>
    <n v="8.8000000000000007"/>
    <n v="5.9"/>
    <n v="4"/>
    <n v="5.3"/>
    <n v="2.6"/>
    <n v="6"/>
    <s v="High"/>
    <x v="0"/>
  </r>
  <r>
    <x v="867"/>
    <n v="39"/>
    <x v="0"/>
    <x v="1"/>
    <s v="Single"/>
    <x v="4"/>
    <n v="5.5"/>
    <n v="4"/>
    <n v="0"/>
    <s v="No"/>
    <s v="5-30 min"/>
    <n v="62"/>
    <n v="1.1000000000000001"/>
    <n v="3"/>
    <n v="5.2"/>
    <n v="5.6"/>
    <s v="No"/>
    <s v="Yes"/>
    <n v="7.1"/>
    <n v="1.3"/>
    <n v="5"/>
    <n v="7.6"/>
    <n v="6.5"/>
    <n v="8.6999999999999993"/>
    <n v="9.4"/>
    <n v="5.4"/>
    <n v="1.5"/>
    <n v="5.7"/>
    <n v="7"/>
    <s v="Moderate"/>
    <x v="2"/>
  </r>
  <r>
    <x v="868"/>
    <n v="15"/>
    <x v="1"/>
    <x v="3"/>
    <s v="Single"/>
    <x v="0"/>
    <n v="1.4"/>
    <n v="5"/>
    <n v="3"/>
    <s v="Yes"/>
    <s v="Within 5 min"/>
    <n v="71"/>
    <n v="5.7"/>
    <n v="4.8"/>
    <n v="2.6"/>
    <n v="5.7"/>
    <s v="Yes"/>
    <s v="No"/>
    <n v="5.2"/>
    <n v="1.7"/>
    <n v="6.9"/>
    <n v="5.9"/>
    <n v="7"/>
    <n v="4.9000000000000004"/>
    <n v="3.8"/>
    <n v="8.1"/>
    <n v="2.7"/>
    <n v="3.4"/>
    <n v="6.5"/>
    <s v="Moderate"/>
    <x v="3"/>
  </r>
  <r>
    <x v="869"/>
    <n v="36"/>
    <x v="2"/>
    <x v="1"/>
    <s v="Single"/>
    <x v="3"/>
    <n v="3.1"/>
    <n v="4"/>
    <n v="1"/>
    <s v="No"/>
    <s v="Within 5 min"/>
    <n v="50"/>
    <n v="5.9"/>
    <n v="5.4"/>
    <n v="1.9"/>
    <n v="3.6"/>
    <s v="No"/>
    <s v="Yes"/>
    <n v="7.2"/>
    <n v="4.4000000000000004"/>
    <n v="1"/>
    <n v="2.7"/>
    <n v="4.9000000000000004"/>
    <n v="5.8"/>
    <n v="6.3"/>
    <n v="3.9"/>
    <n v="1.8"/>
    <n v="5.9"/>
    <n v="6.4"/>
    <s v="Moderate"/>
    <x v="2"/>
  </r>
  <r>
    <x v="870"/>
    <n v="18"/>
    <x v="1"/>
    <x v="0"/>
    <s v="Single"/>
    <x v="2"/>
    <m/>
    <n v="4"/>
    <n v="5"/>
    <s v="Yes"/>
    <s v="Within 5 min"/>
    <n v="54"/>
    <n v="2.4"/>
    <n v="10"/>
    <n v="3.8"/>
    <n v="8"/>
    <s v="No"/>
    <s v="Yes"/>
    <n v="7.1"/>
    <n v="2.8"/>
    <n v="7"/>
    <n v="6.6"/>
    <n v="6.3"/>
    <n v="7.3"/>
    <n v="7.5"/>
    <n v="6.6"/>
    <n v="0"/>
    <n v="6.3"/>
    <n v="4.4000000000000004"/>
    <s v="Severe"/>
    <x v="1"/>
  </r>
  <r>
    <x v="871"/>
    <n v="26"/>
    <x v="2"/>
    <x v="0"/>
    <s v="Single"/>
    <x v="1"/>
    <n v="4.4000000000000004"/>
    <n v="2"/>
    <n v="4"/>
    <s v="Yes"/>
    <s v="Within 5 min"/>
    <n v="23"/>
    <n v="4.9000000000000004"/>
    <n v="4.5999999999999996"/>
    <n v="5.5"/>
    <n v="4.7"/>
    <s v="Yes"/>
    <s v="No"/>
    <n v="3.4"/>
    <n v="5.5"/>
    <n v="0.8"/>
    <n v="5.6"/>
    <n v="2.8"/>
    <n v="6.1"/>
    <n v="6.6"/>
    <n v="6.4"/>
    <n v="3"/>
    <n v="2.1"/>
    <n v="7.7"/>
    <s v="Low"/>
    <x v="0"/>
  </r>
  <r>
    <x v="872"/>
    <n v="30"/>
    <x v="0"/>
    <x v="0"/>
    <s v="Single"/>
    <x v="1"/>
    <n v="0.5"/>
    <n v="4"/>
    <n v="4"/>
    <s v="No"/>
    <s v="5-30 min"/>
    <n v="87"/>
    <m/>
    <n v="7.5"/>
    <n v="7"/>
    <n v="4.8"/>
    <s v="Yes"/>
    <s v="Yes"/>
    <n v="2.6"/>
    <n v="6"/>
    <n v="6.1"/>
    <n v="4.2"/>
    <m/>
    <n v="7.7"/>
    <n v="4.5999999999999996"/>
    <n v="7.2"/>
    <n v="3.7"/>
    <n v="2.9"/>
    <n v="5.6"/>
    <s v="High"/>
    <x v="0"/>
  </r>
  <r>
    <x v="873"/>
    <n v="41"/>
    <x v="2"/>
    <x v="2"/>
    <s v="Single"/>
    <x v="1"/>
    <n v="3.6"/>
    <n v="1"/>
    <n v="2"/>
    <s v="Yes"/>
    <s v="5-30 min"/>
    <n v="17"/>
    <n v="2.7"/>
    <n v="5.3"/>
    <m/>
    <n v="5.0999999999999996"/>
    <s v="No"/>
    <s v="Yes"/>
    <n v="6.5"/>
    <n v="4.8"/>
    <n v="4.8"/>
    <n v="3.5"/>
    <n v="4.5999999999999996"/>
    <n v="5.8"/>
    <n v="0.4"/>
    <n v="6.4"/>
    <n v="2.1"/>
    <n v="2.9"/>
    <n v="5.4"/>
    <s v="High"/>
    <x v="2"/>
  </r>
  <r>
    <x v="874"/>
    <n v="44"/>
    <x v="0"/>
    <x v="4"/>
    <s v="Single"/>
    <x v="2"/>
    <n v="3.3"/>
    <n v="7"/>
    <n v="4"/>
    <s v="No"/>
    <s v="5-30 min"/>
    <n v="145"/>
    <n v="6.8"/>
    <n v="7.8"/>
    <n v="6.2"/>
    <n v="6.1"/>
    <s v="No"/>
    <s v="Yes"/>
    <n v="5.0999999999999996"/>
    <n v="7"/>
    <n v="4"/>
    <n v="2.2999999999999998"/>
    <n v="6.8"/>
    <n v="7.1"/>
    <n v="5.8"/>
    <n v="4.9000000000000004"/>
    <n v="4.9000000000000004"/>
    <n v="2.8"/>
    <n v="4.3"/>
    <s v="Severe"/>
    <x v="2"/>
  </r>
  <r>
    <x v="875"/>
    <n v="30"/>
    <x v="1"/>
    <x v="0"/>
    <s v="Single"/>
    <x v="1"/>
    <n v="0.5"/>
    <n v="2"/>
    <n v="3"/>
    <s v="No"/>
    <s v="5-30 min"/>
    <n v="72"/>
    <n v="3.2"/>
    <n v="8.1"/>
    <n v="2.8"/>
    <n v="2.2000000000000002"/>
    <s v="Yes"/>
    <s v="Yes"/>
    <n v="5.6"/>
    <n v="4.5999999999999996"/>
    <n v="6.2"/>
    <m/>
    <n v="4.7"/>
    <n v="10"/>
    <n v="3.2"/>
    <n v="2.9"/>
    <m/>
    <n v="2.2999999999999998"/>
    <n v="8"/>
    <s v="Low"/>
    <x v="0"/>
  </r>
  <r>
    <x v="876"/>
    <n v="19"/>
    <x v="2"/>
    <x v="0"/>
    <s v="In a Relationship"/>
    <x v="3"/>
    <n v="5.4"/>
    <n v="4"/>
    <n v="3"/>
    <s v="Yes"/>
    <s v="Within 5 min"/>
    <n v="86"/>
    <n v="5.2"/>
    <n v="6.9"/>
    <n v="5.2"/>
    <n v="8.8000000000000007"/>
    <s v="Yes"/>
    <s v="Yes"/>
    <n v="7.6"/>
    <n v="6.3"/>
    <n v="2.2999999999999998"/>
    <n v="5.5"/>
    <n v="7.2"/>
    <n v="5.5"/>
    <n v="5.9"/>
    <n v="10"/>
    <n v="2.2999999999999998"/>
    <n v="2"/>
    <n v="4.9000000000000004"/>
    <s v="High"/>
    <x v="1"/>
  </r>
  <r>
    <x v="877"/>
    <n v="36"/>
    <x v="0"/>
    <x v="0"/>
    <s v="Single"/>
    <x v="0"/>
    <m/>
    <n v="1"/>
    <n v="11"/>
    <s v="No"/>
    <s v="5-30 min"/>
    <n v="41"/>
    <n v="8.1999999999999993"/>
    <n v="8.1"/>
    <n v="0.6"/>
    <n v="4.9000000000000004"/>
    <m/>
    <s v="Yes"/>
    <n v="8.8000000000000007"/>
    <n v="0"/>
    <n v="3.2"/>
    <n v="4.3"/>
    <n v="3.6"/>
    <n v="4.7"/>
    <n v="7.7"/>
    <n v="5.7"/>
    <n v="3.4"/>
    <n v="5.4"/>
    <n v="6"/>
    <s v="High"/>
    <x v="2"/>
  </r>
  <r>
    <x v="878"/>
    <n v="29"/>
    <x v="1"/>
    <x v="1"/>
    <s v="Single"/>
    <x v="3"/>
    <n v="3.2"/>
    <n v="2"/>
    <n v="3"/>
    <s v="Yes"/>
    <s v="After 30 min"/>
    <n v="52"/>
    <m/>
    <n v="3.8"/>
    <n v="5.3"/>
    <n v="6.7"/>
    <s v="Yes"/>
    <s v="Yes"/>
    <n v="4.9000000000000004"/>
    <n v="4.5"/>
    <n v="3.3"/>
    <n v="4.5"/>
    <n v="6.2"/>
    <n v="6.2"/>
    <n v="4.8"/>
    <n v="4.3"/>
    <n v="5.5"/>
    <n v="2.2999999999999998"/>
    <n v="5.5"/>
    <s v="High"/>
    <x v="0"/>
  </r>
  <r>
    <x v="879"/>
    <n v="42"/>
    <x v="1"/>
    <x v="1"/>
    <s v="Married"/>
    <x v="1"/>
    <m/>
    <n v="1"/>
    <n v="3"/>
    <s v="No"/>
    <s v="5-30 min"/>
    <n v="11"/>
    <n v="6.4"/>
    <n v="3.6"/>
    <n v="2.8"/>
    <n v="4.0999999999999996"/>
    <s v="Yes"/>
    <s v="Yes"/>
    <n v="2.1"/>
    <n v="6"/>
    <n v="2.8"/>
    <n v="4.7"/>
    <n v="5.7"/>
    <n v="6"/>
    <n v="6.2"/>
    <n v="8.1999999999999993"/>
    <n v="2.2000000000000002"/>
    <n v="7.9"/>
    <n v="8.8000000000000007"/>
    <s v="Low"/>
    <x v="2"/>
  </r>
  <r>
    <x v="880"/>
    <n v="27"/>
    <x v="0"/>
    <x v="1"/>
    <s v="Single"/>
    <x v="1"/>
    <n v="3.9"/>
    <n v="2"/>
    <n v="6"/>
    <s v="No"/>
    <s v="5-30 min"/>
    <n v="20"/>
    <n v="5.2"/>
    <n v="7.4"/>
    <n v="2.6"/>
    <n v="3.2"/>
    <s v="Yes"/>
    <s v="No"/>
    <n v="3.7"/>
    <n v="2.2000000000000002"/>
    <n v="6"/>
    <n v="5.2"/>
    <n v="5.3"/>
    <n v="6.1"/>
    <n v="1.1000000000000001"/>
    <m/>
    <n v="1.2"/>
    <n v="3.4"/>
    <n v="7.8"/>
    <s v="Low"/>
    <x v="0"/>
  </r>
  <r>
    <x v="881"/>
    <n v="39"/>
    <x v="0"/>
    <x v="2"/>
    <s v="Married"/>
    <x v="1"/>
    <n v="3.3"/>
    <n v="2"/>
    <n v="3"/>
    <s v="Yes"/>
    <s v="After 30 min"/>
    <n v="114"/>
    <n v="6.7"/>
    <n v="6.7"/>
    <n v="7.2"/>
    <n v="6.3"/>
    <s v="Yes"/>
    <s v="Yes"/>
    <n v="3.4"/>
    <n v="2"/>
    <n v="5.8"/>
    <n v="5.6"/>
    <n v="6.5"/>
    <n v="6.9"/>
    <n v="5.9"/>
    <n v="7.7"/>
    <n v="2.7"/>
    <n v="2.5"/>
    <n v="6.4"/>
    <s v="High"/>
    <x v="2"/>
  </r>
  <r>
    <x v="882"/>
    <n v="25"/>
    <x v="1"/>
    <x v="3"/>
    <s v="In a Relationship"/>
    <x v="3"/>
    <n v="4.2"/>
    <n v="5"/>
    <n v="3"/>
    <s v="No"/>
    <s v="5-30 min"/>
    <n v="108"/>
    <n v="3.9"/>
    <n v="3.5"/>
    <n v="5"/>
    <n v="4.7"/>
    <s v="Yes"/>
    <s v="No"/>
    <n v="0.3"/>
    <n v="7.5"/>
    <n v="4.9000000000000004"/>
    <n v="3.3"/>
    <n v="5"/>
    <n v="4.2"/>
    <n v="7.1"/>
    <n v="9.6999999999999993"/>
    <n v="1.8"/>
    <n v="1.3"/>
    <n v="6.9"/>
    <s v="Low"/>
    <x v="0"/>
  </r>
  <r>
    <x v="883"/>
    <n v="42"/>
    <x v="0"/>
    <x v="1"/>
    <s v="Single"/>
    <x v="2"/>
    <n v="5.5"/>
    <n v="4"/>
    <n v="4"/>
    <s v="Yes"/>
    <s v="Within 5 min"/>
    <n v="79"/>
    <n v="5.5"/>
    <n v="5.2"/>
    <n v="4.3"/>
    <n v="3.1"/>
    <s v="Yes"/>
    <s v="Yes"/>
    <n v="7"/>
    <n v="7.2"/>
    <m/>
    <m/>
    <n v="7.5"/>
    <n v="7.9"/>
    <n v="1.4"/>
    <n v="4.4000000000000004"/>
    <n v="3.9"/>
    <n v="1.5"/>
    <n v="5.6"/>
    <s v="High"/>
    <x v="2"/>
  </r>
  <r>
    <x v="884"/>
    <n v="15"/>
    <x v="1"/>
    <x v="2"/>
    <s v="Single"/>
    <x v="3"/>
    <m/>
    <n v="3"/>
    <n v="2"/>
    <s v="No"/>
    <s v="5-30 min"/>
    <n v="47"/>
    <n v="3.6"/>
    <n v="8.6999999999999993"/>
    <n v="2.9"/>
    <n v="0"/>
    <s v="No"/>
    <s v="Yes"/>
    <n v="3.4"/>
    <n v="3.4"/>
    <n v="1.8"/>
    <n v="5.0999999999999996"/>
    <n v="5.8"/>
    <n v="4.9000000000000004"/>
    <n v="6.6"/>
    <n v="5.8"/>
    <n v="0"/>
    <m/>
    <n v="7.7"/>
    <s v="Low"/>
    <x v="3"/>
  </r>
  <r>
    <x v="885"/>
    <n v="36"/>
    <x v="0"/>
    <x v="1"/>
    <s v="Married"/>
    <x v="3"/>
    <n v="3.6"/>
    <n v="5"/>
    <n v="3"/>
    <s v="No"/>
    <s v="5-30 min"/>
    <n v="32"/>
    <n v="6.8"/>
    <n v="4.3"/>
    <n v="8.9"/>
    <n v="6.4"/>
    <s v="Yes"/>
    <s v="No"/>
    <n v="3.3"/>
    <n v="6.7"/>
    <n v="7.1"/>
    <n v="7.2"/>
    <n v="8"/>
    <n v="8.4"/>
    <n v="4.2"/>
    <n v="5.0999999999999996"/>
    <n v="3.8"/>
    <n v="0"/>
    <n v="7.6"/>
    <s v="Moderate"/>
    <x v="2"/>
  </r>
  <r>
    <x v="886"/>
    <n v="40"/>
    <x v="0"/>
    <x v="1"/>
    <s v="Single"/>
    <x v="5"/>
    <n v="8.4"/>
    <n v="2"/>
    <n v="2"/>
    <s v="No"/>
    <s v="After 30 min"/>
    <n v="74"/>
    <n v="7.9"/>
    <n v="5.4"/>
    <n v="8.6"/>
    <n v="7.4"/>
    <s v="Yes"/>
    <s v="Yes"/>
    <n v="5.6"/>
    <n v="8.6"/>
    <n v="1.5"/>
    <n v="6.1"/>
    <n v="3"/>
    <n v="6.9"/>
    <n v="4.5999999999999996"/>
    <n v="5.5"/>
    <n v="3"/>
    <n v="5"/>
    <n v="5.4"/>
    <s v="High"/>
    <x v="2"/>
  </r>
  <r>
    <x v="887"/>
    <n v="28"/>
    <x v="0"/>
    <x v="1"/>
    <s v="Single"/>
    <x v="3"/>
    <n v="4"/>
    <n v="3"/>
    <n v="1"/>
    <s v="No"/>
    <s v="5-30 min"/>
    <n v="5"/>
    <n v="8.1"/>
    <n v="6.7"/>
    <n v="5.0999999999999996"/>
    <n v="2.6"/>
    <s v="Yes"/>
    <s v="No"/>
    <n v="4.3"/>
    <n v="3.8"/>
    <n v="5.2"/>
    <n v="4.8"/>
    <m/>
    <n v="4.2"/>
    <n v="6.1"/>
    <n v="4.7"/>
    <n v="1.9"/>
    <n v="4.5"/>
    <n v="6.5"/>
    <s v="Moderate"/>
    <x v="0"/>
  </r>
  <r>
    <x v="888"/>
    <n v="18"/>
    <x v="1"/>
    <x v="0"/>
    <s v="In a Relationship"/>
    <x v="4"/>
    <n v="4.5"/>
    <n v="1"/>
    <n v="5"/>
    <s v="Yes"/>
    <s v="5-30 min"/>
    <n v="136"/>
    <n v="4.5"/>
    <n v="4.9000000000000004"/>
    <n v="7.8"/>
    <n v="5"/>
    <s v="Yes"/>
    <s v="Yes"/>
    <n v="6.6"/>
    <n v="6"/>
    <n v="3.9"/>
    <n v="2.1"/>
    <n v="6.3"/>
    <n v="6.7"/>
    <n v="4.9000000000000004"/>
    <n v="1.3"/>
    <n v="3"/>
    <n v="2"/>
    <n v="4.0999999999999996"/>
    <s v="Severe"/>
    <x v="1"/>
  </r>
  <r>
    <x v="889"/>
    <n v="20"/>
    <x v="0"/>
    <x v="3"/>
    <s v="Single"/>
    <x v="2"/>
    <n v="5"/>
    <n v="2"/>
    <n v="3"/>
    <s v="No"/>
    <s v="Within 5 min"/>
    <n v="48"/>
    <n v="1"/>
    <n v="5.8"/>
    <n v="3.9"/>
    <n v="2.6"/>
    <s v="Yes"/>
    <s v="No"/>
    <n v="5.6"/>
    <n v="4.5999999999999996"/>
    <n v="2.9"/>
    <n v="7.6"/>
    <n v="5.6"/>
    <n v="5.9"/>
    <n v="3.3"/>
    <n v="7.2"/>
    <n v="2.2999999999999998"/>
    <n v="0.5"/>
    <n v="8.3000000000000007"/>
    <s v="Low"/>
    <x v="1"/>
  </r>
  <r>
    <x v="890"/>
    <n v="15"/>
    <x v="0"/>
    <x v="3"/>
    <s v="Single"/>
    <x v="1"/>
    <m/>
    <n v="2"/>
    <n v="3"/>
    <s v="No"/>
    <s v="Within 5 min"/>
    <n v="118"/>
    <n v="0.1"/>
    <n v="8.4"/>
    <n v="3.9"/>
    <n v="10"/>
    <s v="No"/>
    <s v="Yes"/>
    <n v="3"/>
    <n v="3.5"/>
    <n v="3.8"/>
    <n v="3.5"/>
    <n v="5.8"/>
    <n v="5.2"/>
    <n v="4.7"/>
    <n v="7.1"/>
    <n v="0"/>
    <n v="2.4"/>
    <n v="5.4"/>
    <s v="High"/>
    <x v="3"/>
  </r>
  <r>
    <x v="891"/>
    <n v="28"/>
    <x v="1"/>
    <x v="1"/>
    <s v="In a Relationship"/>
    <x v="3"/>
    <n v="1.3"/>
    <n v="2"/>
    <n v="7"/>
    <s v="Yes"/>
    <s v="Within 5 min"/>
    <n v="122"/>
    <n v="3.8"/>
    <n v="2.1"/>
    <n v="6.8"/>
    <n v="4.5999999999999996"/>
    <s v="Yes"/>
    <s v="No"/>
    <n v="8.6999999999999993"/>
    <n v="4.3"/>
    <n v="3.4"/>
    <n v="5.8"/>
    <n v="8.1"/>
    <n v="7"/>
    <n v="6.3"/>
    <n v="8"/>
    <n v="2.4"/>
    <n v="1.8"/>
    <n v="6.4"/>
    <s v="Moderate"/>
    <x v="0"/>
  </r>
  <r>
    <x v="892"/>
    <n v="32"/>
    <x v="0"/>
    <x v="1"/>
    <s v="Single"/>
    <x v="5"/>
    <n v="9.3000000000000007"/>
    <n v="4"/>
    <n v="2"/>
    <s v="Yes"/>
    <s v="Within 5 min"/>
    <n v="57"/>
    <n v="7.9"/>
    <n v="3.5"/>
    <n v="5.3"/>
    <n v="8.9"/>
    <s v="No"/>
    <s v="No"/>
    <n v="4.5"/>
    <n v="6"/>
    <n v="4.5"/>
    <n v="6.5"/>
    <n v="4.7"/>
    <n v="5.2"/>
    <n v="2.4"/>
    <n v="8.1999999999999993"/>
    <n v="2.2999999999999998"/>
    <n v="3.3"/>
    <n v="4.8"/>
    <s v="Severe"/>
    <x v="0"/>
  </r>
  <r>
    <x v="893"/>
    <n v="25"/>
    <x v="3"/>
    <x v="0"/>
    <s v="In a Relationship"/>
    <x v="0"/>
    <n v="4.4000000000000004"/>
    <n v="4"/>
    <n v="5"/>
    <s v="Yes"/>
    <s v="5-30 min"/>
    <n v="74"/>
    <n v="6.2"/>
    <n v="1.4"/>
    <n v="5.6"/>
    <n v="5.9"/>
    <s v="No"/>
    <s v="Yes"/>
    <n v="5.7"/>
    <n v="5.7"/>
    <n v="5.8"/>
    <n v="6.4"/>
    <n v="9.3000000000000007"/>
    <n v="6.8"/>
    <n v="3.2"/>
    <n v="8.5"/>
    <n v="4"/>
    <n v="1.6"/>
    <n v="7"/>
    <s v="Moderate"/>
    <x v="0"/>
  </r>
  <r>
    <x v="894"/>
    <n v="22"/>
    <x v="0"/>
    <x v="1"/>
    <s v="In a Relationship"/>
    <x v="1"/>
    <n v="2.1"/>
    <n v="2"/>
    <n v="5"/>
    <s v="No"/>
    <s v="Within 5 min"/>
    <n v="50"/>
    <n v="4.4000000000000004"/>
    <n v="6.1"/>
    <n v="5.0999999999999996"/>
    <n v="6.8"/>
    <s v="Yes"/>
    <s v="Yes"/>
    <n v="6.2"/>
    <n v="1.5"/>
    <n v="6.2"/>
    <n v="3.1"/>
    <n v="4.9000000000000004"/>
    <n v="6.8"/>
    <n v="3.9"/>
    <n v="4.7"/>
    <n v="4.2"/>
    <n v="6.1"/>
    <n v="5.5"/>
    <s v="High"/>
    <x v="1"/>
  </r>
  <r>
    <x v="895"/>
    <n v="38"/>
    <x v="1"/>
    <x v="3"/>
    <s v="Single"/>
    <x v="1"/>
    <n v="6.2"/>
    <n v="3"/>
    <n v="4"/>
    <s v="No"/>
    <s v="After 30 min"/>
    <n v="41"/>
    <n v="4.2"/>
    <n v="5.6"/>
    <n v="2.2000000000000002"/>
    <n v="8"/>
    <s v="No"/>
    <s v="Yes"/>
    <n v="7.3"/>
    <n v="5.9"/>
    <n v="2.2999999999999998"/>
    <n v="6.4"/>
    <n v="6.8"/>
    <n v="6.5"/>
    <n v="4.5999999999999996"/>
    <n v="7.3"/>
    <n v="2.7"/>
    <n v="2.6"/>
    <n v="7.4"/>
    <s v="Moderate"/>
    <x v="2"/>
  </r>
  <r>
    <x v="896"/>
    <n v="22"/>
    <x v="0"/>
    <x v="0"/>
    <s v="Married"/>
    <x v="1"/>
    <n v="3.4"/>
    <n v="2"/>
    <n v="6"/>
    <s v="Yes"/>
    <s v="Within 5 min"/>
    <n v="55"/>
    <n v="5.5"/>
    <n v="6.5"/>
    <n v="3.6"/>
    <n v="0"/>
    <s v="No"/>
    <s v="No"/>
    <n v="7.4"/>
    <n v="1.9"/>
    <n v="3.9"/>
    <n v="5.3"/>
    <n v="3.2"/>
    <n v="5.7"/>
    <m/>
    <n v="5.9"/>
    <n v="2.6"/>
    <n v="2.9"/>
    <n v="6.8"/>
    <s v="Moderate"/>
    <x v="1"/>
  </r>
  <r>
    <x v="897"/>
    <n v="17"/>
    <x v="0"/>
    <x v="4"/>
    <s v="Single"/>
    <x v="5"/>
    <n v="2.2999999999999998"/>
    <n v="2"/>
    <n v="2"/>
    <s v="Yes"/>
    <s v="Within 5 min"/>
    <n v="28"/>
    <n v="2.7"/>
    <n v="6.8"/>
    <n v="2.8"/>
    <n v="5.3"/>
    <s v="Yes"/>
    <s v="Yes"/>
    <n v="4.5999999999999996"/>
    <n v="7.3"/>
    <n v="5.3"/>
    <n v="4.7"/>
    <n v="3.3"/>
    <n v="6"/>
    <n v="3.4"/>
    <n v="3.5"/>
    <n v="2.6"/>
    <n v="2.7"/>
    <n v="6"/>
    <s v="High"/>
    <x v="3"/>
  </r>
  <r>
    <x v="898"/>
    <n v="34"/>
    <x v="2"/>
    <x v="0"/>
    <s v="In a Relationship"/>
    <x v="1"/>
    <n v="3.2"/>
    <n v="7"/>
    <n v="6"/>
    <s v="Yes"/>
    <s v="5-30 min"/>
    <n v="36"/>
    <n v="10"/>
    <n v="5"/>
    <n v="6.7"/>
    <n v="4.0999999999999996"/>
    <s v="No"/>
    <s v="Yes"/>
    <n v="4.0999999999999996"/>
    <n v="7.8"/>
    <n v="4.5"/>
    <n v="6.6"/>
    <n v="4.5999999999999996"/>
    <n v="4.9000000000000004"/>
    <n v="5.0999999999999996"/>
    <n v="6.9"/>
    <n v="0.6"/>
    <n v="4.7"/>
    <n v="5.7"/>
    <s v="High"/>
    <x v="0"/>
  </r>
  <r>
    <x v="899"/>
    <n v="37"/>
    <x v="0"/>
    <x v="0"/>
    <s v="In a Relationship"/>
    <x v="4"/>
    <n v="1.3"/>
    <n v="5"/>
    <n v="5"/>
    <s v="Yes"/>
    <s v="After 30 min"/>
    <n v="16"/>
    <n v="5.9"/>
    <n v="6.6"/>
    <n v="6.2"/>
    <n v="6.4"/>
    <s v="No"/>
    <s v="No"/>
    <n v="9.3000000000000007"/>
    <n v="2.8"/>
    <n v="5.8"/>
    <n v="5.7"/>
    <n v="10"/>
    <n v="4.2"/>
    <n v="7.4"/>
    <n v="6.2"/>
    <n v="6.7"/>
    <n v="3.1"/>
    <n v="7.6"/>
    <s v="Low"/>
    <x v="2"/>
  </r>
  <r>
    <x v="900"/>
    <n v="27"/>
    <x v="1"/>
    <x v="1"/>
    <s v="Single"/>
    <x v="0"/>
    <n v="2.1"/>
    <n v="2"/>
    <n v="2"/>
    <s v="Yes"/>
    <s v="After 30 min"/>
    <n v="68"/>
    <n v="6"/>
    <n v="5.2"/>
    <n v="4.5"/>
    <n v="1.8"/>
    <s v="No"/>
    <s v="No"/>
    <n v="2.8"/>
    <n v="7.4"/>
    <n v="6.6"/>
    <n v="7.1"/>
    <n v="7.1"/>
    <n v="6.9"/>
    <n v="9.1"/>
    <m/>
    <n v="0.9"/>
    <n v="4.3"/>
    <n v="9.3000000000000007"/>
    <s v="Low"/>
    <x v="0"/>
  </r>
  <r>
    <x v="901"/>
    <n v="35"/>
    <x v="3"/>
    <x v="3"/>
    <s v="Married"/>
    <x v="5"/>
    <n v="6.2"/>
    <n v="3"/>
    <n v="5"/>
    <s v="No"/>
    <s v="5-30 min"/>
    <n v="16"/>
    <n v="7.1"/>
    <n v="3.8"/>
    <n v="2"/>
    <n v="5.0999999999999996"/>
    <s v="Yes"/>
    <s v="Yes"/>
    <n v="0.9"/>
    <n v="3.3"/>
    <n v="0.1"/>
    <n v="3.5"/>
    <n v="8.4"/>
    <n v="6.4"/>
    <n v="2.4"/>
    <n v="2.2999999999999998"/>
    <n v="3.6"/>
    <n v="1.8"/>
    <n v="8.5"/>
    <s v="Low"/>
    <x v="4"/>
  </r>
  <r>
    <x v="902"/>
    <n v="39"/>
    <x v="3"/>
    <x v="0"/>
    <s v="Single"/>
    <x v="0"/>
    <n v="4.5"/>
    <n v="3"/>
    <n v="6"/>
    <s v="No"/>
    <s v="Within 5 min"/>
    <n v="31"/>
    <n v="4.9000000000000004"/>
    <n v="5.5"/>
    <n v="5.6"/>
    <n v="6.9"/>
    <s v="Yes"/>
    <s v="Yes"/>
    <n v="6.4"/>
    <n v="4.4000000000000004"/>
    <n v="5.4"/>
    <n v="2"/>
    <n v="7.7"/>
    <m/>
    <n v="5.7"/>
    <n v="5.4"/>
    <n v="2"/>
    <n v="1.9"/>
    <n v="5.8"/>
    <s v="High"/>
    <x v="2"/>
  </r>
  <r>
    <x v="903"/>
    <n v="17"/>
    <x v="1"/>
    <x v="0"/>
    <s v="Single"/>
    <x v="3"/>
    <n v="3.7"/>
    <n v="4"/>
    <n v="4"/>
    <s v="No"/>
    <s v="5-30 min"/>
    <n v="39"/>
    <n v="6.3"/>
    <n v="5.4"/>
    <n v="3.3"/>
    <n v="5.5"/>
    <s v="Yes"/>
    <s v="No"/>
    <n v="2.8"/>
    <n v="3.9"/>
    <n v="4.5999999999999996"/>
    <n v="2.1"/>
    <n v="8.1"/>
    <n v="6.8"/>
    <n v="7"/>
    <n v="7.3"/>
    <n v="4.0999999999999996"/>
    <n v="6"/>
    <n v="7.1"/>
    <s v="Moderate"/>
    <x v="3"/>
  </r>
  <r>
    <x v="904"/>
    <n v="22"/>
    <x v="1"/>
    <x v="1"/>
    <s v="Married"/>
    <x v="1"/>
    <n v="7.1"/>
    <n v="4"/>
    <n v="6"/>
    <s v="Yes"/>
    <s v="Within 5 min"/>
    <n v="84"/>
    <n v="4.3"/>
    <n v="4.5999999999999996"/>
    <n v="6.8"/>
    <n v="5.5"/>
    <s v="No"/>
    <s v="No"/>
    <n v="2.2000000000000002"/>
    <n v="3.8"/>
    <n v="6.9"/>
    <n v="5.3"/>
    <n v="9"/>
    <n v="5.3"/>
    <n v="5"/>
    <n v="5.3"/>
    <n v="5"/>
    <n v="4.9000000000000004"/>
    <n v="5"/>
    <s v="High"/>
    <x v="1"/>
  </r>
  <r>
    <x v="905"/>
    <n v="43"/>
    <x v="1"/>
    <x v="4"/>
    <s v="Single"/>
    <x v="5"/>
    <n v="5.8"/>
    <n v="3"/>
    <n v="12"/>
    <s v="Yes"/>
    <s v="Within 5 min"/>
    <n v="114"/>
    <n v="4.5999999999999996"/>
    <n v="6.8"/>
    <n v="3.7"/>
    <n v="2.7"/>
    <s v="No"/>
    <s v="Yes"/>
    <n v="6.9"/>
    <n v="3.8"/>
    <n v="2.2999999999999998"/>
    <n v="2.4"/>
    <n v="3.5"/>
    <n v="4.5"/>
    <n v="4.7"/>
    <n v="4.3"/>
    <n v="6.3"/>
    <n v="1.1000000000000001"/>
    <n v="4.9000000000000004"/>
    <s v="Severe"/>
    <x v="2"/>
  </r>
  <r>
    <x v="906"/>
    <n v="20"/>
    <x v="0"/>
    <x v="0"/>
    <s v="In a Relationship"/>
    <x v="1"/>
    <n v="3.4"/>
    <n v="1"/>
    <n v="3"/>
    <s v="Yes"/>
    <s v="Within 5 min"/>
    <n v="53"/>
    <n v="8"/>
    <n v="4.2"/>
    <n v="3.8"/>
    <n v="5.3"/>
    <s v="No"/>
    <s v="Yes"/>
    <n v="3.4"/>
    <n v="7.9"/>
    <n v="7.4"/>
    <n v="3"/>
    <n v="3.4"/>
    <n v="7.9"/>
    <n v="6.9"/>
    <n v="5"/>
    <n v="4"/>
    <n v="5.7"/>
    <n v="4.7"/>
    <s v="Severe"/>
    <x v="1"/>
  </r>
  <r>
    <x v="907"/>
    <n v="22"/>
    <x v="0"/>
    <x v="3"/>
    <s v="Married"/>
    <x v="0"/>
    <n v="1.1000000000000001"/>
    <n v="1"/>
    <n v="4"/>
    <s v="No"/>
    <s v="After 30 min"/>
    <n v="57"/>
    <n v="5.6"/>
    <n v="5.3"/>
    <n v="6.7"/>
    <n v="4.0999999999999996"/>
    <s v="No"/>
    <s v="No"/>
    <n v="5.4"/>
    <n v="3.8"/>
    <n v="4.3"/>
    <n v="2.4"/>
    <n v="6.3"/>
    <n v="6.6"/>
    <n v="5.6"/>
    <n v="9.6"/>
    <n v="3.2"/>
    <n v="2.8"/>
    <n v="8.6999999999999993"/>
    <s v="Low"/>
    <x v="1"/>
  </r>
  <r>
    <x v="908"/>
    <n v="42"/>
    <x v="1"/>
    <x v="1"/>
    <s v="Single"/>
    <x v="2"/>
    <n v="3.1"/>
    <n v="5"/>
    <n v="5"/>
    <s v="Yes"/>
    <s v="Within 5 min"/>
    <n v="65"/>
    <n v="6.5"/>
    <n v="7.2"/>
    <n v="4"/>
    <n v="2.8"/>
    <s v="Yes"/>
    <s v="No"/>
    <n v="7"/>
    <n v="6.5"/>
    <n v="5.7"/>
    <n v="8.5"/>
    <n v="1.8"/>
    <n v="7.1"/>
    <n v="2.1"/>
    <n v="7.4"/>
    <n v="1.6"/>
    <n v="3.3"/>
    <n v="6.5"/>
    <s v="Moderate"/>
    <x v="2"/>
  </r>
  <r>
    <x v="909"/>
    <n v="33"/>
    <x v="2"/>
    <x v="0"/>
    <s v="Single"/>
    <x v="5"/>
    <n v="7.1"/>
    <n v="4"/>
    <n v="4"/>
    <s v="No"/>
    <s v="Within 5 min"/>
    <n v="52"/>
    <n v="4.0999999999999996"/>
    <n v="10"/>
    <n v="1.2"/>
    <n v="3.6"/>
    <s v="No"/>
    <s v="Yes"/>
    <n v="6"/>
    <n v="5.4"/>
    <n v="5.5"/>
    <n v="5.3"/>
    <n v="6.3"/>
    <n v="6"/>
    <n v="7.1"/>
    <n v="4"/>
    <n v="1.6"/>
    <n v="4.9000000000000004"/>
    <n v="6.1"/>
    <s v="High"/>
    <x v="0"/>
  </r>
  <r>
    <x v="910"/>
    <n v="43"/>
    <x v="0"/>
    <x v="1"/>
    <s v="Single"/>
    <x v="3"/>
    <n v="2.2999999999999998"/>
    <n v="4"/>
    <n v="4"/>
    <s v="No"/>
    <s v="After 30 min"/>
    <n v="75"/>
    <n v="6.1"/>
    <n v="3.2"/>
    <n v="5.0999999999999996"/>
    <n v="4"/>
    <s v="Yes"/>
    <s v="No"/>
    <n v="5.8"/>
    <n v="3"/>
    <n v="5.4"/>
    <n v="7.4"/>
    <m/>
    <n v="5.3"/>
    <n v="4.7"/>
    <n v="6.4"/>
    <n v="2.2999999999999998"/>
    <n v="4.4000000000000004"/>
    <n v="8.5"/>
    <s v="Low"/>
    <x v="2"/>
  </r>
  <r>
    <x v="911"/>
    <n v="24"/>
    <x v="0"/>
    <x v="1"/>
    <s v="In a Relationship"/>
    <x v="1"/>
    <n v="9"/>
    <n v="3"/>
    <n v="5"/>
    <s v="Yes"/>
    <s v="5-30 min"/>
    <n v="96"/>
    <n v="7.3"/>
    <n v="9.9"/>
    <n v="6.6"/>
    <n v="9"/>
    <s v="Yes"/>
    <s v="No"/>
    <n v="6.3"/>
    <n v="4.7"/>
    <n v="4"/>
    <n v="4.2"/>
    <n v="7"/>
    <n v="5.9"/>
    <n v="5.0999999999999996"/>
    <n v="5.7"/>
    <n v="0"/>
    <n v="0.3"/>
    <n v="2.7"/>
    <s v="Severe"/>
    <x v="1"/>
  </r>
  <r>
    <x v="912"/>
    <n v="18"/>
    <x v="1"/>
    <x v="0"/>
    <s v="In a Relationship"/>
    <x v="1"/>
    <n v="3.8"/>
    <n v="7"/>
    <n v="6"/>
    <s v="Yes"/>
    <s v="5-30 min"/>
    <n v="113"/>
    <n v="10"/>
    <n v="7.4"/>
    <n v="3.4"/>
    <n v="4.7"/>
    <s v="No"/>
    <s v="No"/>
    <m/>
    <m/>
    <n v="6.5"/>
    <n v="6"/>
    <n v="4.4000000000000004"/>
    <n v="6"/>
    <n v="4.9000000000000004"/>
    <n v="7.6"/>
    <n v="5.0999999999999996"/>
    <n v="0.7"/>
    <n v="5.2"/>
    <s v="Severe"/>
    <x v="1"/>
  </r>
  <r>
    <x v="913"/>
    <n v="15"/>
    <x v="1"/>
    <x v="2"/>
    <s v="In a Relationship"/>
    <x v="3"/>
    <n v="1.3"/>
    <n v="4"/>
    <n v="2"/>
    <s v="No"/>
    <s v="After 30 min"/>
    <n v="5"/>
    <n v="6.7"/>
    <n v="3.4"/>
    <n v="3.1"/>
    <n v="4.5"/>
    <s v="Yes"/>
    <s v="Yes"/>
    <n v="5.6"/>
    <n v="2.9"/>
    <n v="7.3"/>
    <n v="6.9"/>
    <n v="6.3"/>
    <n v="6.9"/>
    <n v="1"/>
    <n v="3.1"/>
    <n v="3.6"/>
    <n v="2"/>
    <n v="8.6"/>
    <s v="Low"/>
    <x v="3"/>
  </r>
  <r>
    <x v="914"/>
    <n v="33"/>
    <x v="1"/>
    <x v="1"/>
    <s v="Married"/>
    <x v="1"/>
    <n v="3.3"/>
    <n v="3"/>
    <n v="2"/>
    <s v="No"/>
    <s v="Within 5 min"/>
    <n v="54"/>
    <n v="4.9000000000000004"/>
    <n v="8.1"/>
    <n v="4.5999999999999996"/>
    <n v="6"/>
    <s v="No"/>
    <s v="No"/>
    <n v="5.6"/>
    <n v="6"/>
    <n v="4.4000000000000004"/>
    <n v="2.4"/>
    <n v="5.5"/>
    <n v="6.2"/>
    <n v="4.0999999999999996"/>
    <n v="8.6999999999999993"/>
    <n v="3.5"/>
    <n v="0"/>
    <n v="6.7"/>
    <s v="Moderate"/>
    <x v="0"/>
  </r>
  <r>
    <x v="915"/>
    <n v="40"/>
    <x v="1"/>
    <x v="1"/>
    <s v="In a Relationship"/>
    <x v="0"/>
    <n v="7.4"/>
    <n v="5"/>
    <n v="3"/>
    <s v="Yes"/>
    <s v="5-30 min"/>
    <n v="59"/>
    <n v="1.1000000000000001"/>
    <n v="5.6"/>
    <n v="0"/>
    <n v="0"/>
    <s v="Yes"/>
    <s v="Yes"/>
    <n v="4.7"/>
    <n v="3.5"/>
    <n v="6.1"/>
    <n v="3"/>
    <n v="4.5999999999999996"/>
    <n v="5.8"/>
    <n v="7.5"/>
    <n v="4.4000000000000004"/>
    <n v="3.9"/>
    <n v="0.3"/>
    <n v="6.6"/>
    <s v="Moderate"/>
    <x v="2"/>
  </r>
  <r>
    <x v="916"/>
    <n v="24"/>
    <x v="1"/>
    <x v="1"/>
    <s v="Single"/>
    <x v="0"/>
    <n v="2.9"/>
    <n v="7"/>
    <n v="9"/>
    <s v="Yes"/>
    <s v="After 30 min"/>
    <n v="52"/>
    <n v="7.1"/>
    <n v="1.5"/>
    <n v="2.1"/>
    <n v="6"/>
    <s v="No"/>
    <s v="Yes"/>
    <n v="4.3"/>
    <n v="4.3"/>
    <n v="0"/>
    <n v="5.8"/>
    <m/>
    <n v="7.9"/>
    <n v="6.7"/>
    <n v="5.2"/>
    <n v="0.3"/>
    <n v="3"/>
    <n v="9"/>
    <s v="Low"/>
    <x v="1"/>
  </r>
  <r>
    <x v="917"/>
    <n v="35"/>
    <x v="1"/>
    <x v="0"/>
    <s v="Married"/>
    <x v="3"/>
    <n v="5.3"/>
    <n v="2"/>
    <n v="1"/>
    <s v="No"/>
    <s v="5-30 min"/>
    <n v="5"/>
    <n v="0.1"/>
    <n v="5.4"/>
    <n v="7.8"/>
    <n v="7.9"/>
    <s v="Yes"/>
    <s v="Yes"/>
    <n v="4.9000000000000004"/>
    <n v="6.3"/>
    <n v="3"/>
    <n v="4.4000000000000004"/>
    <n v="6.1"/>
    <n v="5.4"/>
    <n v="7.2"/>
    <n v="0.8"/>
    <n v="2.7"/>
    <n v="5"/>
    <n v="6.6"/>
    <s v="Moderate"/>
    <x v="4"/>
  </r>
  <r>
    <x v="918"/>
    <n v="41"/>
    <x v="0"/>
    <x v="1"/>
    <s v="In a Relationship"/>
    <x v="4"/>
    <n v="5.9"/>
    <n v="2"/>
    <n v="6"/>
    <s v="No"/>
    <s v="5-30 min"/>
    <n v="77"/>
    <m/>
    <n v="7.7"/>
    <n v="2.2000000000000002"/>
    <n v="5.8"/>
    <s v="Yes"/>
    <s v="Yes"/>
    <n v="4.0999999999999996"/>
    <n v="10"/>
    <n v="2.7"/>
    <n v="7.7"/>
    <n v="4.8"/>
    <n v="6.5"/>
    <n v="3.5"/>
    <n v="7.4"/>
    <n v="3.6"/>
    <n v="2.7"/>
    <n v="8.3000000000000007"/>
    <s v="Low"/>
    <x v="2"/>
  </r>
  <r>
    <x v="919"/>
    <n v="34"/>
    <x v="1"/>
    <x v="1"/>
    <s v="Married"/>
    <x v="1"/>
    <n v="3.1"/>
    <n v="3"/>
    <n v="4"/>
    <s v="Yes"/>
    <s v="Within 5 min"/>
    <n v="21"/>
    <m/>
    <n v="3.5"/>
    <n v="4"/>
    <n v="5.9"/>
    <s v="No"/>
    <s v="No"/>
    <n v="3"/>
    <n v="8.1"/>
    <n v="7.1"/>
    <n v="7"/>
    <n v="9.6999999999999993"/>
    <n v="5.9"/>
    <n v="2"/>
    <n v="2.9"/>
    <n v="2.1"/>
    <n v="5.6"/>
    <n v="7"/>
    <s v="Low"/>
    <x v="0"/>
  </r>
  <r>
    <x v="920"/>
    <n v="20"/>
    <x v="1"/>
    <x v="0"/>
    <s v="In a Relationship"/>
    <x v="3"/>
    <n v="6.6"/>
    <n v="1"/>
    <n v="7"/>
    <s v="Yes"/>
    <s v="Within 5 min"/>
    <n v="60"/>
    <n v="4.3"/>
    <n v="3"/>
    <n v="4.0999999999999996"/>
    <n v="5.3"/>
    <s v="Yes"/>
    <s v="No"/>
    <n v="3.4"/>
    <n v="7.8"/>
    <n v="3.3"/>
    <n v="7.6"/>
    <n v="3.5"/>
    <m/>
    <n v="5.6"/>
    <n v="8.6999999999999993"/>
    <n v="3.8"/>
    <n v="3.3"/>
    <n v="6.8"/>
    <s v="Moderate"/>
    <x v="1"/>
  </r>
  <r>
    <x v="921"/>
    <n v="37"/>
    <x v="0"/>
    <x v="1"/>
    <m/>
    <x v="3"/>
    <n v="7.4"/>
    <n v="3"/>
    <n v="5"/>
    <s v="No"/>
    <s v="After 30 min"/>
    <n v="47"/>
    <n v="5"/>
    <n v="6.8"/>
    <n v="8.9"/>
    <n v="3.6"/>
    <s v="Yes"/>
    <s v="No"/>
    <n v="7.8"/>
    <n v="3.9"/>
    <n v="1.9"/>
    <n v="8"/>
    <n v="6.5"/>
    <n v="5.2"/>
    <n v="7.6"/>
    <n v="5.6"/>
    <n v="4.4000000000000004"/>
    <n v="4.4000000000000004"/>
    <n v="7.1"/>
    <s v="Moderate"/>
    <x v="2"/>
  </r>
  <r>
    <x v="922"/>
    <n v="43"/>
    <x v="0"/>
    <x v="3"/>
    <s v="Single"/>
    <x v="1"/>
    <m/>
    <n v="4"/>
    <n v="5"/>
    <s v="No"/>
    <s v="After 30 min"/>
    <n v="65"/>
    <n v="9.4"/>
    <n v="6.2"/>
    <n v="3.3"/>
    <n v="2.7"/>
    <s v="No"/>
    <s v="No"/>
    <n v="4.5"/>
    <n v="5.6"/>
    <n v="2.2999999999999998"/>
    <n v="4.0999999999999996"/>
    <n v="6.9"/>
    <n v="7.9"/>
    <n v="3.2"/>
    <n v="4.5"/>
    <n v="0.9"/>
    <n v="1.2"/>
    <n v="7.4"/>
    <s v="Low"/>
    <x v="2"/>
  </r>
  <r>
    <x v="923"/>
    <n v="18"/>
    <x v="0"/>
    <x v="0"/>
    <s v="In a Relationship"/>
    <x v="2"/>
    <n v="0.5"/>
    <n v="4"/>
    <n v="3"/>
    <s v="No"/>
    <s v="5-30 min"/>
    <n v="41"/>
    <m/>
    <n v="1.6"/>
    <n v="6.3"/>
    <n v="6.6"/>
    <s v="No"/>
    <s v="Yes"/>
    <n v="6.6"/>
    <n v="6.3"/>
    <n v="5"/>
    <n v="7.3"/>
    <n v="6.6"/>
    <n v="6.7"/>
    <n v="3.9"/>
    <n v="4.8"/>
    <n v="5.4"/>
    <n v="0"/>
    <n v="8.4"/>
    <s v="Low"/>
    <x v="1"/>
  </r>
  <r>
    <x v="924"/>
    <n v="30"/>
    <x v="1"/>
    <x v="2"/>
    <s v="In a Relationship"/>
    <x v="0"/>
    <n v="5"/>
    <n v="4"/>
    <n v="1"/>
    <s v="No"/>
    <s v="Within 5 min"/>
    <n v="109"/>
    <n v="0.3"/>
    <n v="5.9"/>
    <n v="10"/>
    <n v="8.1"/>
    <s v="No"/>
    <s v="No"/>
    <n v="0.7"/>
    <n v="5.6"/>
    <n v="9.1"/>
    <n v="5"/>
    <m/>
    <n v="4"/>
    <n v="4.7"/>
    <n v="2.9"/>
    <n v="1.2"/>
    <n v="1.9"/>
    <n v="5.3"/>
    <s v="High"/>
    <x v="0"/>
  </r>
  <r>
    <x v="925"/>
    <n v="23"/>
    <x v="0"/>
    <x v="3"/>
    <s v="Single"/>
    <x v="1"/>
    <n v="5.9"/>
    <n v="4"/>
    <n v="5"/>
    <s v="No"/>
    <s v="After 30 min"/>
    <n v="37"/>
    <n v="4.5999999999999996"/>
    <n v="8.5"/>
    <n v="4.3"/>
    <n v="2.5"/>
    <s v="No"/>
    <s v="Yes"/>
    <n v="6.7"/>
    <n v="2.7"/>
    <n v="3.5"/>
    <n v="4.5999999999999996"/>
    <n v="6.9"/>
    <n v="5.2"/>
    <n v="1.9"/>
    <n v="7.2"/>
    <n v="4.5999999999999996"/>
    <n v="2.2000000000000002"/>
    <n v="8.1999999999999993"/>
    <s v="Low"/>
    <x v="1"/>
  </r>
  <r>
    <x v="926"/>
    <n v="19"/>
    <x v="1"/>
    <x v="3"/>
    <s v="In a Relationship"/>
    <x v="1"/>
    <n v="6.3"/>
    <n v="3"/>
    <n v="7"/>
    <s v="No"/>
    <s v="5-30 min"/>
    <n v="44"/>
    <n v="0"/>
    <n v="3.3"/>
    <n v="5.0999999999999996"/>
    <n v="8.1"/>
    <s v="No"/>
    <s v="No"/>
    <n v="9.1"/>
    <n v="5.5"/>
    <n v="4"/>
    <n v="10"/>
    <n v="3.4"/>
    <n v="7.5"/>
    <n v="1.1000000000000001"/>
    <n v="5"/>
    <n v="5.0999999999999996"/>
    <n v="2.2999999999999998"/>
    <n v="8.8000000000000007"/>
    <s v="Low"/>
    <x v="1"/>
  </r>
  <r>
    <x v="927"/>
    <n v="42"/>
    <x v="1"/>
    <x v="1"/>
    <s v="Married"/>
    <x v="2"/>
    <n v="8.3000000000000007"/>
    <n v="5"/>
    <n v="3"/>
    <s v="No"/>
    <s v="Within 5 min"/>
    <n v="5"/>
    <n v="3.4"/>
    <n v="4"/>
    <n v="1.6"/>
    <n v="3.9"/>
    <s v="Yes"/>
    <s v="Yes"/>
    <n v="3.8"/>
    <n v="6.3"/>
    <n v="2.2000000000000002"/>
    <n v="6.5"/>
    <n v="4.0999999999999996"/>
    <n v="7.6"/>
    <n v="6"/>
    <n v="4"/>
    <n v="2.4"/>
    <n v="2.2999999999999998"/>
    <n v="6.9"/>
    <s v="Moderate"/>
    <x v="2"/>
  </r>
  <r>
    <x v="928"/>
    <n v="23"/>
    <x v="3"/>
    <x v="3"/>
    <m/>
    <x v="4"/>
    <m/>
    <n v="1"/>
    <n v="2"/>
    <s v="Yes"/>
    <s v="After 30 min"/>
    <n v="56"/>
    <n v="7.5"/>
    <n v="6.6"/>
    <n v="2.5"/>
    <n v="4.7"/>
    <s v="Yes"/>
    <s v="Yes"/>
    <n v="5.8"/>
    <n v="3.9"/>
    <n v="5.3"/>
    <n v="0.2"/>
    <n v="2.1"/>
    <n v="7.7"/>
    <n v="6.4"/>
    <n v="4"/>
    <n v="2.1"/>
    <n v="3.5"/>
    <n v="4.9000000000000004"/>
    <s v="High"/>
    <x v="1"/>
  </r>
  <r>
    <x v="929"/>
    <n v="16"/>
    <x v="0"/>
    <x v="0"/>
    <s v="Single"/>
    <x v="1"/>
    <n v="4.4000000000000004"/>
    <n v="5"/>
    <n v="5"/>
    <s v="Yes"/>
    <s v="Within 5 min"/>
    <n v="16"/>
    <n v="4"/>
    <n v="3.9"/>
    <n v="3.5"/>
    <n v="7.6"/>
    <s v="No"/>
    <s v="No"/>
    <n v="7.2"/>
    <n v="5.0999999999999996"/>
    <n v="4.5999999999999996"/>
    <n v="4.3"/>
    <n v="5.5"/>
    <n v="4.4000000000000004"/>
    <n v="6.5"/>
    <n v="2.7"/>
    <n v="5.9"/>
    <n v="3"/>
    <n v="6"/>
    <s v="High"/>
    <x v="3"/>
  </r>
  <r>
    <x v="930"/>
    <n v="35"/>
    <x v="0"/>
    <x v="1"/>
    <s v="Married"/>
    <x v="3"/>
    <n v="0.5"/>
    <n v="2"/>
    <n v="5"/>
    <s v="Yes"/>
    <s v="Within 5 min"/>
    <n v="12"/>
    <n v="6.7"/>
    <n v="1.7"/>
    <n v="2.4"/>
    <n v="5.2"/>
    <s v="Yes"/>
    <s v="Yes"/>
    <n v="2.9"/>
    <n v="7.3"/>
    <n v="4.2"/>
    <n v="6.8"/>
    <n v="7.8"/>
    <n v="6.7"/>
    <n v="2.9"/>
    <n v="4.7"/>
    <n v="2.6"/>
    <n v="5.9"/>
    <n v="7.8"/>
    <s v="Low"/>
    <x v="4"/>
  </r>
  <r>
    <x v="931"/>
    <n v="17"/>
    <x v="0"/>
    <x v="3"/>
    <s v="Single"/>
    <x v="1"/>
    <n v="1.8"/>
    <n v="4"/>
    <n v="4"/>
    <s v="No"/>
    <s v="Within 5 min"/>
    <n v="53"/>
    <n v="4"/>
    <n v="7.7"/>
    <n v="8.6999999999999993"/>
    <n v="8.3000000000000007"/>
    <s v="Yes"/>
    <s v="No"/>
    <n v="4.5999999999999996"/>
    <n v="2.8"/>
    <n v="0"/>
    <n v="5.9"/>
    <n v="2.2999999999999998"/>
    <n v="5.0999999999999996"/>
    <n v="4.2"/>
    <n v="6.1"/>
    <n v="0.8"/>
    <n v="1.7"/>
    <n v="6.1"/>
    <s v="High"/>
    <x v="3"/>
  </r>
  <r>
    <x v="932"/>
    <n v="29"/>
    <x v="2"/>
    <x v="0"/>
    <s v="Single"/>
    <x v="1"/>
    <n v="6.8"/>
    <n v="2"/>
    <n v="2"/>
    <s v="No"/>
    <s v="Within 5 min"/>
    <n v="5"/>
    <n v="3.5"/>
    <n v="5.4"/>
    <n v="7.8"/>
    <n v="4"/>
    <s v="Yes"/>
    <s v="No"/>
    <n v="7.1"/>
    <n v="6.2"/>
    <n v="3.9"/>
    <n v="4.5999999999999996"/>
    <n v="6.7"/>
    <n v="6.1"/>
    <n v="6.1"/>
    <n v="8.6999999999999993"/>
    <n v="3.8"/>
    <n v="3.8"/>
    <n v="8.1999999999999993"/>
    <s v="Low"/>
    <x v="0"/>
  </r>
  <r>
    <x v="933"/>
    <n v="26"/>
    <x v="0"/>
    <x v="2"/>
    <s v="Single"/>
    <x v="4"/>
    <n v="1.8"/>
    <n v="4"/>
    <n v="4"/>
    <s v="No"/>
    <s v="Within 5 min"/>
    <n v="16"/>
    <n v="6.3"/>
    <n v="5.4"/>
    <n v="2.2999999999999998"/>
    <n v="3.5"/>
    <s v="No"/>
    <s v="No"/>
    <n v="4.2"/>
    <n v="4.8"/>
    <n v="5.4"/>
    <n v="1.9"/>
    <n v="4.5"/>
    <n v="5.2"/>
    <n v="6.2"/>
    <n v="5.3"/>
    <n v="6.6"/>
    <n v="2.5"/>
    <n v="7.1"/>
    <s v="Low"/>
    <x v="0"/>
  </r>
  <r>
    <x v="934"/>
    <n v="28"/>
    <x v="2"/>
    <x v="4"/>
    <s v="In a Relationship"/>
    <x v="3"/>
    <n v="3.8"/>
    <n v="2"/>
    <n v="4"/>
    <s v="Yes"/>
    <s v="Within 5 min"/>
    <n v="53"/>
    <n v="6.3"/>
    <n v="5.3"/>
    <n v="3.7"/>
    <n v="6.9"/>
    <s v="Yes"/>
    <s v="Yes"/>
    <m/>
    <n v="5.5"/>
    <n v="3.7"/>
    <n v="4.5999999999999996"/>
    <n v="5.4"/>
    <n v="7.2"/>
    <n v="2.9"/>
    <n v="6.2"/>
    <n v="0.8"/>
    <n v="2.4"/>
    <n v="4.8"/>
    <s v="Severe"/>
    <x v="0"/>
  </r>
  <r>
    <x v="935"/>
    <n v="23"/>
    <x v="0"/>
    <x v="3"/>
    <s v="Single"/>
    <x v="5"/>
    <n v="0.6"/>
    <n v="6"/>
    <n v="6"/>
    <s v="Yes"/>
    <s v="After 30 min"/>
    <n v="138"/>
    <n v="6.3"/>
    <n v="7.8"/>
    <n v="4.2"/>
    <n v="0.7"/>
    <s v="Yes"/>
    <s v="Yes"/>
    <n v="5.6"/>
    <n v="0.8"/>
    <n v="1"/>
    <n v="6.7"/>
    <n v="8"/>
    <n v="7.1"/>
    <n v="3.9"/>
    <n v="5.5"/>
    <n v="3.9"/>
    <n v="2.5"/>
    <n v="8"/>
    <s v="Low"/>
    <x v="1"/>
  </r>
  <r>
    <x v="936"/>
    <n v="36"/>
    <x v="0"/>
    <x v="3"/>
    <s v="In a Relationship"/>
    <x v="1"/>
    <n v="3.7"/>
    <n v="7"/>
    <n v="5"/>
    <s v="Yes"/>
    <s v="Within 5 min"/>
    <n v="111"/>
    <n v="6.4"/>
    <n v="10"/>
    <n v="4.8"/>
    <n v="7.7"/>
    <s v="Yes"/>
    <s v="No"/>
    <n v="6.1"/>
    <n v="8.8000000000000007"/>
    <n v="3.2"/>
    <n v="4.9000000000000004"/>
    <n v="6.1"/>
    <n v="6.4"/>
    <n v="1.2"/>
    <n v="3.9"/>
    <n v="1.3"/>
    <n v="0"/>
    <n v="5.3"/>
    <s v="Severe"/>
    <x v="2"/>
  </r>
  <r>
    <x v="937"/>
    <n v="26"/>
    <x v="1"/>
    <x v="0"/>
    <s v="In a Relationship"/>
    <x v="2"/>
    <n v="1.6"/>
    <n v="7"/>
    <n v="4"/>
    <s v="Yes"/>
    <s v="Within 5 min"/>
    <n v="72"/>
    <n v="5.7"/>
    <n v="4.5"/>
    <n v="9.3000000000000007"/>
    <n v="7.9"/>
    <s v="Yes"/>
    <s v="No"/>
    <n v="4.9000000000000004"/>
    <n v="10"/>
    <n v="5.6"/>
    <n v="3.6"/>
    <n v="3.2"/>
    <n v="6.2"/>
    <n v="3"/>
    <n v="6"/>
    <n v="3.9"/>
    <n v="5.4"/>
    <n v="6.1"/>
    <s v="Moderate"/>
    <x v="0"/>
  </r>
  <r>
    <x v="938"/>
    <n v="15"/>
    <x v="0"/>
    <x v="4"/>
    <s v="Married"/>
    <x v="1"/>
    <n v="5.3"/>
    <n v="4"/>
    <n v="4"/>
    <s v="Yes"/>
    <s v="After 30 min"/>
    <n v="55"/>
    <n v="5.5"/>
    <n v="5.5"/>
    <n v="10"/>
    <n v="6.9"/>
    <s v="No"/>
    <s v="Yes"/>
    <n v="3.2"/>
    <n v="3.8"/>
    <n v="5.5"/>
    <n v="3.8"/>
    <n v="6"/>
    <n v="4.3"/>
    <n v="8.4"/>
    <n v="4.7"/>
    <n v="2.2999999999999998"/>
    <n v="4"/>
    <n v="3.7"/>
    <s v="Severe"/>
    <x v="3"/>
  </r>
  <r>
    <x v="939"/>
    <n v="25"/>
    <x v="0"/>
    <x v="0"/>
    <m/>
    <x v="0"/>
    <n v="4.0999999999999996"/>
    <n v="3"/>
    <n v="4"/>
    <s v="No"/>
    <s v="5-30 min"/>
    <n v="104"/>
    <n v="9.1999999999999993"/>
    <n v="4.4000000000000004"/>
    <n v="6.6"/>
    <n v="5.7"/>
    <s v="Yes"/>
    <s v="No"/>
    <n v="7.5"/>
    <n v="7.4"/>
    <n v="5.2"/>
    <n v="3.3"/>
    <n v="6.9"/>
    <n v="8.5"/>
    <n v="4.9000000000000004"/>
    <n v="8.3000000000000007"/>
    <n v="2.2000000000000002"/>
    <n v="6"/>
    <n v="6.5"/>
    <s v="High"/>
    <x v="0"/>
  </r>
  <r>
    <x v="940"/>
    <n v="24"/>
    <x v="1"/>
    <x v="0"/>
    <s v="Married"/>
    <x v="4"/>
    <n v="5.0999999999999996"/>
    <n v="3"/>
    <n v="3"/>
    <s v="Yes"/>
    <s v="5-30 min"/>
    <n v="81"/>
    <n v="4.9000000000000004"/>
    <n v="7.3"/>
    <n v="4.5"/>
    <n v="3.3"/>
    <s v="No"/>
    <s v="Yes"/>
    <n v="7.7"/>
    <n v="3.3"/>
    <n v="6.8"/>
    <n v="4.2"/>
    <n v="6.3"/>
    <n v="7"/>
    <n v="6.7"/>
    <n v="4.4000000000000004"/>
    <n v="0.8"/>
    <n v="2"/>
    <n v="6"/>
    <s v="High"/>
    <x v="1"/>
  </r>
  <r>
    <x v="941"/>
    <n v="39"/>
    <x v="0"/>
    <x v="2"/>
    <s v="Single"/>
    <x v="4"/>
    <n v="1"/>
    <n v="3"/>
    <n v="1"/>
    <s v="Yes"/>
    <s v="Within 5 min"/>
    <n v="66"/>
    <m/>
    <n v="5.6"/>
    <n v="6.3"/>
    <n v="5.8"/>
    <s v="No"/>
    <s v="No"/>
    <n v="5"/>
    <n v="4.0999999999999996"/>
    <n v="6.3"/>
    <n v="6.1"/>
    <n v="2.2999999999999998"/>
    <n v="6.8"/>
    <n v="2.4"/>
    <n v="1.7"/>
    <n v="1.8"/>
    <n v="2.1"/>
    <n v="5.4"/>
    <s v="Severe"/>
    <x v="2"/>
  </r>
  <r>
    <x v="942"/>
    <n v="32"/>
    <x v="1"/>
    <x v="0"/>
    <s v="Married"/>
    <x v="1"/>
    <n v="3.9"/>
    <n v="6"/>
    <n v="3"/>
    <s v="No"/>
    <s v="Within 5 min"/>
    <n v="114"/>
    <n v="3.7"/>
    <n v="4.8"/>
    <n v="6.8"/>
    <n v="4.8"/>
    <m/>
    <s v="Yes"/>
    <n v="2.6"/>
    <n v="0.4"/>
    <n v="4.5"/>
    <n v="7.5"/>
    <n v="5.5"/>
    <n v="5.6"/>
    <n v="4.5"/>
    <n v="0.8"/>
    <n v="2.5"/>
    <n v="5.5"/>
    <n v="5.6"/>
    <s v="High"/>
    <x v="0"/>
  </r>
  <r>
    <x v="943"/>
    <n v="16"/>
    <x v="0"/>
    <x v="0"/>
    <s v="In a Relationship"/>
    <x v="1"/>
    <n v="6.2"/>
    <n v="5"/>
    <n v="2"/>
    <s v="No"/>
    <s v="Within 5 min"/>
    <n v="57"/>
    <n v="1.4"/>
    <n v="0.6"/>
    <n v="8.1999999999999993"/>
    <n v="4.0999999999999996"/>
    <s v="Yes"/>
    <s v="Yes"/>
    <n v="6.5"/>
    <n v="5.2"/>
    <n v="2.1"/>
    <n v="4.5999999999999996"/>
    <n v="7.2"/>
    <n v="7.2"/>
    <n v="4.8"/>
    <n v="6.3"/>
    <n v="0"/>
    <n v="2.6"/>
    <n v="7.1"/>
    <s v="Low"/>
    <x v="3"/>
  </r>
  <r>
    <x v="944"/>
    <n v="42"/>
    <x v="0"/>
    <x v="2"/>
    <s v="In a Relationship"/>
    <x v="3"/>
    <m/>
    <n v="2"/>
    <n v="6"/>
    <s v="No"/>
    <s v="Within 5 min"/>
    <n v="49"/>
    <n v="7"/>
    <n v="5.3"/>
    <n v="5.4"/>
    <n v="9.1999999999999993"/>
    <s v="No"/>
    <s v="No"/>
    <n v="3.3"/>
    <n v="4.7"/>
    <n v="6.8"/>
    <n v="5.0999999999999996"/>
    <n v="4.3"/>
    <n v="5.5"/>
    <n v="4.5999999999999996"/>
    <n v="3.9"/>
    <n v="0"/>
    <n v="6.1"/>
    <n v="5.8"/>
    <s v="High"/>
    <x v="2"/>
  </r>
  <r>
    <x v="945"/>
    <n v="26"/>
    <x v="2"/>
    <x v="0"/>
    <s v="Single"/>
    <x v="0"/>
    <n v="3"/>
    <n v="3"/>
    <n v="0"/>
    <s v="Yes"/>
    <s v="After 30 min"/>
    <n v="108"/>
    <m/>
    <n v="7.2"/>
    <n v="7.1"/>
    <n v="4.9000000000000004"/>
    <s v="No"/>
    <s v="Yes"/>
    <n v="5"/>
    <n v="4.8"/>
    <n v="8.6"/>
    <n v="3.7"/>
    <n v="5.0999999999999996"/>
    <n v="5.7"/>
    <n v="6.2"/>
    <n v="8.6"/>
    <n v="3.4"/>
    <n v="4"/>
    <n v="5.3"/>
    <s v="High"/>
    <x v="0"/>
  </r>
  <r>
    <x v="946"/>
    <n v="19"/>
    <x v="1"/>
    <x v="1"/>
    <s v="Single"/>
    <x v="2"/>
    <n v="4.0999999999999996"/>
    <n v="1"/>
    <n v="4"/>
    <s v="Yes"/>
    <s v="Within 5 min"/>
    <n v="118"/>
    <n v="4.5999999999999996"/>
    <n v="5.4"/>
    <n v="4.2"/>
    <n v="5.0999999999999996"/>
    <s v="Yes"/>
    <s v="No"/>
    <n v="3.1"/>
    <n v="7.7"/>
    <n v="4.0999999999999996"/>
    <n v="3.1"/>
    <n v="10"/>
    <n v="6"/>
    <n v="4.4000000000000004"/>
    <n v="7.9"/>
    <n v="2"/>
    <n v="4"/>
    <n v="7"/>
    <s v="Low"/>
    <x v="1"/>
  </r>
  <r>
    <x v="947"/>
    <n v="16"/>
    <x v="0"/>
    <x v="0"/>
    <s v="In a Relationship"/>
    <x v="0"/>
    <n v="6.1"/>
    <n v="4"/>
    <n v="5"/>
    <s v="Yes"/>
    <s v="Within 5 min"/>
    <n v="49"/>
    <n v="8.5"/>
    <n v="6"/>
    <n v="3.3"/>
    <n v="3.9"/>
    <s v="No"/>
    <s v="No"/>
    <n v="2.1"/>
    <n v="5.0999999999999996"/>
    <n v="2.2000000000000002"/>
    <n v="5.8"/>
    <n v="6.4"/>
    <n v="6.5"/>
    <m/>
    <n v="7.4"/>
    <n v="1.3"/>
    <n v="5"/>
    <n v="6.6"/>
    <s v="High"/>
    <x v="3"/>
  </r>
  <r>
    <x v="948"/>
    <n v="24"/>
    <x v="3"/>
    <x v="0"/>
    <s v="In a Relationship"/>
    <x v="3"/>
    <n v="5.6"/>
    <n v="3"/>
    <n v="5"/>
    <s v="Yes"/>
    <s v="After 30 min"/>
    <n v="40"/>
    <n v="5.2"/>
    <n v="3.6"/>
    <n v="5.3"/>
    <n v="3.1"/>
    <m/>
    <s v="No"/>
    <n v="1.6"/>
    <n v="7.5"/>
    <n v="6.5"/>
    <n v="7.2"/>
    <n v="3.7"/>
    <n v="9.1"/>
    <n v="4.5"/>
    <n v="5.0999999999999996"/>
    <n v="2.2000000000000002"/>
    <n v="1.7"/>
    <n v="7.4"/>
    <s v="Low"/>
    <x v="1"/>
  </r>
  <r>
    <x v="949"/>
    <n v="44"/>
    <x v="0"/>
    <x v="0"/>
    <s v="In a Relationship"/>
    <x v="3"/>
    <n v="5.7"/>
    <n v="2"/>
    <n v="7"/>
    <s v="No"/>
    <s v="5-30 min"/>
    <n v="23"/>
    <n v="2.7"/>
    <n v="2.8"/>
    <n v="7.3"/>
    <n v="1.5"/>
    <s v="Yes"/>
    <s v="No"/>
    <n v="6.9"/>
    <n v="7.9"/>
    <n v="2.4"/>
    <n v="5.5"/>
    <n v="3.9"/>
    <n v="4.5"/>
    <n v="3.3"/>
    <n v="3.2"/>
    <n v="3"/>
    <n v="1.3"/>
    <n v="7.6"/>
    <s v="Low"/>
    <x v="2"/>
  </r>
  <r>
    <x v="950"/>
    <n v="29"/>
    <x v="0"/>
    <x v="2"/>
    <m/>
    <x v="2"/>
    <n v="5"/>
    <n v="1"/>
    <n v="5"/>
    <s v="No"/>
    <s v="After 30 min"/>
    <n v="27"/>
    <n v="7"/>
    <n v="7.6"/>
    <n v="2.8"/>
    <n v="6.2"/>
    <s v="No"/>
    <s v="No"/>
    <n v="8"/>
    <n v="2"/>
    <n v="5.0999999999999996"/>
    <n v="7.9"/>
    <n v="4.3"/>
    <n v="7.7"/>
    <n v="2.5"/>
    <n v="6.4"/>
    <n v="4.7"/>
    <n v="3.5"/>
    <n v="8.6999999999999993"/>
    <s v="Low"/>
    <x v="0"/>
  </r>
  <r>
    <x v="951"/>
    <n v="17"/>
    <x v="1"/>
    <x v="0"/>
    <s v="In a Relationship"/>
    <x v="3"/>
    <n v="6"/>
    <n v="4"/>
    <n v="4"/>
    <s v="No"/>
    <s v="Within 5 min"/>
    <n v="50"/>
    <n v="6.9"/>
    <n v="5.4"/>
    <n v="4.9000000000000004"/>
    <n v="5.9"/>
    <s v="Yes"/>
    <s v="Yes"/>
    <m/>
    <n v="1"/>
    <n v="4.8"/>
    <n v="3"/>
    <n v="7.1"/>
    <n v="5"/>
    <n v="4.7"/>
    <n v="2"/>
    <n v="1"/>
    <n v="0.6"/>
    <n v="4.8"/>
    <s v="Severe"/>
    <x v="3"/>
  </r>
  <r>
    <x v="952"/>
    <n v="24"/>
    <x v="0"/>
    <x v="2"/>
    <m/>
    <x v="0"/>
    <n v="3.9"/>
    <n v="5"/>
    <n v="0"/>
    <s v="Yes"/>
    <s v="After 30 min"/>
    <n v="71"/>
    <n v="6.3"/>
    <n v="8.5"/>
    <n v="10"/>
    <n v="5.3"/>
    <s v="No"/>
    <s v="No"/>
    <n v="3.8"/>
    <n v="1.2"/>
    <n v="4.5999999999999996"/>
    <n v="5.3"/>
    <n v="7"/>
    <n v="3"/>
    <n v="6.8"/>
    <n v="3.7"/>
    <n v="0.8"/>
    <n v="3"/>
    <n v="5.2"/>
    <s v="High"/>
    <x v="1"/>
  </r>
  <r>
    <x v="953"/>
    <n v="26"/>
    <x v="0"/>
    <x v="3"/>
    <s v="Married"/>
    <x v="1"/>
    <n v="4"/>
    <n v="6"/>
    <n v="1"/>
    <s v="Yes"/>
    <s v="Within 5 min"/>
    <n v="5"/>
    <n v="1.4"/>
    <n v="2.6"/>
    <n v="3.8"/>
    <n v="4.8"/>
    <s v="No"/>
    <s v="Yes"/>
    <n v="6.6"/>
    <n v="5.8"/>
    <n v="6"/>
    <n v="6.6"/>
    <n v="6.2"/>
    <n v="6.2"/>
    <n v="2.9"/>
    <n v="10"/>
    <n v="0.9"/>
    <n v="0"/>
    <n v="6.7"/>
    <s v="Moderate"/>
    <x v="0"/>
  </r>
  <r>
    <x v="954"/>
    <n v="37"/>
    <x v="0"/>
    <x v="2"/>
    <s v="In a Relationship"/>
    <x v="3"/>
    <n v="1.7"/>
    <n v="2"/>
    <n v="4"/>
    <s v="Yes"/>
    <s v="After 30 min"/>
    <n v="122"/>
    <n v="5.8"/>
    <n v="9.4"/>
    <n v="3"/>
    <n v="4.9000000000000004"/>
    <s v="Yes"/>
    <s v="No"/>
    <n v="6.3"/>
    <n v="5.5"/>
    <n v="6.7"/>
    <n v="8.1"/>
    <n v="4.7"/>
    <n v="8.1"/>
    <n v="6.1"/>
    <n v="3.5"/>
    <n v="5.5"/>
    <n v="2.4"/>
    <n v="5.0999999999999996"/>
    <s v="High"/>
    <x v="2"/>
  </r>
  <r>
    <x v="955"/>
    <n v="40"/>
    <x v="0"/>
    <x v="4"/>
    <s v="In a Relationship"/>
    <x v="1"/>
    <n v="3.8"/>
    <n v="2"/>
    <n v="6"/>
    <s v="Yes"/>
    <s v="Within 5 min"/>
    <n v="21"/>
    <n v="7.8"/>
    <n v="7.4"/>
    <n v="0.9"/>
    <n v="4.2"/>
    <s v="No"/>
    <s v="No"/>
    <n v="7.1"/>
    <n v="4.0999999999999996"/>
    <n v="0"/>
    <n v="5"/>
    <n v="7.4"/>
    <n v="4.4000000000000004"/>
    <m/>
    <n v="4.4000000000000004"/>
    <n v="0.8"/>
    <n v="3.8"/>
    <n v="5.8"/>
    <s v="High"/>
    <x v="2"/>
  </r>
  <r>
    <x v="956"/>
    <n v="40"/>
    <x v="1"/>
    <x v="1"/>
    <s v="Married"/>
    <x v="5"/>
    <n v="3.7"/>
    <n v="4"/>
    <n v="2"/>
    <s v="No"/>
    <s v="Within 5 min"/>
    <n v="65"/>
    <n v="3.6"/>
    <n v="9.6"/>
    <m/>
    <n v="3"/>
    <s v="No"/>
    <s v="Yes"/>
    <n v="6.8"/>
    <n v="6.5"/>
    <n v="2.6"/>
    <n v="5.9"/>
    <n v="2.8"/>
    <n v="7.1"/>
    <n v="4"/>
    <n v="2.6"/>
    <n v="3.4"/>
    <n v="2.5"/>
    <n v="4.7"/>
    <s v="Severe"/>
    <x v="2"/>
  </r>
  <r>
    <x v="957"/>
    <n v="16"/>
    <x v="0"/>
    <x v="0"/>
    <s v="Married"/>
    <x v="1"/>
    <n v="7.7"/>
    <n v="3"/>
    <n v="0"/>
    <s v="No"/>
    <s v="Within 5 min"/>
    <n v="52"/>
    <n v="4.7"/>
    <n v="0.4"/>
    <n v="6.8"/>
    <n v="3.9"/>
    <s v="No"/>
    <s v="Yes"/>
    <n v="4"/>
    <n v="5.6"/>
    <n v="2.8"/>
    <n v="3.5"/>
    <n v="4.9000000000000004"/>
    <n v="9"/>
    <n v="5.2"/>
    <n v="6.2"/>
    <n v="5.3"/>
    <n v="2.5"/>
    <n v="6.4"/>
    <s v="Moderate"/>
    <x v="3"/>
  </r>
  <r>
    <x v="958"/>
    <n v="17"/>
    <x v="0"/>
    <x v="3"/>
    <s v="Single"/>
    <x v="1"/>
    <n v="1.9"/>
    <n v="7"/>
    <n v="6"/>
    <s v="Yes"/>
    <s v="5-30 min"/>
    <n v="88"/>
    <n v="5.0999999999999996"/>
    <n v="5.3"/>
    <n v="5.8"/>
    <n v="5.5"/>
    <s v="No"/>
    <s v="Yes"/>
    <n v="5.0999999999999996"/>
    <n v="2.7"/>
    <n v="5.2"/>
    <n v="4.7"/>
    <n v="5.8"/>
    <n v="4"/>
    <n v="6"/>
    <n v="10"/>
    <n v="0.1"/>
    <n v="3.8"/>
    <n v="5.0999999999999996"/>
    <s v="High"/>
    <x v="3"/>
  </r>
  <r>
    <x v="959"/>
    <n v="32"/>
    <x v="3"/>
    <x v="3"/>
    <s v="In a Relationship"/>
    <x v="1"/>
    <n v="4.9000000000000004"/>
    <n v="6"/>
    <n v="2"/>
    <s v="Yes"/>
    <s v="Within 5 min"/>
    <n v="73"/>
    <n v="9.3000000000000007"/>
    <n v="3.7"/>
    <n v="8.8000000000000007"/>
    <n v="4.5999999999999996"/>
    <s v="No"/>
    <s v="Yes"/>
    <n v="8.1999999999999993"/>
    <n v="0.7"/>
    <n v="3.8"/>
    <n v="7.7"/>
    <n v="3.1"/>
    <n v="6.1"/>
    <n v="0.3"/>
    <n v="9"/>
    <n v="1.5"/>
    <n v="4.2"/>
    <n v="5.2"/>
    <s v="Severe"/>
    <x v="0"/>
  </r>
  <r>
    <x v="960"/>
    <n v="20"/>
    <x v="0"/>
    <x v="0"/>
    <s v="In a Relationship"/>
    <x v="1"/>
    <n v="3.7"/>
    <n v="2"/>
    <n v="6"/>
    <s v="Yes"/>
    <s v="5-30 min"/>
    <n v="74"/>
    <n v="5.5"/>
    <n v="4.9000000000000004"/>
    <n v="3.8"/>
    <n v="3.8"/>
    <s v="No"/>
    <s v="No"/>
    <n v="2.4"/>
    <n v="5.3"/>
    <n v="5.2"/>
    <n v="6.4"/>
    <n v="4.5999999999999996"/>
    <n v="6.6"/>
    <n v="5.4"/>
    <n v="5.5"/>
    <n v="6.1"/>
    <n v="4.3"/>
    <n v="8.6"/>
    <s v="Low"/>
    <x v="1"/>
  </r>
  <r>
    <x v="961"/>
    <n v="30"/>
    <x v="0"/>
    <x v="0"/>
    <s v="In a Relationship"/>
    <x v="2"/>
    <n v="4.4000000000000004"/>
    <n v="4"/>
    <n v="3"/>
    <s v="No"/>
    <s v="Within 5 min"/>
    <n v="139"/>
    <n v="7.9"/>
    <n v="9.3000000000000007"/>
    <n v="4.2"/>
    <n v="3.9"/>
    <s v="No"/>
    <s v="No"/>
    <n v="6.2"/>
    <n v="4"/>
    <m/>
    <n v="4.2"/>
    <n v="6.7"/>
    <n v="7.4"/>
    <n v="6.6"/>
    <n v="7.6"/>
    <n v="4.5"/>
    <n v="2.9"/>
    <n v="6"/>
    <s v="High"/>
    <x v="0"/>
  </r>
  <r>
    <x v="962"/>
    <n v="42"/>
    <x v="0"/>
    <x v="1"/>
    <s v="Single"/>
    <x v="0"/>
    <n v="6.7"/>
    <n v="1"/>
    <n v="3"/>
    <s v="No"/>
    <s v="After 30 min"/>
    <n v="36"/>
    <n v="6.9"/>
    <n v="6.9"/>
    <m/>
    <n v="6.6"/>
    <s v="No"/>
    <s v="Yes"/>
    <n v="4.7"/>
    <n v="4.2"/>
    <n v="7.2"/>
    <n v="8.4"/>
    <n v="9.3000000000000007"/>
    <n v="7"/>
    <n v="5.4"/>
    <n v="4.3"/>
    <n v="1.7"/>
    <n v="4.2"/>
    <n v="7.1"/>
    <s v="Moderate"/>
    <x v="2"/>
  </r>
  <r>
    <x v="963"/>
    <n v="21"/>
    <x v="2"/>
    <x v="1"/>
    <s v="In a Relationship"/>
    <x v="1"/>
    <n v="4.2"/>
    <n v="3"/>
    <n v="0"/>
    <s v="No"/>
    <s v="5-30 min"/>
    <n v="47"/>
    <n v="7.4"/>
    <n v="1.1000000000000001"/>
    <n v="6.2"/>
    <n v="3.2"/>
    <s v="No"/>
    <s v="No"/>
    <n v="0"/>
    <n v="5.7"/>
    <m/>
    <n v="7.5"/>
    <n v="9.8000000000000007"/>
    <n v="5.4"/>
    <n v="4.7"/>
    <n v="6"/>
    <n v="4.8"/>
    <n v="2.7"/>
    <n v="9.3000000000000007"/>
    <s v="Low"/>
    <x v="1"/>
  </r>
  <r>
    <x v="964"/>
    <n v="33"/>
    <x v="0"/>
    <x v="0"/>
    <m/>
    <x v="0"/>
    <n v="2.2999999999999998"/>
    <n v="3"/>
    <n v="2"/>
    <s v="No"/>
    <s v="Within 5 min"/>
    <n v="77"/>
    <n v="0.1"/>
    <n v="1.8"/>
    <n v="5.6"/>
    <n v="2.2000000000000002"/>
    <s v="No"/>
    <s v="Yes"/>
    <m/>
    <n v="4.4000000000000004"/>
    <n v="5.8"/>
    <n v="5.8"/>
    <n v="5.3"/>
    <m/>
    <n v="5.8"/>
    <n v="6.8"/>
    <n v="2.8"/>
    <n v="1.8"/>
    <n v="7.8"/>
    <s v="Low"/>
    <x v="0"/>
  </r>
  <r>
    <x v="965"/>
    <n v="29"/>
    <x v="1"/>
    <x v="0"/>
    <s v="In a Relationship"/>
    <x v="4"/>
    <n v="4.5999999999999996"/>
    <n v="4"/>
    <n v="3"/>
    <s v="Yes"/>
    <s v="5-30 min"/>
    <n v="53"/>
    <n v="6.4"/>
    <n v="5.6"/>
    <n v="5.6"/>
    <n v="6.2"/>
    <s v="No"/>
    <s v="No"/>
    <n v="6.4"/>
    <n v="3.5"/>
    <n v="6.9"/>
    <n v="7.5"/>
    <n v="4.9000000000000004"/>
    <n v="4.4000000000000004"/>
    <n v="4.9000000000000004"/>
    <n v="4.0999999999999996"/>
    <n v="2.6"/>
    <n v="0.4"/>
    <n v="5.5"/>
    <s v="Moderate"/>
    <x v="0"/>
  </r>
  <r>
    <x v="966"/>
    <n v="37"/>
    <x v="1"/>
    <x v="2"/>
    <s v="Single"/>
    <x v="1"/>
    <n v="6.5"/>
    <n v="3"/>
    <n v="3"/>
    <s v="Yes"/>
    <s v="After 30 min"/>
    <n v="64"/>
    <n v="6.2"/>
    <n v="7.4"/>
    <n v="6.8"/>
    <n v="8.9"/>
    <s v="No"/>
    <s v="Yes"/>
    <n v="2.6"/>
    <n v="0.8"/>
    <n v="2.1"/>
    <n v="8.6999999999999993"/>
    <n v="5.7"/>
    <n v="8.5"/>
    <n v="6.5"/>
    <n v="9"/>
    <n v="2.4"/>
    <m/>
    <n v="5.6"/>
    <s v="High"/>
    <x v="2"/>
  </r>
  <r>
    <x v="967"/>
    <n v="39"/>
    <x v="1"/>
    <x v="0"/>
    <s v="Married"/>
    <x v="0"/>
    <m/>
    <n v="3"/>
    <n v="4"/>
    <s v="No"/>
    <s v="Within 5 min"/>
    <n v="17"/>
    <n v="3.1"/>
    <n v="4.8"/>
    <n v="9"/>
    <n v="3.2"/>
    <s v="Yes"/>
    <s v="No"/>
    <n v="5"/>
    <n v="6.4"/>
    <n v="3.8"/>
    <n v="3"/>
    <n v="5.7"/>
    <m/>
    <n v="8.6"/>
    <n v="5.2"/>
    <n v="5.9"/>
    <n v="3.2"/>
    <n v="7.3"/>
    <s v="Moderate"/>
    <x v="2"/>
  </r>
  <r>
    <x v="968"/>
    <n v="32"/>
    <x v="1"/>
    <x v="0"/>
    <s v="Single"/>
    <x v="1"/>
    <n v="5.9"/>
    <n v="1"/>
    <n v="1"/>
    <s v="Yes"/>
    <s v="5-30 min"/>
    <n v="87"/>
    <n v="7.5"/>
    <n v="9.4"/>
    <n v="6.9"/>
    <n v="7.7"/>
    <s v="Yes"/>
    <s v="Yes"/>
    <n v="3.2"/>
    <n v="4.7"/>
    <n v="8"/>
    <n v="8.8000000000000007"/>
    <n v="3.3"/>
    <n v="6.1"/>
    <n v="7.4"/>
    <n v="3.9"/>
    <n v="1.9"/>
    <n v="1.4"/>
    <n v="3.5"/>
    <s v="Severe"/>
    <x v="0"/>
  </r>
  <r>
    <x v="969"/>
    <n v="37"/>
    <x v="2"/>
    <x v="4"/>
    <s v="In a Relationship"/>
    <x v="3"/>
    <n v="1.4"/>
    <n v="1"/>
    <n v="8"/>
    <s v="Yes"/>
    <s v="After 30 min"/>
    <n v="88"/>
    <n v="9.4"/>
    <n v="2.8"/>
    <n v="7.1"/>
    <n v="2.5"/>
    <s v="No"/>
    <s v="Yes"/>
    <n v="4.8"/>
    <n v="2.2999999999999998"/>
    <n v="2.2000000000000002"/>
    <n v="4.8"/>
    <n v="7.3"/>
    <m/>
    <n v="5.9"/>
    <n v="3.4"/>
    <n v="1.1000000000000001"/>
    <n v="3.5"/>
    <n v="6.2"/>
    <s v="Moderate"/>
    <x v="2"/>
  </r>
  <r>
    <x v="970"/>
    <n v="31"/>
    <x v="1"/>
    <x v="1"/>
    <s v="In a Relationship"/>
    <x v="5"/>
    <n v="6.4"/>
    <n v="4"/>
    <n v="4"/>
    <s v="No"/>
    <s v="5-30 min"/>
    <n v="29"/>
    <n v="7"/>
    <n v="8.6"/>
    <n v="6"/>
    <n v="5.4"/>
    <s v="Yes"/>
    <s v="No"/>
    <n v="0.9"/>
    <n v="2.5"/>
    <n v="4.2"/>
    <n v="9"/>
    <n v="5"/>
    <n v="5"/>
    <n v="4.3"/>
    <n v="3"/>
    <m/>
    <n v="4.9000000000000004"/>
    <n v="7.8"/>
    <s v="Low"/>
    <x v="0"/>
  </r>
  <r>
    <x v="971"/>
    <n v="31"/>
    <x v="0"/>
    <x v="1"/>
    <s v="Single"/>
    <x v="5"/>
    <n v="3.3"/>
    <n v="3"/>
    <n v="6"/>
    <s v="No"/>
    <s v="After 30 min"/>
    <n v="47"/>
    <n v="3.3"/>
    <n v="5.7"/>
    <n v="7.3"/>
    <n v="2.7"/>
    <s v="Yes"/>
    <s v="Yes"/>
    <n v="5.7"/>
    <n v="4.9000000000000004"/>
    <n v="7.7"/>
    <n v="0"/>
    <m/>
    <n v="6.4"/>
    <n v="5.0999999999999996"/>
    <n v="7.8"/>
    <n v="2.4"/>
    <n v="3.7"/>
    <n v="7.2"/>
    <s v="Moderate"/>
    <x v="0"/>
  </r>
  <r>
    <x v="972"/>
    <n v="20"/>
    <x v="1"/>
    <x v="0"/>
    <s v="Married"/>
    <x v="5"/>
    <n v="1.7"/>
    <n v="3"/>
    <n v="2"/>
    <s v="Yes"/>
    <s v="Within 5 min"/>
    <n v="106"/>
    <n v="6.2"/>
    <n v="5.9"/>
    <n v="2.6"/>
    <n v="6.4"/>
    <s v="No"/>
    <s v="No"/>
    <n v="4.9000000000000004"/>
    <n v="9.6"/>
    <n v="5.6"/>
    <n v="8.4"/>
    <n v="4.0999999999999996"/>
    <n v="5.8"/>
    <n v="3.7"/>
    <n v="4"/>
    <n v="0.4"/>
    <n v="9.3000000000000007"/>
    <n v="5.4"/>
    <s v="Moderate"/>
    <x v="1"/>
  </r>
  <r>
    <x v="973"/>
    <n v="32"/>
    <x v="1"/>
    <x v="0"/>
    <s v="In a Relationship"/>
    <x v="3"/>
    <n v="5.0999999999999996"/>
    <n v="5"/>
    <n v="5"/>
    <s v="No"/>
    <s v="5-30 min"/>
    <n v="45"/>
    <m/>
    <n v="6.1"/>
    <n v="2.9"/>
    <n v="6.2"/>
    <s v="No"/>
    <s v="No"/>
    <n v="7.5"/>
    <n v="4.4000000000000004"/>
    <n v="6.3"/>
    <n v="4.9000000000000004"/>
    <n v="2.2000000000000002"/>
    <n v="6.4"/>
    <n v="5"/>
    <n v="5.3"/>
    <n v="2.9"/>
    <n v="4.5999999999999996"/>
    <n v="6.4"/>
    <s v="Moderate"/>
    <x v="0"/>
  </r>
  <r>
    <x v="974"/>
    <n v="22"/>
    <x v="1"/>
    <x v="2"/>
    <s v="Single"/>
    <x v="4"/>
    <n v="1.2"/>
    <n v="5"/>
    <n v="3"/>
    <s v="Yes"/>
    <s v="5-30 min"/>
    <n v="77"/>
    <n v="2.2000000000000002"/>
    <n v="8.8000000000000007"/>
    <n v="1.2"/>
    <n v="7.6"/>
    <s v="No"/>
    <s v="No"/>
    <n v="4.9000000000000004"/>
    <n v="2.6"/>
    <n v="2.1"/>
    <n v="3.1"/>
    <m/>
    <n v="7.4"/>
    <n v="2.6"/>
    <n v="8.1999999999999993"/>
    <n v="2.4"/>
    <n v="2.4"/>
    <n v="7.9"/>
    <s v="Low"/>
    <x v="1"/>
  </r>
  <r>
    <x v="975"/>
    <n v="43"/>
    <x v="0"/>
    <x v="0"/>
    <s v="In a Relationship"/>
    <x v="4"/>
    <n v="5"/>
    <n v="2"/>
    <n v="2"/>
    <s v="Yes"/>
    <s v="Within 5 min"/>
    <n v="87"/>
    <n v="2.1"/>
    <n v="5.8"/>
    <n v="8.3000000000000007"/>
    <n v="4.2"/>
    <s v="Yes"/>
    <s v="Yes"/>
    <n v="6"/>
    <n v="10"/>
    <n v="4.5999999999999996"/>
    <n v="7.5"/>
    <n v="4.8"/>
    <n v="7.9"/>
    <n v="6.5"/>
    <n v="5.2"/>
    <n v="5.6"/>
    <m/>
    <n v="5"/>
    <s v="High"/>
    <x v="2"/>
  </r>
  <r>
    <x v="976"/>
    <n v="35"/>
    <x v="1"/>
    <x v="0"/>
    <s v="Single"/>
    <x v="2"/>
    <n v="7.9"/>
    <n v="3"/>
    <n v="2"/>
    <s v="No"/>
    <s v="Within 5 min"/>
    <n v="91"/>
    <n v="3.3"/>
    <n v="0"/>
    <n v="8.5"/>
    <n v="4"/>
    <s v="Yes"/>
    <s v="No"/>
    <n v="1.6"/>
    <n v="4.4000000000000004"/>
    <n v="7.3"/>
    <n v="7.2"/>
    <n v="7.3"/>
    <n v="4.3"/>
    <n v="7.8"/>
    <n v="9.4"/>
    <n v="5.9"/>
    <n v="2.9"/>
    <n v="8.3000000000000007"/>
    <s v="Low"/>
    <x v="4"/>
  </r>
  <r>
    <x v="977"/>
    <n v="43"/>
    <x v="3"/>
    <x v="3"/>
    <s v="Married"/>
    <x v="0"/>
    <n v="3.2"/>
    <n v="3"/>
    <n v="3"/>
    <s v="No"/>
    <s v="5-30 min"/>
    <n v="5"/>
    <n v="1.5"/>
    <n v="7.2"/>
    <n v="5.3"/>
    <n v="1.6"/>
    <s v="No"/>
    <s v="Yes"/>
    <n v="6.2"/>
    <n v="6.7"/>
    <n v="5.9"/>
    <n v="2.5"/>
    <n v="7.8"/>
    <n v="5.7"/>
    <n v="7.5"/>
    <n v="6.6"/>
    <n v="4.5"/>
    <n v="1.7"/>
    <n v="7.5"/>
    <s v="Low"/>
    <x v="2"/>
  </r>
  <r>
    <x v="978"/>
    <n v="17"/>
    <x v="0"/>
    <x v="0"/>
    <s v="In a Relationship"/>
    <x v="2"/>
    <n v="2.4"/>
    <n v="5"/>
    <n v="3"/>
    <s v="No"/>
    <s v="Within 5 min"/>
    <n v="103"/>
    <n v="7.4"/>
    <n v="5.3"/>
    <n v="8.1999999999999993"/>
    <n v="7.3"/>
    <s v="Yes"/>
    <s v="Yes"/>
    <n v="2.5"/>
    <n v="6.9"/>
    <n v="2.4"/>
    <n v="4.8"/>
    <n v="4.2"/>
    <n v="7.7"/>
    <m/>
    <n v="4.0999999999999996"/>
    <n v="3.7"/>
    <n v="8.3000000000000007"/>
    <n v="6"/>
    <s v="High"/>
    <x v="3"/>
  </r>
  <r>
    <x v="979"/>
    <n v="37"/>
    <x v="0"/>
    <x v="1"/>
    <s v="Single"/>
    <x v="5"/>
    <n v="6.8"/>
    <n v="3"/>
    <n v="3"/>
    <s v="Yes"/>
    <s v="5-30 min"/>
    <n v="86"/>
    <n v="1.9"/>
    <n v="10"/>
    <n v="5.5"/>
    <n v="5.6"/>
    <s v="Yes"/>
    <s v="No"/>
    <m/>
    <n v="4.8"/>
    <n v="0.3"/>
    <n v="7.7"/>
    <n v="7.7"/>
    <n v="7.1"/>
    <n v="4.4000000000000004"/>
    <n v="5"/>
    <n v="3"/>
    <n v="3.4"/>
    <n v="6.4"/>
    <s v="Moderate"/>
    <x v="2"/>
  </r>
  <r>
    <x v="980"/>
    <n v="19"/>
    <x v="0"/>
    <x v="3"/>
    <s v="Married"/>
    <x v="1"/>
    <n v="5.8"/>
    <n v="3"/>
    <n v="2"/>
    <s v="Yes"/>
    <s v="After 30 min"/>
    <n v="86"/>
    <n v="4.7"/>
    <n v="6.5"/>
    <n v="2"/>
    <n v="5"/>
    <s v="No"/>
    <s v="No"/>
    <n v="6"/>
    <n v="3.9"/>
    <n v="6.4"/>
    <n v="1"/>
    <n v="3.4"/>
    <n v="5.7"/>
    <n v="5.0999999999999996"/>
    <n v="5.6"/>
    <n v="0.6"/>
    <m/>
    <n v="5.9"/>
    <s v="Moderate"/>
    <x v="1"/>
  </r>
  <r>
    <x v="981"/>
    <n v="29"/>
    <x v="1"/>
    <x v="0"/>
    <m/>
    <x v="1"/>
    <n v="6.3"/>
    <n v="6"/>
    <n v="4"/>
    <s v="No"/>
    <s v="After 30 min"/>
    <n v="5"/>
    <n v="6.7"/>
    <n v="7.1"/>
    <n v="6.5"/>
    <n v="5"/>
    <s v="Yes"/>
    <s v="No"/>
    <n v="3.4"/>
    <n v="5.5"/>
    <n v="4.5999999999999996"/>
    <n v="4.8"/>
    <n v="5.5"/>
    <n v="4.5999999999999996"/>
    <n v="2.2000000000000002"/>
    <n v="6.8"/>
    <n v="2.6"/>
    <n v="1.7"/>
    <n v="7.7"/>
    <s v="Low"/>
    <x v="0"/>
  </r>
  <r>
    <x v="982"/>
    <n v="16"/>
    <x v="1"/>
    <x v="0"/>
    <s v="Single"/>
    <x v="3"/>
    <n v="0.5"/>
    <n v="5"/>
    <n v="8"/>
    <s v="No"/>
    <s v="Within 5 min"/>
    <n v="42"/>
    <n v="9.6999999999999993"/>
    <n v="6.2"/>
    <n v="4.9000000000000004"/>
    <n v="9.6"/>
    <s v="Yes"/>
    <s v="No"/>
    <n v="6.2"/>
    <n v="0"/>
    <n v="4.5999999999999996"/>
    <n v="4.7"/>
    <n v="5.9"/>
    <n v="4.4000000000000004"/>
    <n v="5.7"/>
    <n v="8.5"/>
    <m/>
    <n v="2.9"/>
    <n v="5.2"/>
    <s v="Severe"/>
    <x v="3"/>
  </r>
  <r>
    <x v="983"/>
    <n v="22"/>
    <x v="0"/>
    <x v="1"/>
    <s v="In a Relationship"/>
    <x v="4"/>
    <n v="2.5"/>
    <n v="1"/>
    <n v="6"/>
    <s v="No"/>
    <s v="5-30 min"/>
    <n v="95"/>
    <n v="6.6"/>
    <n v="2"/>
    <n v="4.3"/>
    <n v="2.2999999999999998"/>
    <s v="Yes"/>
    <s v="Yes"/>
    <n v="4"/>
    <n v="2.4"/>
    <n v="2.6"/>
    <n v="5.5"/>
    <n v="6.1"/>
    <n v="6.6"/>
    <n v="4.3"/>
    <n v="2.5"/>
    <n v="3.9"/>
    <n v="3.7"/>
    <n v="8.5"/>
    <s v="Low"/>
    <x v="1"/>
  </r>
  <r>
    <x v="984"/>
    <n v="34"/>
    <x v="1"/>
    <x v="2"/>
    <s v="Single"/>
    <x v="0"/>
    <n v="8.4"/>
    <n v="1"/>
    <n v="8"/>
    <s v="No"/>
    <s v="Within 5 min"/>
    <n v="86"/>
    <n v="5.9"/>
    <n v="3.3"/>
    <n v="4.3"/>
    <n v="7"/>
    <s v="Yes"/>
    <s v="Yes"/>
    <n v="4.0999999999999996"/>
    <n v="5.4"/>
    <n v="4.0999999999999996"/>
    <n v="1.8"/>
    <n v="8.6"/>
    <n v="6.2"/>
    <n v="4.7"/>
    <n v="8.8000000000000007"/>
    <n v="3"/>
    <n v="0"/>
    <n v="6.3"/>
    <s v="Moderate"/>
    <x v="0"/>
  </r>
  <r>
    <x v="985"/>
    <n v="15"/>
    <x v="2"/>
    <x v="0"/>
    <s v="Married"/>
    <x v="0"/>
    <n v="2.6"/>
    <n v="1"/>
    <n v="3"/>
    <s v="No"/>
    <s v="5-30 min"/>
    <n v="97"/>
    <n v="9.4"/>
    <n v="4.8"/>
    <n v="4.2"/>
    <n v="6.4"/>
    <s v="Yes"/>
    <s v="No"/>
    <n v="4.5999999999999996"/>
    <n v="5.8"/>
    <n v="5.7"/>
    <n v="8.5"/>
    <n v="6.1"/>
    <n v="3"/>
    <n v="4.5999999999999996"/>
    <n v="6.1"/>
    <n v="3.3"/>
    <n v="2.9"/>
    <n v="7.4"/>
    <s v="Low"/>
    <x v="3"/>
  </r>
  <r>
    <x v="986"/>
    <n v="39"/>
    <x v="1"/>
    <x v="1"/>
    <s v="In a Relationship"/>
    <x v="3"/>
    <n v="3.4"/>
    <n v="3"/>
    <n v="4"/>
    <s v="Yes"/>
    <s v="5-30 min"/>
    <n v="55"/>
    <n v="6"/>
    <n v="4.5"/>
    <n v="5.4"/>
    <n v="4.2"/>
    <s v="No"/>
    <s v="No"/>
    <n v="4.7"/>
    <n v="3.5"/>
    <n v="6.8"/>
    <n v="3.2"/>
    <n v="6.3"/>
    <n v="8.6"/>
    <n v="7"/>
    <n v="7.7"/>
    <n v="2.9"/>
    <n v="2.9"/>
    <n v="7"/>
    <s v="Low"/>
    <x v="2"/>
  </r>
  <r>
    <x v="987"/>
    <n v="32"/>
    <x v="0"/>
    <x v="0"/>
    <s v="Married"/>
    <x v="3"/>
    <n v="4.7"/>
    <n v="4"/>
    <n v="3"/>
    <s v="Yes"/>
    <s v="5-30 min"/>
    <n v="44"/>
    <n v="5.0999999999999996"/>
    <n v="7.6"/>
    <n v="6.8"/>
    <n v="6"/>
    <s v="Yes"/>
    <s v="Yes"/>
    <n v="4.9000000000000004"/>
    <n v="7"/>
    <n v="3.9"/>
    <n v="3.7"/>
    <n v="3.2"/>
    <m/>
    <n v="5.0999999999999996"/>
    <n v="5.6"/>
    <n v="2.6"/>
    <n v="1.3"/>
    <n v="4.9000000000000004"/>
    <s v="Severe"/>
    <x v="0"/>
  </r>
  <r>
    <x v="988"/>
    <n v="37"/>
    <x v="1"/>
    <x v="1"/>
    <s v="Single"/>
    <x v="0"/>
    <n v="4.9000000000000004"/>
    <n v="3"/>
    <n v="4"/>
    <s v="No"/>
    <s v="Within 5 min"/>
    <n v="103"/>
    <n v="3.3"/>
    <n v="1.7"/>
    <n v="3.9"/>
    <n v="6.1"/>
    <s v="No"/>
    <s v="Yes"/>
    <n v="9.6999999999999993"/>
    <n v="5.3"/>
    <n v="10"/>
    <n v="5.3"/>
    <n v="7.7"/>
    <n v="6.8"/>
    <n v="6.2"/>
    <n v="4.9000000000000004"/>
    <n v="4.0999999999999996"/>
    <n v="0.2"/>
    <n v="7.3"/>
    <s v="Moderate"/>
    <x v="2"/>
  </r>
  <r>
    <x v="989"/>
    <n v="25"/>
    <x v="0"/>
    <x v="1"/>
    <s v="Single"/>
    <x v="0"/>
    <n v="4"/>
    <n v="7"/>
    <n v="1"/>
    <s v="Yes"/>
    <s v="5-30 min"/>
    <n v="5"/>
    <n v="3.8"/>
    <n v="4.7"/>
    <n v="4.0999999999999996"/>
    <n v="4.5999999999999996"/>
    <s v="Yes"/>
    <s v="Yes"/>
    <n v="2.1"/>
    <n v="0.2"/>
    <n v="2.2999999999999998"/>
    <n v="5"/>
    <m/>
    <n v="9.1"/>
    <n v="7.2"/>
    <n v="1.3"/>
    <n v="4.3"/>
    <n v="3.3"/>
    <n v="6.5"/>
    <s v="Moderate"/>
    <x v="0"/>
  </r>
  <r>
    <x v="990"/>
    <n v="31"/>
    <x v="1"/>
    <x v="0"/>
    <s v="In a Relationship"/>
    <x v="5"/>
    <n v="0.5"/>
    <n v="3"/>
    <n v="3"/>
    <s v="No"/>
    <s v="Within 5 min"/>
    <n v="61"/>
    <n v="7.8"/>
    <n v="10"/>
    <n v="3.8"/>
    <n v="2.2000000000000002"/>
    <s v="No"/>
    <s v="No"/>
    <n v="6.4"/>
    <n v="2.9"/>
    <n v="4"/>
    <n v="5.7"/>
    <n v="6"/>
    <n v="6.9"/>
    <n v="3.7"/>
    <n v="4.8"/>
    <n v="5"/>
    <n v="0.1"/>
    <n v="7.2"/>
    <s v="Moderate"/>
    <x v="0"/>
  </r>
  <r>
    <x v="991"/>
    <n v="24"/>
    <x v="1"/>
    <x v="0"/>
    <s v="Married"/>
    <x v="1"/>
    <n v="5.6"/>
    <n v="1"/>
    <n v="4"/>
    <s v="Yes"/>
    <s v="Within 5 min"/>
    <n v="5"/>
    <n v="8.8000000000000007"/>
    <n v="9.6"/>
    <n v="7.9"/>
    <n v="8.3000000000000007"/>
    <s v="Yes"/>
    <s v="Yes"/>
    <n v="5.7"/>
    <n v="2.8"/>
    <n v="3.3"/>
    <n v="5.2"/>
    <n v="7.6"/>
    <n v="4.2"/>
    <n v="4"/>
    <n v="7"/>
    <n v="0"/>
    <n v="4.5"/>
    <n v="2.8"/>
    <s v="Severe"/>
    <x v="1"/>
  </r>
  <r>
    <x v="992"/>
    <n v="15"/>
    <x v="0"/>
    <x v="0"/>
    <s v="Single"/>
    <x v="0"/>
    <n v="1.8"/>
    <n v="4"/>
    <n v="2"/>
    <s v="Yes"/>
    <s v="Within 5 min"/>
    <n v="33"/>
    <n v="7.1"/>
    <n v="7.9"/>
    <n v="2.7"/>
    <n v="5.8"/>
    <s v="Yes"/>
    <s v="No"/>
    <n v="4.7"/>
    <n v="2.8"/>
    <m/>
    <n v="8.9"/>
    <n v="3.6"/>
    <n v="6.6"/>
    <n v="5.4"/>
    <n v="3.4"/>
    <n v="6.5"/>
    <n v="4.2"/>
    <n v="7.1"/>
    <s v="Moderate"/>
    <x v="3"/>
  </r>
  <r>
    <x v="993"/>
    <n v="38"/>
    <x v="1"/>
    <x v="1"/>
    <s v="Married"/>
    <x v="0"/>
    <n v="6.5"/>
    <n v="8"/>
    <n v="3"/>
    <s v="No"/>
    <s v="Within 5 min"/>
    <n v="16"/>
    <n v="0"/>
    <n v="7"/>
    <n v="2"/>
    <n v="2.8"/>
    <s v="No"/>
    <s v="No"/>
    <n v="6.2"/>
    <n v="3.8"/>
    <n v="4.5"/>
    <n v="3.2"/>
    <n v="3.7"/>
    <n v="8.6"/>
    <n v="7.7"/>
    <n v="9.3000000000000007"/>
    <n v="2.1"/>
    <n v="1.1000000000000001"/>
    <n v="8"/>
    <s v="Low"/>
    <x v="2"/>
  </r>
  <r>
    <x v="994"/>
    <n v="34"/>
    <x v="1"/>
    <x v="1"/>
    <s v="Single"/>
    <x v="0"/>
    <n v="7.1"/>
    <n v="4"/>
    <n v="6"/>
    <s v="Yes"/>
    <s v="Within 5 min"/>
    <n v="75"/>
    <n v="9.5"/>
    <n v="5.6"/>
    <n v="5.9"/>
    <n v="0"/>
    <s v="No"/>
    <s v="No"/>
    <m/>
    <n v="2.9"/>
    <n v="5.7"/>
    <n v="10"/>
    <n v="4.0999999999999996"/>
    <n v="6.2"/>
    <n v="6.8"/>
    <n v="9.5"/>
    <n v="2.8"/>
    <n v="0.7"/>
    <n v="5"/>
    <s v="High"/>
    <x v="0"/>
  </r>
  <r>
    <x v="995"/>
    <n v="26"/>
    <x v="1"/>
    <x v="1"/>
    <s v="Single"/>
    <x v="3"/>
    <m/>
    <n v="2"/>
    <n v="1"/>
    <s v="Yes"/>
    <s v="Within 5 min"/>
    <n v="100"/>
    <m/>
    <n v="4.7"/>
    <n v="2.6"/>
    <n v="3"/>
    <s v="No"/>
    <s v="No"/>
    <n v="7"/>
    <n v="2.2000000000000002"/>
    <n v="1.3"/>
    <n v="2.6"/>
    <n v="4.0999999999999996"/>
    <n v="8"/>
    <n v="4.3"/>
    <n v="3"/>
    <n v="1.8"/>
    <n v="4.2"/>
    <n v="6.1"/>
    <s v="High"/>
    <x v="0"/>
  </r>
  <r>
    <x v="996"/>
    <n v="41"/>
    <x v="0"/>
    <x v="1"/>
    <s v="In a Relationship"/>
    <x v="0"/>
    <n v="4.7"/>
    <n v="3"/>
    <n v="5"/>
    <s v="Yes"/>
    <s v="Within 5 min"/>
    <n v="117"/>
    <n v="4.2"/>
    <n v="5.8"/>
    <n v="2.1"/>
    <n v="5.2"/>
    <s v="No"/>
    <s v="Yes"/>
    <n v="4"/>
    <n v="2.9"/>
    <m/>
    <n v="6.7"/>
    <n v="8"/>
    <n v="6.9"/>
    <n v="6.7"/>
    <n v="3.6"/>
    <n v="5.0999999999999996"/>
    <n v="2.7"/>
    <n v="5.6"/>
    <s v="High"/>
    <x v="2"/>
  </r>
  <r>
    <x v="997"/>
    <n v="34"/>
    <x v="1"/>
    <x v="1"/>
    <s v="In a Relationship"/>
    <x v="4"/>
    <n v="8"/>
    <n v="2"/>
    <n v="4"/>
    <s v="No"/>
    <s v="5-30 min"/>
    <n v="71"/>
    <n v="10"/>
    <n v="4.4000000000000004"/>
    <m/>
    <n v="3.8"/>
    <s v="No"/>
    <s v="Yes"/>
    <n v="6.8"/>
    <n v="3.7"/>
    <n v="2.4"/>
    <n v="6"/>
    <n v="6.3"/>
    <n v="6.6"/>
    <n v="6.7"/>
    <n v="2.9"/>
    <n v="2.5"/>
    <n v="4.8"/>
    <n v="5.5"/>
    <s v="High"/>
    <x v="0"/>
  </r>
  <r>
    <x v="998"/>
    <n v="33"/>
    <x v="0"/>
    <x v="0"/>
    <s v="In a Relationship"/>
    <x v="1"/>
    <n v="8.1999999999999993"/>
    <n v="1"/>
    <n v="7"/>
    <m/>
    <s v="Within 5 min"/>
    <n v="107"/>
    <n v="3.3"/>
    <n v="8.1"/>
    <n v="7"/>
    <n v="7.2"/>
    <s v="Yes"/>
    <s v="No"/>
    <n v="5.3"/>
    <n v="1.6"/>
    <n v="5.2"/>
    <n v="3.5"/>
    <n v="5.5"/>
    <n v="7.5"/>
    <n v="0.6"/>
    <n v="5.3"/>
    <n v="2.1"/>
    <n v="1.5"/>
    <n v="5.0999999999999996"/>
    <s v="Severe"/>
    <x v="0"/>
  </r>
  <r>
    <x v="999"/>
    <n v="27"/>
    <x v="1"/>
    <x v="0"/>
    <s v="Single"/>
    <x v="4"/>
    <n v="6.5"/>
    <n v="6"/>
    <n v="5"/>
    <s v="Yes"/>
    <s v="After 30 min"/>
    <n v="91"/>
    <n v="5.4"/>
    <n v="5.5"/>
    <n v="1.6"/>
    <n v="7.5"/>
    <s v="No"/>
    <s v="Yes"/>
    <n v="7.4"/>
    <n v="10"/>
    <n v="4.4000000000000004"/>
    <n v="3.2"/>
    <n v="4"/>
    <n v="8"/>
    <n v="4"/>
    <n v="5"/>
    <n v="0.9"/>
    <n v="2.2999999999999998"/>
    <n v="5"/>
    <s v="High"/>
    <x v="0"/>
  </r>
  <r>
    <x v="1000"/>
    <n v="33"/>
    <x v="1"/>
    <x v="0"/>
    <s v="In a Relationship"/>
    <x v="1"/>
    <n v="3.3"/>
    <n v="3"/>
    <n v="3"/>
    <s v="No"/>
    <s v="Within 5 min"/>
    <n v="81"/>
    <n v="5.0999999999999996"/>
    <n v="4.9000000000000004"/>
    <n v="6.1"/>
    <n v="6.3"/>
    <s v="No"/>
    <s v="Yes"/>
    <n v="6.3"/>
    <n v="2.8"/>
    <n v="3.6"/>
    <n v="5.4"/>
    <n v="7"/>
    <n v="5.2"/>
    <n v="2.2999999999999998"/>
    <n v="2.2999999999999998"/>
    <m/>
    <n v="1.9"/>
    <n v="6.5"/>
    <s v="High"/>
    <x v="0"/>
  </r>
  <r>
    <x v="1001"/>
    <n v="40"/>
    <x v="0"/>
    <x v="0"/>
    <s v="In a Relationship"/>
    <x v="2"/>
    <n v="5.3"/>
    <n v="1"/>
    <n v="3"/>
    <s v="No"/>
    <s v="5-30 min"/>
    <n v="69"/>
    <n v="1.3"/>
    <n v="8"/>
    <n v="6.5"/>
    <n v="5.8"/>
    <s v="Yes"/>
    <s v="No"/>
    <n v="3.4"/>
    <n v="5.7"/>
    <n v="7.1"/>
    <n v="3.1"/>
    <n v="3.6"/>
    <n v="6.7"/>
    <n v="4.8"/>
    <n v="3.9"/>
    <n v="2.4"/>
    <n v="1.6"/>
    <n v="6.3"/>
    <s v="Moderate"/>
    <x v="2"/>
  </r>
  <r>
    <x v="1002"/>
    <n v="15"/>
    <x v="1"/>
    <x v="1"/>
    <s v="In a Relationship"/>
    <x v="3"/>
    <n v="2.4"/>
    <n v="2"/>
    <n v="1"/>
    <s v="Yes"/>
    <s v="After 30 min"/>
    <n v="5"/>
    <n v="4.8"/>
    <n v="6.4"/>
    <n v="5.4"/>
    <n v="5.5"/>
    <s v="Yes"/>
    <s v="No"/>
    <n v="3.5"/>
    <n v="0.7"/>
    <n v="10"/>
    <n v="4.5999999999999996"/>
    <n v="4.5"/>
    <n v="7"/>
    <n v="5"/>
    <m/>
    <n v="4.9000000000000004"/>
    <n v="3.7"/>
    <n v="7.3"/>
    <s v="Low"/>
    <x v="3"/>
  </r>
  <r>
    <x v="1003"/>
    <n v="40"/>
    <x v="1"/>
    <x v="4"/>
    <s v="Married"/>
    <x v="3"/>
    <n v="7.7"/>
    <n v="4"/>
    <n v="5"/>
    <s v="Yes"/>
    <s v="Within 5 min"/>
    <n v="47"/>
    <n v="6.7"/>
    <n v="8.9"/>
    <n v="8.6999999999999993"/>
    <n v="5.8"/>
    <s v="No"/>
    <s v="No"/>
    <m/>
    <n v="3.5"/>
    <n v="2.5"/>
    <n v="6.3"/>
    <n v="1.6"/>
    <n v="6.7"/>
    <n v="6"/>
    <m/>
    <n v="2.2999999999999998"/>
    <n v="5.4"/>
    <n v="3.3"/>
    <s v="Severe"/>
    <x v="2"/>
  </r>
  <r>
    <x v="1004"/>
    <n v="27"/>
    <x v="0"/>
    <x v="0"/>
    <s v="Single"/>
    <x v="1"/>
    <n v="5.2"/>
    <n v="1"/>
    <n v="3"/>
    <s v="Yes"/>
    <s v="5-30 min"/>
    <n v="155"/>
    <n v="9"/>
    <n v="3.5"/>
    <m/>
    <n v="3.3"/>
    <s v="Yes"/>
    <s v="Yes"/>
    <n v="2.1"/>
    <n v="5.0999999999999996"/>
    <n v="1.5"/>
    <n v="10"/>
    <n v="3.3"/>
    <n v="5.5"/>
    <n v="3.9"/>
    <n v="4.7"/>
    <m/>
    <n v="2.2999999999999998"/>
    <n v="5.5"/>
    <s v="High"/>
    <x v="0"/>
  </r>
  <r>
    <x v="1005"/>
    <n v="28"/>
    <x v="1"/>
    <x v="1"/>
    <s v="Single"/>
    <x v="1"/>
    <n v="7.5"/>
    <n v="2"/>
    <n v="6"/>
    <s v="Yes"/>
    <s v="Within 5 min"/>
    <n v="26"/>
    <n v="4.9000000000000004"/>
    <n v="6.5"/>
    <n v="6.7"/>
    <n v="4.5999999999999996"/>
    <s v="Yes"/>
    <s v="No"/>
    <n v="9.1"/>
    <n v="3.5"/>
    <n v="7.8"/>
    <n v="7.2"/>
    <n v="7.1"/>
    <n v="5.8"/>
    <n v="2.4"/>
    <n v="4.5"/>
    <n v="3.3"/>
    <n v="3.1"/>
    <n v="6.2"/>
    <s v="Severe"/>
    <x v="0"/>
  </r>
  <r>
    <x v="1006"/>
    <n v="36"/>
    <x v="1"/>
    <x v="0"/>
    <s v="Single"/>
    <x v="1"/>
    <n v="0.5"/>
    <n v="3"/>
    <n v="2"/>
    <s v="Yes"/>
    <s v="Within 5 min"/>
    <n v="76"/>
    <n v="2.7"/>
    <n v="3.7"/>
    <m/>
    <n v="5.0999999999999996"/>
    <s v="Yes"/>
    <s v="Yes"/>
    <n v="0.7"/>
    <n v="5.9"/>
    <n v="8.4"/>
    <n v="7.3"/>
    <n v="7.8"/>
    <n v="4.0999999999999996"/>
    <n v="3.9"/>
    <n v="3"/>
    <n v="1.3"/>
    <m/>
    <n v="8.1"/>
    <s v="Low"/>
    <x v="2"/>
  </r>
  <r>
    <x v="1007"/>
    <n v="31"/>
    <x v="2"/>
    <x v="0"/>
    <s v="Married"/>
    <x v="0"/>
    <n v="3.2"/>
    <n v="4"/>
    <n v="1"/>
    <s v="Yes"/>
    <s v="Within 5 min"/>
    <n v="67"/>
    <n v="5"/>
    <n v="7.9"/>
    <n v="3.2"/>
    <n v="5.6"/>
    <s v="Yes"/>
    <s v="No"/>
    <m/>
    <n v="10"/>
    <n v="5.6"/>
    <n v="6.3"/>
    <n v="3"/>
    <n v="6.9"/>
    <n v="4.5999999999999996"/>
    <n v="5.5"/>
    <n v="2.5"/>
    <n v="3.3"/>
    <n v="4.7"/>
    <s v="High"/>
    <x v="0"/>
  </r>
  <r>
    <x v="1008"/>
    <n v="29"/>
    <x v="1"/>
    <x v="3"/>
    <s v="Single"/>
    <x v="0"/>
    <n v="3.3"/>
    <n v="1"/>
    <n v="2"/>
    <s v="No"/>
    <s v="Within 5 min"/>
    <n v="52"/>
    <n v="4.4000000000000004"/>
    <n v="5.7"/>
    <n v="4.7"/>
    <n v="7.6"/>
    <s v="Yes"/>
    <s v="Yes"/>
    <n v="2.7"/>
    <n v="6.4"/>
    <n v="6.5"/>
    <n v="3.9"/>
    <n v="8.1"/>
    <n v="6.9"/>
    <n v="8.3000000000000007"/>
    <n v="3.2"/>
    <n v="2.8"/>
    <n v="3.2"/>
    <n v="6.2"/>
    <s v="High"/>
    <x v="0"/>
  </r>
  <r>
    <x v="1009"/>
    <n v="42"/>
    <x v="1"/>
    <x v="0"/>
    <s v="Married"/>
    <x v="3"/>
    <n v="3.5"/>
    <n v="5"/>
    <n v="4"/>
    <s v="Yes"/>
    <s v="Within 5 min"/>
    <n v="67"/>
    <n v="4.5"/>
    <n v="6.3"/>
    <n v="3.5"/>
    <n v="8.5"/>
    <s v="Yes"/>
    <s v="No"/>
    <n v="9.1"/>
    <n v="2.5"/>
    <n v="4.3"/>
    <n v="8"/>
    <n v="7.1"/>
    <n v="7.8"/>
    <n v="5.6"/>
    <n v="7.1"/>
    <n v="2.7"/>
    <n v="5.4"/>
    <n v="5.8"/>
    <s v="High"/>
    <x v="2"/>
  </r>
  <r>
    <x v="1010"/>
    <n v="43"/>
    <x v="1"/>
    <x v="1"/>
    <s v="Married"/>
    <x v="5"/>
    <n v="1.7"/>
    <n v="4"/>
    <n v="5"/>
    <s v="Yes"/>
    <s v="Within 5 min"/>
    <n v="57"/>
    <n v="2.2000000000000002"/>
    <n v="4.7"/>
    <n v="5.6"/>
    <n v="2.6"/>
    <s v="No"/>
    <s v="No"/>
    <n v="6"/>
    <n v="4.4000000000000004"/>
    <n v="5.8"/>
    <n v="4.3"/>
    <n v="6.3"/>
    <n v="4.4000000000000004"/>
    <n v="6.2"/>
    <n v="4.2"/>
    <n v="1.6"/>
    <n v="5.2"/>
    <n v="7.1"/>
    <s v="Moderate"/>
    <x v="2"/>
  </r>
  <r>
    <x v="1011"/>
    <n v="33"/>
    <x v="0"/>
    <x v="0"/>
    <s v="In a Relationship"/>
    <x v="1"/>
    <n v="5.4"/>
    <n v="1"/>
    <n v="7"/>
    <s v="No"/>
    <s v="Within 5 min"/>
    <n v="78"/>
    <n v="6.3"/>
    <n v="1.9"/>
    <n v="7.2"/>
    <n v="7.5"/>
    <s v="Yes"/>
    <s v="Yes"/>
    <n v="3.5"/>
    <n v="0"/>
    <n v="3.6"/>
    <n v="6.6"/>
    <n v="3.3"/>
    <n v="3.7"/>
    <n v="6.9"/>
    <n v="5.2"/>
    <n v="1.8"/>
    <n v="2"/>
    <n v="5.6"/>
    <s v="Severe"/>
    <x v="0"/>
  </r>
  <r>
    <x v="1012"/>
    <n v="30"/>
    <x v="0"/>
    <x v="1"/>
    <s v="In a Relationship"/>
    <x v="3"/>
    <n v="2.5"/>
    <n v="1"/>
    <n v="3"/>
    <s v="Yes"/>
    <s v="After 30 min"/>
    <n v="128"/>
    <n v="2.6"/>
    <n v="8.6"/>
    <n v="7.7"/>
    <n v="6.4"/>
    <s v="Yes"/>
    <s v="No"/>
    <n v="3"/>
    <n v="6.4"/>
    <n v="6.6"/>
    <n v="6.4"/>
    <n v="10"/>
    <n v="7.4"/>
    <n v="6.1"/>
    <m/>
    <n v="3.3"/>
    <n v="2.5"/>
    <n v="7.4"/>
    <s v="Moderate"/>
    <x v="0"/>
  </r>
  <r>
    <x v="1013"/>
    <n v="25"/>
    <x v="0"/>
    <x v="0"/>
    <s v="In a Relationship"/>
    <x v="3"/>
    <n v="8.5"/>
    <n v="3"/>
    <n v="4"/>
    <s v="Yes"/>
    <s v="Within 5 min"/>
    <n v="62"/>
    <n v="8"/>
    <n v="4.0999999999999996"/>
    <n v="2.6"/>
    <n v="6.4"/>
    <s v="Yes"/>
    <s v="No"/>
    <n v="8.3000000000000007"/>
    <n v="3.1"/>
    <n v="0.4"/>
    <n v="5"/>
    <n v="3.9"/>
    <n v="7"/>
    <n v="1.9"/>
    <n v="7.3"/>
    <n v="0"/>
    <n v="3.1"/>
    <n v="5.4"/>
    <s v="High"/>
    <x v="0"/>
  </r>
  <r>
    <x v="1014"/>
    <n v="41"/>
    <x v="0"/>
    <x v="3"/>
    <s v="Married"/>
    <x v="1"/>
    <n v="3.6"/>
    <n v="2"/>
    <n v="4"/>
    <s v="No"/>
    <s v="Within 5 min"/>
    <n v="44"/>
    <n v="6"/>
    <n v="8.1999999999999993"/>
    <n v="5.0999999999999996"/>
    <n v="4.5999999999999996"/>
    <s v="No"/>
    <s v="Yes"/>
    <n v="5.7"/>
    <n v="2.8"/>
    <n v="5.4"/>
    <n v="8.9"/>
    <n v="2.1"/>
    <n v="6.1"/>
    <n v="4.4000000000000004"/>
    <n v="2.9"/>
    <n v="0"/>
    <n v="3"/>
    <n v="4.4000000000000004"/>
    <s v="Severe"/>
    <x v="2"/>
  </r>
  <r>
    <x v="1015"/>
    <n v="43"/>
    <x v="2"/>
    <x v="1"/>
    <s v="Married"/>
    <x v="0"/>
    <n v="3.4"/>
    <n v="4"/>
    <n v="8"/>
    <s v="No"/>
    <s v="Within 5 min"/>
    <n v="49"/>
    <n v="9.1"/>
    <n v="7.7"/>
    <n v="2.2000000000000002"/>
    <n v="2.2000000000000002"/>
    <s v="No"/>
    <s v="No"/>
    <m/>
    <n v="5.4"/>
    <n v="3.7"/>
    <n v="7.4"/>
    <n v="7.3"/>
    <n v="7.1"/>
    <n v="2.2000000000000002"/>
    <n v="6.5"/>
    <n v="1.9"/>
    <n v="3.1"/>
    <n v="7.6"/>
    <s v="Low"/>
    <x v="2"/>
  </r>
  <r>
    <x v="1016"/>
    <n v="34"/>
    <x v="1"/>
    <x v="4"/>
    <s v="Single"/>
    <x v="3"/>
    <n v="2.9"/>
    <n v="1"/>
    <n v="6"/>
    <s v="Yes"/>
    <s v="Within 5 min"/>
    <n v="45"/>
    <n v="2.7"/>
    <n v="5.5"/>
    <n v="6.6"/>
    <n v="7.2"/>
    <s v="Yes"/>
    <s v="No"/>
    <n v="4.9000000000000004"/>
    <n v="3"/>
    <n v="4.2"/>
    <m/>
    <n v="5.8"/>
    <n v="6.1"/>
    <n v="3.7"/>
    <n v="1.9"/>
    <n v="3.4"/>
    <n v="2.2999999999999998"/>
    <n v="4.8"/>
    <s v="High"/>
    <x v="0"/>
  </r>
  <r>
    <x v="1017"/>
    <n v="25"/>
    <x v="1"/>
    <x v="0"/>
    <s v="Married"/>
    <x v="1"/>
    <n v="5.7"/>
    <n v="3"/>
    <n v="3"/>
    <s v="Yes"/>
    <s v="Within 5 min"/>
    <n v="79"/>
    <n v="4.7"/>
    <n v="4.4000000000000004"/>
    <n v="5.2"/>
    <n v="4.8"/>
    <s v="Yes"/>
    <s v="Yes"/>
    <n v="2.2999999999999998"/>
    <n v="4.3"/>
    <n v="4.4000000000000004"/>
    <n v="4.0999999999999996"/>
    <n v="4.0999999999999996"/>
    <n v="5.0999999999999996"/>
    <n v="4.8"/>
    <n v="7.4"/>
    <n v="5.2"/>
    <n v="5.0999999999999996"/>
    <n v="6"/>
    <s v="Moderate"/>
    <x v="0"/>
  </r>
  <r>
    <x v="1018"/>
    <n v="30"/>
    <x v="0"/>
    <x v="1"/>
    <s v="Married"/>
    <x v="3"/>
    <n v="5.2"/>
    <n v="3"/>
    <n v="4"/>
    <s v="Yes"/>
    <s v="After 30 min"/>
    <n v="38"/>
    <n v="3.5"/>
    <n v="7.6"/>
    <n v="5.2"/>
    <n v="5.9"/>
    <s v="Yes"/>
    <s v="Yes"/>
    <n v="2.2000000000000002"/>
    <n v="3.2"/>
    <n v="4"/>
    <n v="2.8"/>
    <n v="4.7"/>
    <n v="7.2"/>
    <n v="3.7"/>
    <n v="5.6"/>
    <n v="0.9"/>
    <n v="2.8"/>
    <n v="6.2"/>
    <s v="High"/>
    <x v="0"/>
  </r>
  <r>
    <x v="1019"/>
    <n v="36"/>
    <x v="3"/>
    <x v="3"/>
    <s v="Single"/>
    <x v="2"/>
    <n v="2.2999999999999998"/>
    <n v="4"/>
    <n v="1"/>
    <s v="No"/>
    <s v="5-30 min"/>
    <n v="26"/>
    <n v="3.6"/>
    <n v="5.2"/>
    <n v="8.4"/>
    <n v="4.5999999999999996"/>
    <s v="Yes"/>
    <s v="No"/>
    <n v="2.5"/>
    <n v="4.4000000000000004"/>
    <n v="5.7"/>
    <n v="6.1"/>
    <n v="5"/>
    <n v="3.6"/>
    <n v="2.2000000000000002"/>
    <n v="5.0999999999999996"/>
    <n v="2.1"/>
    <n v="4.3"/>
    <n v="7.3"/>
    <s v="Low"/>
    <x v="2"/>
  </r>
  <r>
    <x v="1020"/>
    <n v="27"/>
    <x v="0"/>
    <x v="0"/>
    <s v="Single"/>
    <x v="0"/>
    <n v="0.5"/>
    <n v="1"/>
    <n v="3"/>
    <s v="No"/>
    <s v="5-30 min"/>
    <n v="129"/>
    <n v="7"/>
    <n v="2.7"/>
    <n v="4.0999999999999996"/>
    <n v="5.5"/>
    <s v="Yes"/>
    <s v="No"/>
    <n v="5.8"/>
    <n v="5.5"/>
    <n v="4.7"/>
    <n v="7.8"/>
    <m/>
    <n v="6.7"/>
    <n v="5"/>
    <n v="10"/>
    <n v="4.7"/>
    <n v="5.6"/>
    <n v="9.5"/>
    <s v="Low"/>
    <x v="0"/>
  </r>
  <r>
    <x v="1021"/>
    <n v="26"/>
    <x v="2"/>
    <x v="1"/>
    <s v="Single"/>
    <x v="1"/>
    <n v="3.6"/>
    <n v="2"/>
    <n v="5"/>
    <s v="No"/>
    <s v="Within 5 min"/>
    <n v="27"/>
    <m/>
    <n v="6.5"/>
    <n v="4"/>
    <n v="5"/>
    <s v="No"/>
    <s v="No"/>
    <n v="5.7"/>
    <n v="8.3000000000000007"/>
    <n v="5.6"/>
    <n v="6.1"/>
    <n v="3"/>
    <m/>
    <n v="3.4"/>
    <n v="7.5"/>
    <n v="3.1"/>
    <n v="3"/>
    <n v="8.1"/>
    <s v="Low"/>
    <x v="0"/>
  </r>
  <r>
    <x v="1022"/>
    <n v="40"/>
    <x v="1"/>
    <x v="1"/>
    <s v="Single"/>
    <x v="5"/>
    <n v="2.6"/>
    <n v="3"/>
    <n v="4"/>
    <s v="Yes"/>
    <s v="After 30 min"/>
    <n v="66"/>
    <n v="3.3"/>
    <n v="5.3"/>
    <n v="7.3"/>
    <n v="5.8"/>
    <s v="No"/>
    <s v="Yes"/>
    <n v="0.2"/>
    <m/>
    <n v="7.1"/>
    <n v="7.9"/>
    <n v="6.7"/>
    <n v="6.4"/>
    <n v="2.6"/>
    <n v="6.7"/>
    <n v="4"/>
    <n v="4.2"/>
    <n v="8.1999999999999993"/>
    <s v="Low"/>
    <x v="2"/>
  </r>
  <r>
    <x v="1023"/>
    <n v="15"/>
    <x v="1"/>
    <x v="1"/>
    <s v="In a Relationship"/>
    <x v="1"/>
    <n v="4.4000000000000004"/>
    <n v="4"/>
    <n v="3"/>
    <s v="No"/>
    <s v="After 30 min"/>
    <n v="5"/>
    <n v="5"/>
    <n v="4.5999999999999996"/>
    <n v="4.7"/>
    <n v="7.2"/>
    <s v="Yes"/>
    <s v="Yes"/>
    <n v="10"/>
    <n v="5.8"/>
    <n v="2.2000000000000002"/>
    <n v="7.9"/>
    <n v="5.4"/>
    <n v="8.5"/>
    <n v="1.8"/>
    <n v="6.3"/>
    <n v="2.8"/>
    <n v="7.2"/>
    <n v="7.6"/>
    <s v="Low"/>
    <x v="3"/>
  </r>
  <r>
    <x v="1024"/>
    <n v="39"/>
    <x v="1"/>
    <x v="0"/>
    <s v="In a Relationship"/>
    <x v="3"/>
    <n v="2.5"/>
    <n v="5"/>
    <n v="1"/>
    <s v="No"/>
    <s v="After 30 min"/>
    <n v="88"/>
    <n v="6"/>
    <n v="5.7"/>
    <n v="5.0999999999999996"/>
    <n v="3.7"/>
    <s v="No"/>
    <s v="No"/>
    <n v="4.5999999999999996"/>
    <n v="7"/>
    <n v="1.5"/>
    <n v="3.3"/>
    <n v="4.2"/>
    <n v="4.7"/>
    <n v="4.0999999999999996"/>
    <n v="8.4"/>
    <n v="3.3"/>
    <n v="0"/>
    <n v="6.5"/>
    <s v="Low"/>
    <x v="2"/>
  </r>
  <r>
    <x v="1025"/>
    <n v="15"/>
    <x v="1"/>
    <x v="3"/>
    <s v="In a Relationship"/>
    <x v="3"/>
    <n v="5.0999999999999996"/>
    <n v="2"/>
    <n v="3"/>
    <s v="No"/>
    <s v="Within 5 min"/>
    <n v="59"/>
    <n v="9.6"/>
    <n v="8.5"/>
    <n v="4.3"/>
    <n v="3.4"/>
    <s v="Yes"/>
    <s v="No"/>
    <n v="3.9"/>
    <n v="6.7"/>
    <n v="6.3"/>
    <n v="3.6"/>
    <n v="6.7"/>
    <n v="6.4"/>
    <n v="5.7"/>
    <n v="3.1"/>
    <n v="3.8"/>
    <n v="3"/>
    <n v="4.5999999999999996"/>
    <s v="Severe"/>
    <x v="3"/>
  </r>
  <r>
    <x v="1026"/>
    <n v="22"/>
    <x v="0"/>
    <x v="0"/>
    <s v="Married"/>
    <x v="4"/>
    <n v="1.9"/>
    <n v="3"/>
    <n v="4"/>
    <s v="No"/>
    <s v="Within 5 min"/>
    <n v="82"/>
    <n v="7.1"/>
    <n v="5.6"/>
    <n v="3.5"/>
    <n v="4.9000000000000004"/>
    <s v="Yes"/>
    <s v="Yes"/>
    <n v="4"/>
    <n v="4.4000000000000004"/>
    <n v="2.6"/>
    <n v="3.4"/>
    <n v="6.8"/>
    <n v="3.3"/>
    <n v="4.2"/>
    <n v="3.6"/>
    <n v="3.7"/>
    <n v="0.4"/>
    <n v="6.3"/>
    <s v="High"/>
    <x v="1"/>
  </r>
  <r>
    <x v="1027"/>
    <n v="31"/>
    <x v="0"/>
    <x v="1"/>
    <m/>
    <x v="4"/>
    <n v="5"/>
    <n v="4"/>
    <n v="2"/>
    <s v="Yes"/>
    <s v="Within 5 min"/>
    <n v="95"/>
    <n v="6"/>
    <n v="4.9000000000000004"/>
    <n v="3.4"/>
    <n v="8.1"/>
    <s v="Yes"/>
    <s v="No"/>
    <n v="5.7"/>
    <n v="2.2000000000000002"/>
    <m/>
    <n v="10"/>
    <n v="8.1999999999999993"/>
    <n v="6.1"/>
    <n v="6.3"/>
    <n v="4.8"/>
    <n v="3.1"/>
    <n v="3.9"/>
    <n v="6.8"/>
    <s v="Moderate"/>
    <x v="0"/>
  </r>
  <r>
    <x v="1028"/>
    <n v="29"/>
    <x v="1"/>
    <x v="1"/>
    <s v="Single"/>
    <x v="1"/>
    <n v="3.9"/>
    <n v="2"/>
    <n v="4"/>
    <s v="Yes"/>
    <s v="5-30 min"/>
    <n v="88"/>
    <n v="2.2999999999999998"/>
    <n v="6.8"/>
    <n v="8.5"/>
    <n v="5.0999999999999996"/>
    <s v="Yes"/>
    <s v="Yes"/>
    <n v="5.3"/>
    <n v="3.4"/>
    <n v="2.4"/>
    <n v="3.5"/>
    <n v="1"/>
    <n v="4.9000000000000004"/>
    <n v="4"/>
    <n v="6.5"/>
    <n v="0"/>
    <n v="4.3"/>
    <n v="5.5"/>
    <s v="High"/>
    <x v="0"/>
  </r>
  <r>
    <x v="1029"/>
    <n v="20"/>
    <x v="1"/>
    <x v="1"/>
    <s v="Single"/>
    <x v="5"/>
    <n v="6.5"/>
    <n v="3"/>
    <n v="2"/>
    <s v="Yes"/>
    <s v="5-30 min"/>
    <n v="59"/>
    <n v="1.4"/>
    <n v="0"/>
    <n v="5"/>
    <n v="5.4"/>
    <s v="Yes"/>
    <s v="No"/>
    <n v="7.7"/>
    <n v="3.7"/>
    <n v="2.4"/>
    <m/>
    <n v="7.7"/>
    <n v="5.0999999999999996"/>
    <n v="4.0999999999999996"/>
    <n v="7.2"/>
    <n v="3.8"/>
    <n v="6.8"/>
    <n v="9.1"/>
    <s v="Low"/>
    <x v="1"/>
  </r>
  <r>
    <x v="1030"/>
    <n v="41"/>
    <x v="1"/>
    <x v="3"/>
    <s v="In a Relationship"/>
    <x v="3"/>
    <n v="4.0999999999999996"/>
    <n v="4"/>
    <n v="8"/>
    <s v="No"/>
    <s v="Within 5 min"/>
    <n v="113"/>
    <n v="3"/>
    <n v="3.5"/>
    <n v="5.8"/>
    <n v="1.6"/>
    <s v="No"/>
    <s v="Yes"/>
    <n v="5.2"/>
    <n v="3"/>
    <n v="6.4"/>
    <n v="3.3"/>
    <n v="5.6"/>
    <n v="7.3"/>
    <n v="5.2"/>
    <n v="8.3000000000000007"/>
    <n v="3.3"/>
    <n v="3.9"/>
    <n v="7.3"/>
    <s v="Moderate"/>
    <x v="2"/>
  </r>
  <r>
    <x v="1031"/>
    <n v="22"/>
    <x v="2"/>
    <x v="1"/>
    <s v="Single"/>
    <x v="0"/>
    <n v="5.8"/>
    <n v="6"/>
    <n v="5"/>
    <s v="No"/>
    <s v="Within 5 min"/>
    <n v="52"/>
    <n v="8.1"/>
    <n v="5.8"/>
    <n v="4.3"/>
    <n v="2.1"/>
    <s v="No"/>
    <s v="Yes"/>
    <n v="6.8"/>
    <n v="5.7"/>
    <n v="6.5"/>
    <n v="4.3"/>
    <n v="9"/>
    <n v="8.4"/>
    <n v="6.5"/>
    <n v="5.2"/>
    <n v="1.4"/>
    <n v="1"/>
    <n v="4.8"/>
    <s v="High"/>
    <x v="1"/>
  </r>
  <r>
    <x v="1032"/>
    <n v="29"/>
    <x v="1"/>
    <x v="0"/>
    <s v="In a Relationship"/>
    <x v="1"/>
    <n v="3.8"/>
    <n v="3"/>
    <n v="4"/>
    <s v="No"/>
    <s v="After 30 min"/>
    <n v="80"/>
    <n v="4.8"/>
    <n v="6.4"/>
    <n v="6.9"/>
    <n v="7.2"/>
    <s v="No"/>
    <s v="Yes"/>
    <n v="6.6"/>
    <n v="3.2"/>
    <n v="6.1"/>
    <n v="7.3"/>
    <n v="4.3"/>
    <n v="6.2"/>
    <n v="6.6"/>
    <n v="3.9"/>
    <n v="1.2"/>
    <n v="5.3"/>
    <n v="5.3"/>
    <s v="High"/>
    <x v="0"/>
  </r>
  <r>
    <x v="1033"/>
    <n v="42"/>
    <x v="1"/>
    <x v="1"/>
    <s v="Single"/>
    <x v="1"/>
    <n v="4"/>
    <n v="4"/>
    <n v="3"/>
    <s v="No"/>
    <s v="Within 5 min"/>
    <n v="53"/>
    <n v="5.2"/>
    <n v="8.4"/>
    <n v="0.9"/>
    <n v="4.4000000000000004"/>
    <s v="No"/>
    <s v="Yes"/>
    <n v="4.8"/>
    <n v="5.9"/>
    <n v="4"/>
    <n v="1.8"/>
    <n v="4.0999999999999996"/>
    <n v="4.4000000000000004"/>
    <n v="0.4"/>
    <n v="6.3"/>
    <n v="7.2"/>
    <n v="0"/>
    <n v="6.9"/>
    <s v="Moderate"/>
    <x v="2"/>
  </r>
  <r>
    <x v="1034"/>
    <n v="34"/>
    <x v="1"/>
    <x v="1"/>
    <s v="In a Relationship"/>
    <x v="0"/>
    <n v="2.9"/>
    <n v="2"/>
    <n v="5"/>
    <s v="Yes"/>
    <s v="Within 5 min"/>
    <n v="84"/>
    <n v="7.5"/>
    <n v="7.3"/>
    <n v="4.3"/>
    <n v="4.4000000000000004"/>
    <s v="Yes"/>
    <s v="No"/>
    <n v="7.1"/>
    <n v="9.1999999999999993"/>
    <n v="1.7"/>
    <n v="7.2"/>
    <n v="6.2"/>
    <n v="6.6"/>
    <n v="5.2"/>
    <n v="4.5"/>
    <n v="3.3"/>
    <n v="1.9"/>
    <n v="7.1"/>
    <s v="Moderate"/>
    <x v="0"/>
  </r>
  <r>
    <x v="1035"/>
    <n v="32"/>
    <x v="0"/>
    <x v="0"/>
    <s v="Single"/>
    <x v="5"/>
    <n v="1.6"/>
    <n v="3"/>
    <n v="2"/>
    <s v="Yes"/>
    <s v="Within 5 min"/>
    <n v="74"/>
    <n v="7.4"/>
    <n v="4.5"/>
    <n v="5.9"/>
    <n v="2.8"/>
    <s v="No"/>
    <s v="No"/>
    <n v="2.5"/>
    <n v="1.2"/>
    <n v="4.2"/>
    <m/>
    <n v="8.5"/>
    <n v="7.7"/>
    <n v="6.7"/>
    <n v="4"/>
    <n v="1.5"/>
    <n v="3.9"/>
    <n v="7"/>
    <s v="Low"/>
    <x v="0"/>
  </r>
  <r>
    <x v="1036"/>
    <n v="31"/>
    <x v="2"/>
    <x v="0"/>
    <s v="Married"/>
    <x v="1"/>
    <n v="4.8"/>
    <n v="8"/>
    <n v="2"/>
    <s v="Yes"/>
    <s v="Within 5 min"/>
    <n v="132"/>
    <n v="9.1999999999999993"/>
    <n v="4.7"/>
    <n v="3.2"/>
    <n v="2.9"/>
    <s v="No"/>
    <s v="No"/>
    <n v="3.9"/>
    <n v="6.7"/>
    <n v="3.3"/>
    <n v="4.3"/>
    <n v="8.4"/>
    <n v="7.2"/>
    <n v="4.5999999999999996"/>
    <n v="4.9000000000000004"/>
    <n v="4.2"/>
    <n v="3.7"/>
    <n v="6.8"/>
    <s v="Moderate"/>
    <x v="0"/>
  </r>
  <r>
    <x v="1037"/>
    <n v="17"/>
    <x v="1"/>
    <x v="1"/>
    <s v="Married"/>
    <x v="2"/>
    <n v="4.4000000000000004"/>
    <n v="3"/>
    <n v="5"/>
    <s v="Yes"/>
    <s v="Within 5 min"/>
    <n v="71"/>
    <n v="7.5"/>
    <n v="9.8000000000000007"/>
    <n v="4.4000000000000004"/>
    <n v="2.7"/>
    <s v="No"/>
    <s v="Yes"/>
    <n v="6.2"/>
    <n v="5.2"/>
    <n v="4.3"/>
    <n v="8.1999999999999993"/>
    <n v="5.8"/>
    <n v="4.4000000000000004"/>
    <n v="3.9"/>
    <n v="6.3"/>
    <n v="2.4"/>
    <n v="0.8"/>
    <n v="5.6"/>
    <s v="High"/>
    <x v="3"/>
  </r>
  <r>
    <x v="1038"/>
    <n v="37"/>
    <x v="1"/>
    <x v="1"/>
    <s v="In a Relationship"/>
    <x v="0"/>
    <n v="7.9"/>
    <n v="2"/>
    <n v="1"/>
    <s v="No"/>
    <s v="After 30 min"/>
    <n v="83"/>
    <n v="7.3"/>
    <n v="5.3"/>
    <n v="6.8"/>
    <n v="7.9"/>
    <s v="Yes"/>
    <s v="No"/>
    <n v="5.5"/>
    <n v="5.0999999999999996"/>
    <n v="3.3"/>
    <n v="5.8"/>
    <n v="3.1"/>
    <n v="6.6"/>
    <n v="8.3000000000000007"/>
    <n v="5.4"/>
    <n v="3.8"/>
    <n v="0.9"/>
    <n v="6.9"/>
    <s v="Moderate"/>
    <x v="2"/>
  </r>
  <r>
    <x v="1039"/>
    <n v="32"/>
    <x v="1"/>
    <x v="1"/>
    <s v="Married"/>
    <x v="2"/>
    <n v="5.4"/>
    <n v="3"/>
    <n v="3"/>
    <s v="No"/>
    <s v="Within 5 min"/>
    <n v="18"/>
    <n v="6.4"/>
    <n v="8.8000000000000007"/>
    <n v="7.4"/>
    <n v="6.3"/>
    <s v="Yes"/>
    <s v="Yes"/>
    <n v="4.2"/>
    <n v="4.5"/>
    <n v="4.5"/>
    <n v="5.7"/>
    <n v="9.8000000000000007"/>
    <n v="6.4"/>
    <n v="9.9"/>
    <n v="5.5"/>
    <n v="3.2"/>
    <n v="1.6"/>
    <n v="6"/>
    <s v="High"/>
    <x v="0"/>
  </r>
  <r>
    <x v="1040"/>
    <n v="39"/>
    <x v="2"/>
    <x v="1"/>
    <s v="Single"/>
    <x v="1"/>
    <n v="8.5"/>
    <n v="1"/>
    <n v="5"/>
    <s v="No"/>
    <s v="5-30 min"/>
    <n v="72"/>
    <n v="9.1999999999999993"/>
    <n v="5"/>
    <n v="3.6"/>
    <n v="5.4"/>
    <s v="No"/>
    <s v="Yes"/>
    <n v="5.3"/>
    <n v="8.6"/>
    <n v="3.2"/>
    <n v="8"/>
    <n v="3.7"/>
    <n v="5.5"/>
    <n v="5.6"/>
    <n v="6.1"/>
    <n v="6.1"/>
    <n v="4.5"/>
    <n v="6.8"/>
    <s v="Moderate"/>
    <x v="2"/>
  </r>
  <r>
    <x v="1041"/>
    <n v="16"/>
    <x v="0"/>
    <x v="1"/>
    <s v="In a Relationship"/>
    <x v="3"/>
    <n v="8.6999999999999993"/>
    <n v="4"/>
    <n v="4"/>
    <s v="Yes"/>
    <s v="After 30 min"/>
    <n v="88"/>
    <n v="5"/>
    <n v="7.2"/>
    <n v="5.3"/>
    <n v="7"/>
    <s v="No"/>
    <s v="Yes"/>
    <n v="3.3"/>
    <n v="5.3"/>
    <n v="5.4"/>
    <n v="5.7"/>
    <n v="6.6"/>
    <n v="5.4"/>
    <n v="2.8"/>
    <m/>
    <n v="3.2"/>
    <n v="0.2"/>
    <n v="4.3"/>
    <s v="Severe"/>
    <x v="3"/>
  </r>
  <r>
    <x v="1042"/>
    <n v="29"/>
    <x v="1"/>
    <x v="3"/>
    <s v="Single"/>
    <x v="5"/>
    <n v="5"/>
    <n v="4"/>
    <n v="5"/>
    <s v="No"/>
    <s v="5-30 min"/>
    <n v="71"/>
    <n v="3.5"/>
    <n v="2.7"/>
    <n v="7"/>
    <n v="6.3"/>
    <s v="No"/>
    <s v="No"/>
    <n v="1.9"/>
    <m/>
    <n v="3.2"/>
    <m/>
    <n v="6.7"/>
    <n v="7.1"/>
    <n v="4.7"/>
    <n v="4.5"/>
    <n v="0.9"/>
    <n v="0.4"/>
    <n v="8.1"/>
    <s v="Low"/>
    <x v="0"/>
  </r>
  <r>
    <x v="1043"/>
    <n v="17"/>
    <x v="2"/>
    <x v="1"/>
    <s v="In a Relationship"/>
    <x v="0"/>
    <n v="2.2000000000000002"/>
    <n v="3"/>
    <n v="3"/>
    <s v="Yes"/>
    <s v="Within 5 min"/>
    <n v="27"/>
    <n v="8.6"/>
    <n v="3.3"/>
    <m/>
    <n v="5.4"/>
    <s v="Yes"/>
    <s v="Yes"/>
    <n v="5.2"/>
    <n v="8"/>
    <n v="5.6"/>
    <n v="7.9"/>
    <n v="2.6"/>
    <n v="7.6"/>
    <n v="4.5"/>
    <n v="3.8"/>
    <n v="2.6"/>
    <n v="4"/>
    <n v="5.4"/>
    <s v="Severe"/>
    <x v="3"/>
  </r>
  <r>
    <x v="1044"/>
    <n v="33"/>
    <x v="0"/>
    <x v="1"/>
    <s v="In a Relationship"/>
    <x v="1"/>
    <n v="4"/>
    <n v="2"/>
    <n v="3"/>
    <s v="No"/>
    <s v="Within 5 min"/>
    <n v="58"/>
    <n v="7.1"/>
    <n v="7.5"/>
    <n v="6.2"/>
    <n v="3.6"/>
    <s v="Yes"/>
    <s v="No"/>
    <n v="1.7"/>
    <m/>
    <n v="6.1"/>
    <n v="5.8"/>
    <n v="4.2"/>
    <n v="7.5"/>
    <n v="2.2999999999999998"/>
    <n v="7.9"/>
    <n v="3.2"/>
    <n v="1"/>
    <n v="6.4"/>
    <s v="Moderate"/>
    <x v="0"/>
  </r>
  <r>
    <x v="1045"/>
    <n v="30"/>
    <x v="0"/>
    <x v="0"/>
    <s v="Married"/>
    <x v="2"/>
    <n v="6.7"/>
    <n v="5"/>
    <n v="4"/>
    <s v="No"/>
    <s v="Within 5 min"/>
    <n v="117"/>
    <n v="5"/>
    <n v="3.5"/>
    <n v="3.7"/>
    <n v="4"/>
    <s v="Yes"/>
    <s v="Yes"/>
    <n v="4.0999999999999996"/>
    <n v="3.8"/>
    <n v="6.3"/>
    <m/>
    <n v="6"/>
    <n v="4.8"/>
    <n v="0"/>
    <n v="5.3"/>
    <n v="4.7"/>
    <n v="0.8"/>
    <n v="6.5"/>
    <s v="Moderate"/>
    <x v="0"/>
  </r>
  <r>
    <x v="1046"/>
    <n v="24"/>
    <x v="2"/>
    <x v="3"/>
    <s v="In a Relationship"/>
    <x v="3"/>
    <n v="4.3"/>
    <n v="1"/>
    <n v="2"/>
    <s v="No"/>
    <s v="5-30 min"/>
    <n v="21"/>
    <n v="2.2000000000000002"/>
    <n v="1.7"/>
    <n v="3.9"/>
    <n v="4.8"/>
    <s v="Yes"/>
    <s v="Yes"/>
    <n v="5.5"/>
    <n v="1.9"/>
    <n v="1.7"/>
    <n v="4.3"/>
    <n v="4.4000000000000004"/>
    <n v="6.8"/>
    <n v="5.4"/>
    <n v="3.9"/>
    <n v="4.5999999999999996"/>
    <n v="2.9"/>
    <n v="7.7"/>
    <s v="Low"/>
    <x v="1"/>
  </r>
  <r>
    <x v="1047"/>
    <n v="38"/>
    <x v="1"/>
    <x v="0"/>
    <s v="Single"/>
    <x v="5"/>
    <n v="6.9"/>
    <n v="3"/>
    <n v="3"/>
    <s v="Yes"/>
    <s v="Within 5 min"/>
    <n v="43"/>
    <n v="7.4"/>
    <n v="5.8"/>
    <n v="5.9"/>
    <n v="5.0999999999999996"/>
    <s v="No"/>
    <s v="Yes"/>
    <n v="6.5"/>
    <n v="9.1"/>
    <m/>
    <n v="5.2"/>
    <n v="2.2000000000000002"/>
    <n v="7.4"/>
    <n v="10"/>
    <n v="3.1"/>
    <n v="1.5"/>
    <n v="4.9000000000000004"/>
    <n v="2.7"/>
    <s v="Severe"/>
    <x v="2"/>
  </r>
  <r>
    <x v="1048"/>
    <n v="31"/>
    <x v="0"/>
    <x v="1"/>
    <s v="Single"/>
    <x v="3"/>
    <n v="3.7"/>
    <n v="4"/>
    <n v="4"/>
    <s v="Yes"/>
    <s v="After 30 min"/>
    <n v="21"/>
    <n v="4.9000000000000004"/>
    <n v="3.3"/>
    <n v="5.9"/>
    <n v="6.8"/>
    <s v="Yes"/>
    <s v="No"/>
    <n v="8.4"/>
    <n v="3.8"/>
    <n v="4.9000000000000004"/>
    <n v="5.5"/>
    <n v="5.5"/>
    <n v="6.9"/>
    <n v="5.9"/>
    <n v="9.6"/>
    <n v="3.5"/>
    <n v="3.9"/>
    <n v="8"/>
    <s v="Low"/>
    <x v="0"/>
  </r>
  <r>
    <x v="1049"/>
    <n v="19"/>
    <x v="1"/>
    <x v="0"/>
    <s v="In a Relationship"/>
    <x v="0"/>
    <n v="4.7"/>
    <n v="2"/>
    <n v="3"/>
    <s v="Yes"/>
    <s v="After 30 min"/>
    <n v="81"/>
    <m/>
    <n v="4.4000000000000004"/>
    <n v="8"/>
    <n v="8"/>
    <m/>
    <s v="Yes"/>
    <n v="6.3"/>
    <n v="6.8"/>
    <n v="3.2"/>
    <n v="3"/>
    <n v="5.9"/>
    <n v="7"/>
    <n v="3.1"/>
    <n v="4.4000000000000004"/>
    <n v="4.0999999999999996"/>
    <n v="0.9"/>
    <n v="5.5"/>
    <s v="High"/>
    <x v="1"/>
  </r>
  <r>
    <x v="1050"/>
    <n v="28"/>
    <x v="1"/>
    <x v="0"/>
    <s v="Married"/>
    <x v="1"/>
    <n v="6.5"/>
    <n v="5"/>
    <n v="5"/>
    <s v="Yes"/>
    <s v="5-30 min"/>
    <n v="6"/>
    <n v="6.9"/>
    <n v="7.1"/>
    <n v="6.2"/>
    <n v="7.5"/>
    <s v="No"/>
    <s v="Yes"/>
    <n v="4.7"/>
    <n v="5.3"/>
    <n v="3.3"/>
    <n v="6"/>
    <n v="5.6"/>
    <n v="4.5999999999999996"/>
    <n v="4.5"/>
    <n v="2.6"/>
    <n v="2.2000000000000002"/>
    <n v="4.4000000000000004"/>
    <n v="5.2"/>
    <s v="High"/>
    <x v="0"/>
  </r>
  <r>
    <x v="1051"/>
    <n v="27"/>
    <x v="1"/>
    <x v="0"/>
    <s v="In a Relationship"/>
    <x v="0"/>
    <n v="5.9"/>
    <n v="7"/>
    <n v="4"/>
    <s v="No"/>
    <s v="5-30 min"/>
    <n v="23"/>
    <n v="4.3"/>
    <n v="5.6"/>
    <n v="3.3"/>
    <n v="3.2"/>
    <s v="No"/>
    <s v="No"/>
    <n v="3.4"/>
    <n v="3.4"/>
    <n v="6.9"/>
    <n v="2.9"/>
    <n v="4.9000000000000004"/>
    <n v="6"/>
    <n v="6"/>
    <n v="4.9000000000000004"/>
    <n v="3.4"/>
    <n v="1.9"/>
    <n v="8.1999999999999993"/>
    <s v="Low"/>
    <x v="0"/>
  </r>
  <r>
    <x v="1052"/>
    <n v="19"/>
    <x v="1"/>
    <x v="3"/>
    <s v="Married"/>
    <x v="0"/>
    <n v="5.2"/>
    <n v="3"/>
    <n v="4"/>
    <s v="Yes"/>
    <s v="Within 5 min"/>
    <n v="52"/>
    <n v="6.6"/>
    <n v="6.1"/>
    <n v="6"/>
    <n v="4.4000000000000004"/>
    <s v="No"/>
    <s v="No"/>
    <n v="5.5"/>
    <n v="5.3"/>
    <n v="3.9"/>
    <n v="2"/>
    <n v="5.5"/>
    <n v="6.5"/>
    <n v="4.0999999999999996"/>
    <n v="8.8000000000000007"/>
    <m/>
    <m/>
    <n v="5.8"/>
    <s v="High"/>
    <x v="1"/>
  </r>
  <r>
    <x v="1053"/>
    <n v="31"/>
    <x v="1"/>
    <x v="1"/>
    <s v="Married"/>
    <x v="1"/>
    <n v="5"/>
    <n v="1"/>
    <n v="4"/>
    <s v="Yes"/>
    <s v="Within 5 min"/>
    <n v="12"/>
    <n v="4.2"/>
    <n v="6.6"/>
    <n v="6.6"/>
    <n v="1.6"/>
    <s v="No"/>
    <s v="No"/>
    <n v="9.1999999999999993"/>
    <n v="5.0999999999999996"/>
    <n v="4.5"/>
    <n v="4.5999999999999996"/>
    <n v="5.8"/>
    <n v="5.7"/>
    <n v="0.4"/>
    <n v="0.9"/>
    <n v="2.9"/>
    <n v="1.8"/>
    <n v="5.9"/>
    <s v="High"/>
    <x v="0"/>
  </r>
  <r>
    <x v="1054"/>
    <n v="20"/>
    <x v="1"/>
    <x v="0"/>
    <s v="In a Relationship"/>
    <x v="1"/>
    <n v="5.8"/>
    <n v="8"/>
    <n v="4"/>
    <s v="No"/>
    <s v="5-30 min"/>
    <n v="56"/>
    <n v="5.9"/>
    <n v="5.4"/>
    <n v="7.1"/>
    <n v="4.7"/>
    <s v="No"/>
    <s v="Yes"/>
    <n v="8.6"/>
    <n v="6"/>
    <n v="4.5"/>
    <n v="6.8"/>
    <m/>
    <n v="3"/>
    <n v="4"/>
    <n v="5.8"/>
    <n v="4.5"/>
    <n v="2.2000000000000002"/>
    <n v="5.4"/>
    <s v="High"/>
    <x v="1"/>
  </r>
  <r>
    <x v="1055"/>
    <n v="35"/>
    <x v="1"/>
    <x v="0"/>
    <s v="In a Relationship"/>
    <x v="3"/>
    <n v="4.3"/>
    <n v="5"/>
    <n v="1"/>
    <s v="No"/>
    <s v="5-30 min"/>
    <n v="41"/>
    <n v="10"/>
    <n v="7.6"/>
    <n v="6.3"/>
    <n v="3.3"/>
    <s v="No"/>
    <s v="Yes"/>
    <n v="3.6"/>
    <n v="5.3"/>
    <n v="5.4"/>
    <n v="0.3"/>
    <m/>
    <n v="8.6"/>
    <n v="6.2"/>
    <n v="6.6"/>
    <n v="3.5"/>
    <n v="0.7"/>
    <n v="4.5999999999999996"/>
    <s v="Severe"/>
    <x v="4"/>
  </r>
  <r>
    <x v="1056"/>
    <n v="22"/>
    <x v="0"/>
    <x v="2"/>
    <s v="Single"/>
    <x v="0"/>
    <n v="6.7"/>
    <n v="4"/>
    <n v="3"/>
    <s v="Yes"/>
    <s v="Within 5 min"/>
    <n v="64"/>
    <n v="6"/>
    <n v="4.7"/>
    <n v="3.8"/>
    <n v="6.7"/>
    <s v="Yes"/>
    <s v="No"/>
    <n v="3.4"/>
    <n v="3"/>
    <n v="7.9"/>
    <n v="5.4"/>
    <n v="6.3"/>
    <n v="6.8"/>
    <n v="1.2"/>
    <n v="7.5"/>
    <n v="1.6"/>
    <n v="2.5"/>
    <n v="6.1"/>
    <s v="Moderate"/>
    <x v="1"/>
  </r>
  <r>
    <x v="1057"/>
    <n v="28"/>
    <x v="0"/>
    <x v="1"/>
    <s v="Single"/>
    <x v="1"/>
    <n v="3.2"/>
    <n v="1"/>
    <n v="3"/>
    <s v="No"/>
    <s v="After 30 min"/>
    <n v="34"/>
    <n v="6.2"/>
    <n v="1.9"/>
    <n v="6"/>
    <n v="6.7"/>
    <s v="No"/>
    <s v="No"/>
    <n v="7"/>
    <n v="3.2"/>
    <n v="1.1000000000000001"/>
    <n v="4.5999999999999996"/>
    <n v="7.3"/>
    <n v="6.2"/>
    <n v="3.1"/>
    <n v="6.4"/>
    <n v="5.4"/>
    <n v="3.5"/>
    <n v="8.6"/>
    <s v="Low"/>
    <x v="0"/>
  </r>
  <r>
    <x v="1058"/>
    <n v="16"/>
    <x v="0"/>
    <x v="0"/>
    <s v="In a Relationship"/>
    <x v="5"/>
    <n v="11.1"/>
    <n v="4"/>
    <n v="3"/>
    <s v="Yes"/>
    <s v="5-30 min"/>
    <n v="73"/>
    <n v="1"/>
    <n v="4.7"/>
    <n v="6.1"/>
    <n v="3.1"/>
    <s v="No"/>
    <s v="Yes"/>
    <n v="2.2999999999999998"/>
    <n v="5.0999999999999996"/>
    <n v="5.9"/>
    <n v="6.4"/>
    <m/>
    <n v="5.8"/>
    <n v="2.2000000000000002"/>
    <n v="8.9"/>
    <n v="2.2999999999999998"/>
    <m/>
    <n v="7"/>
    <s v="Moderate"/>
    <x v="3"/>
  </r>
  <r>
    <x v="1059"/>
    <n v="41"/>
    <x v="2"/>
    <x v="1"/>
    <s v="In a Relationship"/>
    <x v="2"/>
    <n v="5"/>
    <n v="2"/>
    <n v="2"/>
    <m/>
    <s v="After 30 min"/>
    <n v="51"/>
    <n v="7.2"/>
    <n v="4.3"/>
    <n v="6.1"/>
    <n v="9"/>
    <s v="Yes"/>
    <s v="No"/>
    <n v="3.3"/>
    <m/>
    <n v="5.0999999999999996"/>
    <n v="8.9"/>
    <n v="4.9000000000000004"/>
    <n v="3"/>
    <n v="5.6"/>
    <n v="5.6"/>
    <n v="2.5"/>
    <n v="3.4"/>
    <n v="8.1999999999999993"/>
    <s v="Low"/>
    <x v="2"/>
  </r>
  <r>
    <x v="1060"/>
    <n v="15"/>
    <x v="1"/>
    <x v="0"/>
    <s v="Married"/>
    <x v="3"/>
    <n v="2.7"/>
    <n v="3"/>
    <n v="3"/>
    <s v="Yes"/>
    <s v="5-30 min"/>
    <n v="41"/>
    <n v="8.4"/>
    <n v="4.8"/>
    <n v="5"/>
    <n v="2.9"/>
    <s v="Yes"/>
    <s v="No"/>
    <n v="2.2000000000000002"/>
    <n v="4.4000000000000004"/>
    <n v="2.5"/>
    <n v="5.0999999999999996"/>
    <n v="6.1"/>
    <n v="8"/>
    <n v="3.5"/>
    <n v="8.1999999999999993"/>
    <n v="0"/>
    <n v="4.5"/>
    <n v="7.4"/>
    <s v="Low"/>
    <x v="3"/>
  </r>
  <r>
    <x v="1061"/>
    <n v="30"/>
    <x v="1"/>
    <x v="0"/>
    <s v="In a Relationship"/>
    <x v="1"/>
    <n v="1"/>
    <n v="3"/>
    <n v="4"/>
    <s v="Yes"/>
    <s v="Within 5 min"/>
    <n v="50"/>
    <n v="4.2"/>
    <n v="6.5"/>
    <n v="5.4"/>
    <n v="3.9"/>
    <s v="No"/>
    <s v="Yes"/>
    <n v="6.1"/>
    <n v="6.5"/>
    <n v="4"/>
    <n v="1.9"/>
    <n v="8.5"/>
    <m/>
    <n v="4.2"/>
    <n v="1.6"/>
    <n v="3.6"/>
    <n v="3.8"/>
    <n v="4.9000000000000004"/>
    <s v="High"/>
    <x v="0"/>
  </r>
  <r>
    <x v="1062"/>
    <n v="41"/>
    <x v="2"/>
    <x v="3"/>
    <m/>
    <x v="3"/>
    <n v="2.5"/>
    <n v="2"/>
    <n v="5"/>
    <s v="Yes"/>
    <s v="Within 5 min"/>
    <n v="128"/>
    <n v="10"/>
    <n v="6.7"/>
    <n v="4.5"/>
    <n v="7.6"/>
    <s v="Yes"/>
    <s v="Yes"/>
    <n v="4.8"/>
    <n v="4.4000000000000004"/>
    <n v="1.1000000000000001"/>
    <n v="6.3"/>
    <n v="5.2"/>
    <n v="6.2"/>
    <n v="3.5"/>
    <n v="2.4"/>
    <n v="1.9"/>
    <n v="2.1"/>
    <n v="4.3"/>
    <s v="Severe"/>
    <x v="2"/>
  </r>
  <r>
    <x v="1063"/>
    <n v="28"/>
    <x v="0"/>
    <x v="1"/>
    <s v="Single"/>
    <x v="4"/>
    <n v="5.4"/>
    <n v="2"/>
    <n v="5"/>
    <s v="No"/>
    <s v="5-30 min"/>
    <n v="66"/>
    <n v="4.0999999999999996"/>
    <n v="4.7"/>
    <n v="0"/>
    <n v="5.3"/>
    <s v="Yes"/>
    <s v="Yes"/>
    <n v="3.2"/>
    <n v="1.3"/>
    <n v="8.6"/>
    <n v="5.9"/>
    <n v="6.6"/>
    <n v="6.4"/>
    <n v="3.4"/>
    <n v="3.9"/>
    <n v="1.6"/>
    <n v="2.4"/>
    <n v="8"/>
    <s v="Low"/>
    <x v="0"/>
  </r>
  <r>
    <x v="1064"/>
    <n v="26"/>
    <x v="0"/>
    <x v="3"/>
    <s v="In a Relationship"/>
    <x v="3"/>
    <n v="3.4"/>
    <n v="2"/>
    <n v="3"/>
    <s v="No"/>
    <s v="5-30 min"/>
    <n v="96"/>
    <n v="8.1999999999999993"/>
    <n v="5.3"/>
    <n v="5.7"/>
    <n v="5.4"/>
    <s v="No"/>
    <s v="No"/>
    <n v="4.2"/>
    <n v="4.5"/>
    <n v="2.1"/>
    <n v="4.2"/>
    <n v="3.7"/>
    <n v="7.2"/>
    <n v="7.6"/>
    <n v="4.5"/>
    <n v="1.1000000000000001"/>
    <n v="2.9"/>
    <n v="5.6"/>
    <s v="High"/>
    <x v="0"/>
  </r>
  <r>
    <x v="1065"/>
    <n v="22"/>
    <x v="0"/>
    <x v="1"/>
    <s v="Married"/>
    <x v="0"/>
    <n v="7"/>
    <n v="1"/>
    <n v="10"/>
    <s v="Yes"/>
    <s v="After 30 min"/>
    <n v="80"/>
    <m/>
    <n v="7.9"/>
    <n v="5.6"/>
    <n v="5.4"/>
    <s v="Yes"/>
    <s v="Yes"/>
    <n v="4"/>
    <n v="3.9"/>
    <n v="9"/>
    <n v="0.7"/>
    <n v="8.1"/>
    <n v="7.4"/>
    <n v="7.1"/>
    <n v="4.2"/>
    <n v="7.1"/>
    <n v="5.5"/>
    <n v="5.3"/>
    <s v="High"/>
    <x v="1"/>
  </r>
  <r>
    <x v="1066"/>
    <n v="26"/>
    <x v="2"/>
    <x v="3"/>
    <s v="In a Relationship"/>
    <x v="2"/>
    <n v="3.7"/>
    <n v="7"/>
    <n v="8"/>
    <s v="Yes"/>
    <s v="Within 5 min"/>
    <n v="84"/>
    <n v="5.9"/>
    <n v="5.4"/>
    <n v="6.7"/>
    <n v="4.7"/>
    <s v="No"/>
    <s v="No"/>
    <n v="4"/>
    <n v="5.2"/>
    <n v="4.9000000000000004"/>
    <n v="3.8"/>
    <n v="6.6"/>
    <n v="9.9"/>
    <m/>
    <m/>
    <n v="5.3"/>
    <n v="1.8"/>
    <n v="5"/>
    <s v="Severe"/>
    <x v="0"/>
  </r>
  <r>
    <x v="1067"/>
    <n v="16"/>
    <x v="1"/>
    <x v="1"/>
    <s v="In a Relationship"/>
    <x v="3"/>
    <n v="2.2000000000000002"/>
    <n v="8"/>
    <n v="2"/>
    <s v="Yes"/>
    <s v="Within 5 min"/>
    <n v="95"/>
    <n v="7.9"/>
    <n v="5.8"/>
    <n v="8.6999999999999993"/>
    <n v="5.2"/>
    <s v="Yes"/>
    <s v="No"/>
    <n v="3.8"/>
    <m/>
    <n v="8.6999999999999993"/>
    <n v="5.0999999999999996"/>
    <n v="6.2"/>
    <n v="10"/>
    <n v="9.4"/>
    <n v="6.7"/>
    <n v="1.6"/>
    <n v="3.1"/>
    <n v="4.0999999999999996"/>
    <s v="Severe"/>
    <x v="3"/>
  </r>
  <r>
    <x v="1068"/>
    <n v="20"/>
    <x v="0"/>
    <x v="1"/>
    <s v="Married"/>
    <x v="1"/>
    <n v="3.8"/>
    <n v="2"/>
    <n v="4"/>
    <s v="No"/>
    <s v="Within 5 min"/>
    <n v="23"/>
    <n v="7.6"/>
    <n v="5.4"/>
    <n v="4.9000000000000004"/>
    <n v="3.5"/>
    <s v="No"/>
    <s v="Yes"/>
    <n v="9.3000000000000007"/>
    <n v="4.9000000000000004"/>
    <n v="3.8"/>
    <n v="0"/>
    <n v="5.2"/>
    <n v="5.7"/>
    <n v="7.1"/>
    <n v="4.2"/>
    <n v="5.6"/>
    <n v="2.7"/>
    <n v="4.7"/>
    <s v="Severe"/>
    <x v="1"/>
  </r>
  <r>
    <x v="1069"/>
    <n v="37"/>
    <x v="0"/>
    <x v="1"/>
    <s v="Single"/>
    <x v="3"/>
    <n v="3.3"/>
    <n v="1"/>
    <n v="3"/>
    <s v="Yes"/>
    <s v="Within 5 min"/>
    <n v="15"/>
    <n v="2.9"/>
    <n v="2.8"/>
    <n v="6.5"/>
    <n v="5.8"/>
    <s v="Yes"/>
    <s v="Yes"/>
    <n v="3"/>
    <n v="3.2"/>
    <n v="2.2999999999999998"/>
    <n v="7.4"/>
    <n v="4.9000000000000004"/>
    <n v="9.9"/>
    <n v="6.1"/>
    <n v="4.7"/>
    <n v="0.6"/>
    <n v="4.4000000000000004"/>
    <n v="7.1"/>
    <s v="Moderate"/>
    <x v="2"/>
  </r>
  <r>
    <x v="1070"/>
    <n v="39"/>
    <x v="0"/>
    <x v="0"/>
    <s v="Single"/>
    <x v="3"/>
    <n v="4.0999999999999996"/>
    <n v="4"/>
    <n v="2"/>
    <s v="Yes"/>
    <s v="Within 5 min"/>
    <n v="62"/>
    <n v="5.7"/>
    <n v="3.4"/>
    <n v="3.6"/>
    <n v="9.8000000000000007"/>
    <s v="Yes"/>
    <s v="Yes"/>
    <n v="4.9000000000000004"/>
    <n v="3.2"/>
    <m/>
    <n v="9.4"/>
    <n v="7.4"/>
    <n v="7.8"/>
    <n v="5.8"/>
    <n v="3.3"/>
    <n v="7"/>
    <n v="2.2999999999999998"/>
    <n v="5.0999999999999996"/>
    <s v="Severe"/>
    <x v="2"/>
  </r>
  <r>
    <x v="1071"/>
    <n v="41"/>
    <x v="2"/>
    <x v="3"/>
    <s v="In a Relationship"/>
    <x v="1"/>
    <n v="2"/>
    <n v="4"/>
    <n v="2"/>
    <s v="No"/>
    <s v="Within 5 min"/>
    <n v="40"/>
    <n v="4.9000000000000004"/>
    <n v="2.2999999999999998"/>
    <n v="6.2"/>
    <n v="3.2"/>
    <s v="Yes"/>
    <s v="Yes"/>
    <n v="5.4"/>
    <n v="10"/>
    <n v="2.6"/>
    <n v="3"/>
    <n v="5"/>
    <n v="5.4"/>
    <n v="5.6"/>
    <n v="5.2"/>
    <n v="4.4000000000000004"/>
    <m/>
    <n v="5.9"/>
    <s v="Moderate"/>
    <x v="2"/>
  </r>
  <r>
    <x v="1072"/>
    <n v="35"/>
    <x v="0"/>
    <x v="0"/>
    <s v="Single"/>
    <x v="3"/>
    <n v="4.2"/>
    <n v="3"/>
    <n v="3"/>
    <s v="No"/>
    <s v="After 30 min"/>
    <n v="17"/>
    <n v="9.6"/>
    <n v="2.1"/>
    <n v="7.1"/>
    <n v="2.6"/>
    <m/>
    <s v="Yes"/>
    <n v="8.3000000000000007"/>
    <n v="3.5"/>
    <n v="3.6"/>
    <n v="4.2"/>
    <n v="4.7"/>
    <n v="5.0999999999999996"/>
    <n v="8"/>
    <n v="6.4"/>
    <n v="6.4"/>
    <n v="0.2"/>
    <n v="6.7"/>
    <s v="Moderate"/>
    <x v="4"/>
  </r>
  <r>
    <x v="1073"/>
    <n v="15"/>
    <x v="3"/>
    <x v="1"/>
    <s v="Single"/>
    <x v="2"/>
    <n v="0.5"/>
    <n v="4"/>
    <n v="4"/>
    <s v="Yes"/>
    <s v="After 30 min"/>
    <n v="56"/>
    <n v="7.1"/>
    <n v="3.5"/>
    <n v="5.6"/>
    <n v="8.9"/>
    <s v="Yes"/>
    <s v="Yes"/>
    <n v="5.3"/>
    <n v="2.6"/>
    <n v="2.4"/>
    <m/>
    <n v="8"/>
    <n v="8.3000000000000007"/>
    <n v="6.4"/>
    <n v="5.5"/>
    <n v="3.3"/>
    <n v="2.8"/>
    <n v="8.5"/>
    <s v="Low"/>
    <x v="3"/>
  </r>
  <r>
    <x v="1074"/>
    <n v="21"/>
    <x v="1"/>
    <x v="2"/>
    <s v="Married"/>
    <x v="5"/>
    <n v="4.8"/>
    <n v="5"/>
    <n v="1"/>
    <s v="No"/>
    <s v="5-30 min"/>
    <n v="48"/>
    <n v="8.1"/>
    <n v="6.2"/>
    <n v="6.8"/>
    <n v="6"/>
    <s v="Yes"/>
    <s v="No"/>
    <n v="7.2"/>
    <n v="6.6"/>
    <n v="4.0999999999999996"/>
    <m/>
    <n v="4.0999999999999996"/>
    <n v="9.1999999999999993"/>
    <n v="9"/>
    <n v="6.8"/>
    <n v="1.6"/>
    <n v="0.9"/>
    <n v="6.1"/>
    <s v="High"/>
    <x v="1"/>
  </r>
  <r>
    <x v="1075"/>
    <n v="40"/>
    <x v="2"/>
    <x v="0"/>
    <m/>
    <x v="4"/>
    <n v="4.2"/>
    <n v="4"/>
    <n v="4"/>
    <s v="Yes"/>
    <s v="After 30 min"/>
    <n v="35"/>
    <n v="6.9"/>
    <n v="1.7"/>
    <n v="6.5"/>
    <n v="6.5"/>
    <s v="Yes"/>
    <s v="Yes"/>
    <n v="4.0999999999999996"/>
    <n v="5.4"/>
    <n v="5.0999999999999996"/>
    <n v="7.8"/>
    <n v="4.0999999999999996"/>
    <n v="6"/>
    <n v="7"/>
    <n v="3.6"/>
    <n v="3.4"/>
    <n v="5.3"/>
    <n v="6.3"/>
    <s v="Moderate"/>
    <x v="2"/>
  </r>
  <r>
    <x v="1076"/>
    <n v="34"/>
    <x v="1"/>
    <x v="0"/>
    <s v="Single"/>
    <x v="0"/>
    <n v="4.0999999999999996"/>
    <n v="5"/>
    <n v="8"/>
    <s v="No"/>
    <s v="5-30 min"/>
    <n v="56"/>
    <n v="6"/>
    <n v="4.0999999999999996"/>
    <n v="4.3"/>
    <n v="8.1999999999999993"/>
    <s v="No"/>
    <s v="Yes"/>
    <m/>
    <n v="4.5"/>
    <n v="3.4"/>
    <n v="5.6"/>
    <n v="5.5"/>
    <n v="7"/>
    <n v="5.3"/>
    <n v="7"/>
    <n v="3.9"/>
    <n v="5.0999999999999996"/>
    <n v="6.9"/>
    <s v="Moderate"/>
    <x v="0"/>
  </r>
  <r>
    <x v="1077"/>
    <n v="43"/>
    <x v="0"/>
    <x v="0"/>
    <s v="Single"/>
    <x v="3"/>
    <n v="2.7"/>
    <n v="3"/>
    <n v="2"/>
    <s v="No"/>
    <s v="Within 5 min"/>
    <n v="98"/>
    <n v="5.6"/>
    <n v="5.0999999999999996"/>
    <n v="5.6"/>
    <n v="4.7"/>
    <s v="Yes"/>
    <s v="Yes"/>
    <n v="9.6"/>
    <n v="0"/>
    <n v="5.0999999999999996"/>
    <n v="8.5"/>
    <n v="6.3"/>
    <n v="5.0999999999999996"/>
    <n v="8.9"/>
    <n v="5.6"/>
    <n v="2.6"/>
    <n v="4.2"/>
    <n v="4.9000000000000004"/>
    <s v="High"/>
    <x v="2"/>
  </r>
  <r>
    <x v="1078"/>
    <n v="33"/>
    <x v="1"/>
    <x v="1"/>
    <s v="Married"/>
    <x v="4"/>
    <n v="4.4000000000000004"/>
    <n v="2"/>
    <n v="4"/>
    <m/>
    <s v="Within 5 min"/>
    <n v="12"/>
    <n v="8.1"/>
    <n v="3.3"/>
    <n v="5.0999999999999996"/>
    <n v="5.4"/>
    <s v="Yes"/>
    <s v="Yes"/>
    <n v="5"/>
    <n v="8.8000000000000007"/>
    <n v="2"/>
    <n v="5.3"/>
    <n v="5.3"/>
    <n v="6.4"/>
    <n v="4.5"/>
    <n v="5"/>
    <n v="2.4"/>
    <n v="1.1000000000000001"/>
    <n v="5.9"/>
    <s v="High"/>
    <x v="0"/>
  </r>
  <r>
    <x v="1079"/>
    <n v="31"/>
    <x v="2"/>
    <x v="0"/>
    <s v="In a Relationship"/>
    <x v="2"/>
    <n v="4.9000000000000004"/>
    <n v="5"/>
    <n v="6"/>
    <s v="Yes"/>
    <s v="5-30 min"/>
    <n v="90"/>
    <n v="0.9"/>
    <n v="0"/>
    <m/>
    <n v="7.1"/>
    <s v="No"/>
    <s v="Yes"/>
    <n v="0.2"/>
    <n v="6.4"/>
    <n v="5.8"/>
    <n v="6.6"/>
    <n v="3.2"/>
    <n v="7.1"/>
    <n v="5.5"/>
    <n v="5"/>
    <n v="5.0999999999999996"/>
    <m/>
    <n v="7.5"/>
    <s v="Low"/>
    <x v="0"/>
  </r>
  <r>
    <x v="1080"/>
    <n v="16"/>
    <x v="2"/>
    <x v="0"/>
    <s v="In a Relationship"/>
    <x v="1"/>
    <n v="0.7"/>
    <n v="3"/>
    <n v="4"/>
    <s v="Yes"/>
    <s v="5-30 min"/>
    <n v="102"/>
    <n v="0"/>
    <n v="5.4"/>
    <n v="6.3"/>
    <n v="10"/>
    <s v="Yes"/>
    <s v="No"/>
    <n v="4"/>
    <n v="5"/>
    <n v="3.4"/>
    <n v="7.7"/>
    <n v="4.7"/>
    <n v="7.4"/>
    <n v="3.8"/>
    <n v="5.0999999999999996"/>
    <n v="2.1"/>
    <n v="6.8"/>
    <n v="8.8000000000000007"/>
    <s v="Low"/>
    <x v="3"/>
  </r>
  <r>
    <x v="1081"/>
    <n v="27"/>
    <x v="0"/>
    <x v="1"/>
    <s v="In a Relationship"/>
    <x v="3"/>
    <n v="6.6"/>
    <n v="5"/>
    <n v="6"/>
    <s v="No"/>
    <s v="Within 5 min"/>
    <n v="73"/>
    <n v="7.3"/>
    <n v="5.4"/>
    <n v="2.1"/>
    <n v="6.3"/>
    <s v="Yes"/>
    <s v="Yes"/>
    <n v="8.6999999999999993"/>
    <n v="4.5"/>
    <n v="7.1"/>
    <n v="4.8"/>
    <m/>
    <n v="7.9"/>
    <n v="5.2"/>
    <n v="3.9"/>
    <n v="4.5999999999999996"/>
    <n v="2.7"/>
    <n v="4.7"/>
    <s v="Severe"/>
    <x v="0"/>
  </r>
  <r>
    <x v="1082"/>
    <n v="25"/>
    <x v="1"/>
    <x v="1"/>
    <s v="Married"/>
    <x v="0"/>
    <n v="4.0999999999999996"/>
    <n v="3"/>
    <n v="8"/>
    <s v="No"/>
    <s v="After 30 min"/>
    <n v="36"/>
    <n v="2.9"/>
    <n v="8.6999999999999993"/>
    <n v="3.1"/>
    <n v="3.5"/>
    <s v="No"/>
    <s v="Yes"/>
    <n v="3.5"/>
    <n v="4.0999999999999996"/>
    <n v="3.6"/>
    <n v="10"/>
    <n v="6.5"/>
    <n v="7"/>
    <n v="5.3"/>
    <n v="7.5"/>
    <n v="1.6"/>
    <n v="4.8"/>
    <n v="8.3000000000000007"/>
    <s v="Low"/>
    <x v="0"/>
  </r>
  <r>
    <x v="1083"/>
    <n v="25"/>
    <x v="3"/>
    <x v="1"/>
    <s v="Single"/>
    <x v="2"/>
    <n v="5.5"/>
    <n v="3"/>
    <n v="3"/>
    <s v="Yes"/>
    <s v="Within 5 min"/>
    <n v="143"/>
    <n v="4"/>
    <n v="3.5"/>
    <n v="6.1"/>
    <n v="6.9"/>
    <s v="No"/>
    <s v="Yes"/>
    <n v="4"/>
    <n v="4.0999999999999996"/>
    <n v="5.5"/>
    <n v="8.1"/>
    <n v="2.5"/>
    <n v="9.3000000000000007"/>
    <n v="3.1"/>
    <n v="5.6"/>
    <n v="0.7"/>
    <m/>
    <n v="4.9000000000000004"/>
    <s v="Severe"/>
    <x v="0"/>
  </r>
  <r>
    <x v="1084"/>
    <n v="31"/>
    <x v="0"/>
    <x v="3"/>
    <s v="In a Relationship"/>
    <x v="1"/>
    <n v="7.8"/>
    <n v="2"/>
    <n v="2"/>
    <s v="Yes"/>
    <s v="Within 5 min"/>
    <n v="57"/>
    <n v="3.3"/>
    <n v="8.1999999999999993"/>
    <n v="5"/>
    <n v="5.2"/>
    <s v="Yes"/>
    <s v="Yes"/>
    <n v="6.6"/>
    <n v="5.7"/>
    <n v="3.3"/>
    <n v="5"/>
    <n v="2.8"/>
    <n v="4.8"/>
    <m/>
    <n v="4.7"/>
    <n v="1.8"/>
    <n v="4.0999999999999996"/>
    <n v="4.5999999999999996"/>
    <s v="Severe"/>
    <x v="0"/>
  </r>
  <r>
    <x v="1085"/>
    <n v="23"/>
    <x v="0"/>
    <x v="0"/>
    <s v="Married"/>
    <x v="1"/>
    <n v="1.8"/>
    <n v="4"/>
    <n v="6"/>
    <s v="No"/>
    <s v="5-30 min"/>
    <n v="5"/>
    <n v="7.8"/>
    <n v="5.9"/>
    <n v="4.3"/>
    <n v="8.1999999999999993"/>
    <s v="Yes"/>
    <s v="No"/>
    <n v="6.2"/>
    <n v="3.1"/>
    <n v="4.9000000000000004"/>
    <n v="8.1999999999999993"/>
    <n v="4.4000000000000004"/>
    <n v="8.3000000000000007"/>
    <n v="2.6"/>
    <n v="4.8"/>
    <n v="3"/>
    <n v="5.9"/>
    <n v="7"/>
    <s v="Moderate"/>
    <x v="1"/>
  </r>
  <r>
    <x v="1086"/>
    <n v="17"/>
    <x v="0"/>
    <x v="0"/>
    <s v="Single"/>
    <x v="2"/>
    <n v="2.2999999999999998"/>
    <n v="1"/>
    <n v="4"/>
    <s v="Yes"/>
    <s v="Within 5 min"/>
    <n v="47"/>
    <n v="7.6"/>
    <n v="5.8"/>
    <n v="6.2"/>
    <n v="7.1"/>
    <s v="Yes"/>
    <s v="No"/>
    <n v="6"/>
    <n v="5.7"/>
    <n v="5.5"/>
    <n v="4.5999999999999996"/>
    <n v="6"/>
    <n v="6.6"/>
    <n v="1.4"/>
    <m/>
    <n v="0"/>
    <n v="1.7"/>
    <n v="5.0999999999999996"/>
    <s v="High"/>
    <x v="3"/>
  </r>
  <r>
    <x v="1087"/>
    <n v="22"/>
    <x v="1"/>
    <x v="3"/>
    <s v="In a Relationship"/>
    <x v="0"/>
    <n v="2.4"/>
    <n v="1"/>
    <n v="2"/>
    <s v="Yes"/>
    <s v="Within 5 min"/>
    <n v="5"/>
    <n v="4"/>
    <n v="2.8"/>
    <n v="4"/>
    <n v="4.2"/>
    <s v="Yes"/>
    <s v="Yes"/>
    <n v="9.3000000000000007"/>
    <n v="4.8"/>
    <n v="0.5"/>
    <n v="7.2"/>
    <n v="4.0999999999999996"/>
    <n v="6.5"/>
    <n v="6.2"/>
    <n v="3.6"/>
    <n v="0.7"/>
    <n v="5.2"/>
    <n v="7.2"/>
    <s v="Moderate"/>
    <x v="1"/>
  </r>
  <r>
    <x v="1088"/>
    <n v="32"/>
    <x v="0"/>
    <x v="1"/>
    <s v="Single"/>
    <x v="1"/>
    <n v="4.5999999999999996"/>
    <n v="2"/>
    <n v="4"/>
    <s v="Yes"/>
    <s v="5-30 min"/>
    <n v="76"/>
    <n v="6.3"/>
    <n v="4.5"/>
    <n v="3.5"/>
    <n v="5.5"/>
    <s v="Yes"/>
    <s v="No"/>
    <n v="5.8"/>
    <n v="4"/>
    <n v="3.6"/>
    <m/>
    <n v="3.8"/>
    <n v="6.7"/>
    <n v="4.7"/>
    <n v="3.8"/>
    <n v="3.2"/>
    <n v="5.5"/>
    <n v="6.8"/>
    <s v="Moderate"/>
    <x v="0"/>
  </r>
  <r>
    <x v="1089"/>
    <n v="30"/>
    <x v="1"/>
    <x v="0"/>
    <s v="Married"/>
    <x v="3"/>
    <n v="2.2999999999999998"/>
    <n v="3"/>
    <n v="3"/>
    <s v="Yes"/>
    <s v="5-30 min"/>
    <n v="39"/>
    <n v="9.1"/>
    <n v="10"/>
    <n v="3.2"/>
    <n v="6.1"/>
    <s v="Yes"/>
    <s v="Yes"/>
    <n v="4.5999999999999996"/>
    <n v="6.5"/>
    <n v="2.1"/>
    <n v="7.1"/>
    <n v="5.6"/>
    <n v="8.5"/>
    <n v="5.0999999999999996"/>
    <n v="5.6"/>
    <n v="2.1"/>
    <n v="3.9"/>
    <n v="5.9"/>
    <s v="High"/>
    <x v="0"/>
  </r>
  <r>
    <x v="1090"/>
    <n v="28"/>
    <x v="1"/>
    <x v="0"/>
    <s v="Single"/>
    <x v="3"/>
    <n v="2.6"/>
    <n v="2"/>
    <n v="4"/>
    <s v="No"/>
    <s v="5-30 min"/>
    <n v="80"/>
    <n v="2.8"/>
    <n v="5.2"/>
    <m/>
    <n v="3.3"/>
    <s v="No"/>
    <s v="No"/>
    <n v="7.9"/>
    <m/>
    <n v="5.6"/>
    <n v="5.6"/>
    <n v="4.3"/>
    <n v="7"/>
    <n v="6.5"/>
    <n v="5.4"/>
    <n v="4.3"/>
    <n v="3.6"/>
    <n v="7.2"/>
    <s v="Low"/>
    <x v="0"/>
  </r>
  <r>
    <x v="1091"/>
    <n v="40"/>
    <x v="2"/>
    <x v="1"/>
    <s v="In a Relationship"/>
    <x v="1"/>
    <n v="8.3000000000000007"/>
    <n v="5"/>
    <n v="4"/>
    <s v="No"/>
    <s v="5-30 min"/>
    <n v="5"/>
    <n v="6.5"/>
    <n v="5.2"/>
    <n v="10"/>
    <n v="6.7"/>
    <s v="Yes"/>
    <s v="Yes"/>
    <n v="4.2"/>
    <n v="4.7"/>
    <n v="7.6"/>
    <n v="6.7"/>
    <n v="2.8"/>
    <n v="7.1"/>
    <n v="2.2999999999999998"/>
    <n v="4.5999999999999996"/>
    <n v="3.5"/>
    <n v="1.9"/>
    <n v="4.5999999999999996"/>
    <s v="Severe"/>
    <x v="2"/>
  </r>
  <r>
    <x v="1092"/>
    <n v="21"/>
    <x v="1"/>
    <x v="3"/>
    <s v="In a Relationship"/>
    <x v="2"/>
    <n v="3.9"/>
    <n v="3"/>
    <n v="3"/>
    <s v="No"/>
    <s v="Within 5 min"/>
    <n v="93"/>
    <n v="2.2000000000000002"/>
    <n v="5.3"/>
    <n v="6.6"/>
    <n v="8.9"/>
    <s v="No"/>
    <s v="Yes"/>
    <n v="6.5"/>
    <n v="6.9"/>
    <n v="3.1"/>
    <n v="4.7"/>
    <n v="8.5"/>
    <m/>
    <n v="7.3"/>
    <n v="3.9"/>
    <n v="3.5"/>
    <n v="1.2"/>
    <n v="5.8"/>
    <s v="Moderate"/>
    <x v="1"/>
  </r>
  <r>
    <x v="1093"/>
    <n v="40"/>
    <x v="1"/>
    <x v="0"/>
    <s v="In a Relationship"/>
    <x v="1"/>
    <n v="5.4"/>
    <n v="3"/>
    <n v="4"/>
    <m/>
    <s v="Within 5 min"/>
    <n v="30"/>
    <n v="5.5"/>
    <n v="4.8"/>
    <n v="2.2000000000000002"/>
    <n v="2.2000000000000002"/>
    <s v="Yes"/>
    <s v="No"/>
    <n v="7.3"/>
    <n v="2.5"/>
    <n v="6"/>
    <n v="7.1"/>
    <n v="1.9"/>
    <n v="6.9"/>
    <n v="7.1"/>
    <n v="4.5"/>
    <n v="2.4"/>
    <n v="3.1"/>
    <n v="5"/>
    <s v="Severe"/>
    <x v="2"/>
  </r>
  <r>
    <x v="1094"/>
    <n v="35"/>
    <x v="0"/>
    <x v="0"/>
    <s v="Single"/>
    <x v="1"/>
    <n v="6.7"/>
    <n v="5"/>
    <n v="10"/>
    <s v="No"/>
    <s v="5-30 min"/>
    <n v="85"/>
    <n v="6.3"/>
    <n v="4.0999999999999996"/>
    <n v="8.8000000000000007"/>
    <n v="6.9"/>
    <s v="No"/>
    <s v="No"/>
    <n v="6.1"/>
    <n v="3.5"/>
    <n v="5.4"/>
    <n v="5.5"/>
    <n v="3.3"/>
    <n v="7.3"/>
    <n v="7.6"/>
    <m/>
    <n v="5.4"/>
    <n v="5.7"/>
    <n v="4.9000000000000004"/>
    <s v="Severe"/>
    <x v="4"/>
  </r>
  <r>
    <x v="1095"/>
    <n v="37"/>
    <x v="0"/>
    <x v="0"/>
    <s v="Married"/>
    <x v="3"/>
    <n v="7.7"/>
    <n v="5"/>
    <n v="4"/>
    <s v="No"/>
    <s v="After 30 min"/>
    <n v="31"/>
    <n v="6.8"/>
    <n v="6.8"/>
    <n v="6.4"/>
    <n v="7.2"/>
    <s v="No"/>
    <s v="No"/>
    <n v="2.5"/>
    <n v="2.4"/>
    <n v="3.7"/>
    <n v="5.4"/>
    <n v="1.3"/>
    <n v="7"/>
    <n v="5.9"/>
    <n v="8.9"/>
    <n v="0"/>
    <n v="1.3"/>
    <n v="6.2"/>
    <s v="Moderate"/>
    <x v="2"/>
  </r>
  <r>
    <x v="1096"/>
    <n v="23"/>
    <x v="2"/>
    <x v="0"/>
    <s v="In a Relationship"/>
    <x v="3"/>
    <n v="1.4"/>
    <n v="3"/>
    <n v="1"/>
    <s v="No"/>
    <s v="5-30 min"/>
    <n v="98"/>
    <n v="4.5"/>
    <n v="8.4"/>
    <n v="6.5"/>
    <n v="6.8"/>
    <s v="Yes"/>
    <s v="No"/>
    <n v="4.2"/>
    <n v="6.9"/>
    <n v="3.9"/>
    <n v="9.4"/>
    <n v="7.4"/>
    <n v="8.3000000000000007"/>
    <n v="3.7"/>
    <n v="4"/>
    <n v="3.7"/>
    <n v="1.3"/>
    <n v="7.2"/>
    <s v="Moderate"/>
    <x v="1"/>
  </r>
  <r>
    <x v="1097"/>
    <n v="32"/>
    <x v="1"/>
    <x v="0"/>
    <s v="In a Relationship"/>
    <x v="5"/>
    <n v="5.4"/>
    <n v="1"/>
    <n v="5"/>
    <s v="Yes"/>
    <s v="5-30 min"/>
    <n v="28"/>
    <n v="6.3"/>
    <n v="4.9000000000000004"/>
    <n v="4.0999999999999996"/>
    <n v="5.3"/>
    <s v="No"/>
    <s v="No"/>
    <n v="7.5"/>
    <n v="8.5"/>
    <n v="7.1"/>
    <n v="8.1999999999999993"/>
    <n v="4.7"/>
    <n v="7.2"/>
    <n v="6.6"/>
    <n v="7.8"/>
    <m/>
    <n v="3.4"/>
    <n v="7"/>
    <s v="Moderate"/>
    <x v="0"/>
  </r>
  <r>
    <x v="1098"/>
    <n v="22"/>
    <x v="0"/>
    <x v="1"/>
    <s v="Single"/>
    <x v="5"/>
    <n v="6.2"/>
    <n v="2"/>
    <n v="2"/>
    <s v="Yes"/>
    <s v="Within 5 min"/>
    <n v="95"/>
    <n v="8"/>
    <n v="4.7"/>
    <n v="7.1"/>
    <n v="9.6"/>
    <s v="Yes"/>
    <s v="Yes"/>
    <n v="6.8"/>
    <n v="3.1"/>
    <n v="3"/>
    <n v="7.7"/>
    <n v="4.8"/>
    <n v="5.6"/>
    <n v="5.6"/>
    <n v="5.3"/>
    <n v="2.8"/>
    <n v="0"/>
    <n v="2.5"/>
    <s v="Severe"/>
    <x v="1"/>
  </r>
  <r>
    <x v="1099"/>
    <n v="25"/>
    <x v="1"/>
    <x v="0"/>
    <s v="Single"/>
    <x v="3"/>
    <n v="7"/>
    <n v="4"/>
    <n v="4"/>
    <s v="No"/>
    <s v="Within 5 min"/>
    <n v="77"/>
    <m/>
    <n v="2.2999999999999998"/>
    <n v="3.7"/>
    <n v="6.8"/>
    <s v="Yes"/>
    <s v="No"/>
    <n v="3.1"/>
    <n v="4.9000000000000004"/>
    <n v="3.9"/>
    <n v="5.3"/>
    <n v="7.9"/>
    <n v="4.5999999999999996"/>
    <n v="8.8000000000000007"/>
    <n v="2.5"/>
    <n v="4.8"/>
    <n v="0.5"/>
    <n v="5.6"/>
    <s v="High"/>
    <x v="0"/>
  </r>
  <r>
    <x v="1100"/>
    <n v="24"/>
    <x v="1"/>
    <x v="3"/>
    <s v="Married"/>
    <x v="1"/>
    <m/>
    <n v="2"/>
    <n v="4"/>
    <s v="Yes"/>
    <s v="Within 5 min"/>
    <n v="22"/>
    <n v="7.6"/>
    <n v="7.7"/>
    <n v="0.8"/>
    <n v="9.8000000000000007"/>
    <s v="Yes"/>
    <s v="Yes"/>
    <n v="7.7"/>
    <n v="2.2999999999999998"/>
    <m/>
    <n v="1.9"/>
    <n v="5.8"/>
    <n v="6.6"/>
    <m/>
    <n v="7.6"/>
    <n v="4.5999999999999996"/>
    <n v="4.9000000000000004"/>
    <n v="4.9000000000000004"/>
    <s v="Severe"/>
    <x v="1"/>
  </r>
  <r>
    <x v="1101"/>
    <n v="42"/>
    <x v="1"/>
    <x v="0"/>
    <s v="Single"/>
    <x v="1"/>
    <n v="3.6"/>
    <n v="2"/>
    <n v="5"/>
    <s v="Yes"/>
    <s v="Within 5 min"/>
    <n v="19"/>
    <n v="2.1"/>
    <n v="8.1999999999999993"/>
    <n v="3.4"/>
    <n v="4.0999999999999996"/>
    <m/>
    <s v="Yes"/>
    <m/>
    <n v="7.1"/>
    <m/>
    <n v="7.7"/>
    <n v="4.8"/>
    <n v="4.4000000000000004"/>
    <n v="4.4000000000000004"/>
    <n v="5.8"/>
    <n v="1.6"/>
    <m/>
    <n v="6.9"/>
    <s v="Moderate"/>
    <x v="2"/>
  </r>
  <r>
    <x v="1102"/>
    <n v="20"/>
    <x v="1"/>
    <x v="1"/>
    <s v="Single"/>
    <x v="4"/>
    <n v="4.9000000000000004"/>
    <n v="6"/>
    <n v="5"/>
    <m/>
    <s v="After 30 min"/>
    <n v="61"/>
    <n v="10"/>
    <n v="2.8"/>
    <n v="0"/>
    <n v="3.3"/>
    <s v="No"/>
    <s v="No"/>
    <n v="5.3"/>
    <n v="2.2000000000000002"/>
    <n v="8.9"/>
    <n v="4.5"/>
    <n v="8.8000000000000007"/>
    <n v="7.9"/>
    <n v="5.3"/>
    <n v="2.9"/>
    <n v="2.8"/>
    <n v="2.6"/>
    <n v="8.9"/>
    <s v="Low"/>
    <x v="1"/>
  </r>
  <r>
    <x v="1103"/>
    <n v="44"/>
    <x v="2"/>
    <x v="3"/>
    <s v="Single"/>
    <x v="5"/>
    <n v="4.5999999999999996"/>
    <n v="2"/>
    <n v="3"/>
    <s v="No"/>
    <s v="After 30 min"/>
    <n v="76"/>
    <n v="7.4"/>
    <n v="6.1"/>
    <n v="3.7"/>
    <n v="4.3"/>
    <s v="Yes"/>
    <s v="Yes"/>
    <n v="1.3"/>
    <n v="4.7"/>
    <n v="2.9"/>
    <n v="3.3"/>
    <n v="6.7"/>
    <n v="6"/>
    <n v="6.9"/>
    <m/>
    <n v="2"/>
    <n v="1.7"/>
    <n v="7.7"/>
    <s v="Moderate"/>
    <x v="2"/>
  </r>
  <r>
    <x v="1104"/>
    <n v="41"/>
    <x v="1"/>
    <x v="0"/>
    <s v="Single"/>
    <x v="1"/>
    <n v="3.8"/>
    <n v="1"/>
    <n v="1"/>
    <s v="Yes"/>
    <s v="5-30 min"/>
    <n v="84"/>
    <n v="9.4"/>
    <n v="0"/>
    <n v="5.4"/>
    <n v="6.5"/>
    <s v="Yes"/>
    <s v="No"/>
    <n v="2.2999999999999998"/>
    <n v="6.5"/>
    <n v="2.6"/>
    <n v="3.9"/>
    <n v="1.5"/>
    <n v="7"/>
    <n v="5.6"/>
    <n v="6.5"/>
    <n v="1.7"/>
    <n v="0"/>
    <n v="6.1"/>
    <s v="High"/>
    <x v="2"/>
  </r>
  <r>
    <x v="1105"/>
    <n v="23"/>
    <x v="1"/>
    <x v="1"/>
    <s v="In a Relationship"/>
    <x v="1"/>
    <n v="3.2"/>
    <n v="5"/>
    <n v="3"/>
    <s v="Yes"/>
    <s v="5-30 min"/>
    <n v="26"/>
    <n v="5.6"/>
    <n v="8"/>
    <n v="6"/>
    <n v="5.3"/>
    <s v="No"/>
    <s v="Yes"/>
    <n v="5.2"/>
    <n v="2.9"/>
    <n v="1.7"/>
    <n v="7.6"/>
    <n v="8.1"/>
    <n v="7.2"/>
    <n v="7.3"/>
    <n v="4.5999999999999996"/>
    <n v="1.2"/>
    <n v="5.8"/>
    <n v="5.0999999999999996"/>
    <s v="Severe"/>
    <x v="1"/>
  </r>
  <r>
    <x v="1106"/>
    <n v="21"/>
    <x v="0"/>
    <x v="0"/>
    <s v="Married"/>
    <x v="5"/>
    <n v="4.3"/>
    <n v="4"/>
    <n v="6"/>
    <s v="Yes"/>
    <s v="5-30 min"/>
    <n v="46"/>
    <m/>
    <n v="5.5"/>
    <n v="6.8"/>
    <n v="7.2"/>
    <s v="No"/>
    <s v="No"/>
    <n v="3.9"/>
    <n v="2.2999999999999998"/>
    <n v="3.4"/>
    <n v="3.9"/>
    <n v="4.5999999999999996"/>
    <n v="5.9"/>
    <n v="9"/>
    <m/>
    <n v="3.1"/>
    <n v="4.5"/>
    <n v="4.9000000000000004"/>
    <s v="Severe"/>
    <x v="1"/>
  </r>
  <r>
    <x v="1107"/>
    <n v="32"/>
    <x v="1"/>
    <x v="1"/>
    <s v="In a Relationship"/>
    <x v="3"/>
    <n v="3.9"/>
    <n v="2"/>
    <n v="1"/>
    <s v="No"/>
    <s v="5-30 min"/>
    <n v="85"/>
    <n v="3.5"/>
    <n v="7.3"/>
    <n v="3.3"/>
    <n v="6.3"/>
    <s v="No"/>
    <s v="Yes"/>
    <n v="5.7"/>
    <n v="4.7"/>
    <n v="5"/>
    <n v="5.2"/>
    <n v="4.8"/>
    <n v="7.4"/>
    <n v="6"/>
    <n v="4.9000000000000004"/>
    <n v="2.1"/>
    <n v="5"/>
    <n v="7.2"/>
    <s v="Moderate"/>
    <x v="0"/>
  </r>
  <r>
    <x v="1108"/>
    <n v="29"/>
    <x v="1"/>
    <x v="0"/>
    <s v="Married"/>
    <x v="2"/>
    <n v="5.0999999999999996"/>
    <n v="2"/>
    <n v="3"/>
    <s v="Yes"/>
    <s v="5-30 min"/>
    <n v="26"/>
    <n v="6.4"/>
    <n v="8.6"/>
    <m/>
    <n v="6.6"/>
    <s v="Yes"/>
    <s v="No"/>
    <n v="3.1"/>
    <n v="0.1"/>
    <n v="3.3"/>
    <n v="9.6"/>
    <n v="2.8"/>
    <n v="4.0999999999999996"/>
    <n v="3.9"/>
    <n v="4.5"/>
    <n v="1.5"/>
    <n v="1.4"/>
    <n v="6.2"/>
    <s v="Moderate"/>
    <x v="0"/>
  </r>
  <r>
    <x v="1109"/>
    <n v="15"/>
    <x v="0"/>
    <x v="0"/>
    <s v="In a Relationship"/>
    <x v="4"/>
    <n v="3.1"/>
    <n v="2"/>
    <n v="1"/>
    <s v="No"/>
    <s v="5-30 min"/>
    <n v="86"/>
    <m/>
    <n v="4.9000000000000004"/>
    <n v="3.7"/>
    <n v="2.9"/>
    <s v="Yes"/>
    <s v="No"/>
    <n v="4.2"/>
    <n v="8.1"/>
    <n v="2.7"/>
    <n v="4.0999999999999996"/>
    <n v="4.9000000000000004"/>
    <n v="9.1"/>
    <n v="3.9"/>
    <n v="8"/>
    <n v="4"/>
    <n v="2.2999999999999998"/>
    <n v="8.6"/>
    <s v="Low"/>
    <x v="3"/>
  </r>
  <r>
    <x v="1110"/>
    <n v="38"/>
    <x v="3"/>
    <x v="1"/>
    <s v="Married"/>
    <x v="1"/>
    <n v="2.2999999999999998"/>
    <n v="2"/>
    <n v="4"/>
    <s v="Yes"/>
    <s v="5-30 min"/>
    <n v="59"/>
    <n v="1.5"/>
    <n v="4.4000000000000004"/>
    <n v="2.9"/>
    <n v="8.8000000000000007"/>
    <s v="Yes"/>
    <s v="Yes"/>
    <n v="6.5"/>
    <n v="1.7"/>
    <n v="2"/>
    <n v="5.5"/>
    <n v="3.8"/>
    <n v="5.7"/>
    <n v="5.9"/>
    <n v="1.8"/>
    <n v="2.5"/>
    <n v="2.1"/>
    <n v="5.7"/>
    <s v="High"/>
    <x v="2"/>
  </r>
  <r>
    <x v="1111"/>
    <n v="15"/>
    <x v="1"/>
    <x v="1"/>
    <s v="Single"/>
    <x v="1"/>
    <n v="3.5"/>
    <n v="2"/>
    <n v="2"/>
    <s v="No"/>
    <s v="Within 5 min"/>
    <n v="104"/>
    <n v="1.7"/>
    <n v="5.4"/>
    <n v="3.8"/>
    <n v="6.3"/>
    <s v="No"/>
    <s v="Yes"/>
    <n v="7.6"/>
    <n v="4.2"/>
    <n v="6.5"/>
    <n v="6.2"/>
    <m/>
    <m/>
    <n v="5.7"/>
    <n v="3.7"/>
    <n v="4.2"/>
    <n v="5.6"/>
    <n v="6.2"/>
    <s v="High"/>
    <x v="3"/>
  </r>
  <r>
    <x v="1112"/>
    <n v="22"/>
    <x v="0"/>
    <x v="0"/>
    <s v="Married"/>
    <x v="2"/>
    <n v="4"/>
    <n v="4"/>
    <n v="4"/>
    <s v="No"/>
    <s v="Within 5 min"/>
    <n v="57"/>
    <n v="7.7"/>
    <n v="4.9000000000000004"/>
    <n v="5"/>
    <n v="5.5"/>
    <s v="Yes"/>
    <s v="No"/>
    <n v="3.5"/>
    <n v="7.4"/>
    <n v="6.9"/>
    <n v="9.4"/>
    <n v="6.3"/>
    <n v="8"/>
    <n v="3.8"/>
    <n v="6.8"/>
    <n v="0.6"/>
    <n v="3.5"/>
    <n v="8.3000000000000007"/>
    <s v="Low"/>
    <x v="1"/>
  </r>
  <r>
    <x v="1113"/>
    <n v="15"/>
    <x v="0"/>
    <x v="1"/>
    <s v="In a Relationship"/>
    <x v="0"/>
    <n v="6.9"/>
    <n v="5"/>
    <n v="2"/>
    <s v="No"/>
    <s v="5-30 min"/>
    <n v="19"/>
    <n v="6.5"/>
    <n v="5.2"/>
    <n v="6.6"/>
    <n v="3.5"/>
    <s v="No"/>
    <s v="Yes"/>
    <n v="6.8"/>
    <n v="5.0999999999999996"/>
    <n v="5"/>
    <n v="6"/>
    <n v="3.3"/>
    <n v="8.5"/>
    <n v="5.2"/>
    <n v="5.3"/>
    <n v="0"/>
    <n v="0.5"/>
    <n v="5.3"/>
    <s v="High"/>
    <x v="3"/>
  </r>
  <r>
    <x v="1114"/>
    <n v="42"/>
    <x v="0"/>
    <x v="3"/>
    <s v="Married"/>
    <x v="5"/>
    <n v="3.6"/>
    <n v="6"/>
    <n v="5"/>
    <s v="Yes"/>
    <s v="Within 5 min"/>
    <n v="78"/>
    <n v="4.7"/>
    <n v="2.7"/>
    <n v="5.5"/>
    <n v="1.3"/>
    <s v="Yes"/>
    <s v="Yes"/>
    <n v="7.7"/>
    <n v="5"/>
    <n v="7.6"/>
    <n v="6.3"/>
    <n v="7.1"/>
    <n v="7.7"/>
    <n v="3.7"/>
    <n v="7.6"/>
    <n v="2.2000000000000002"/>
    <n v="1.7"/>
    <n v="5.7"/>
    <s v="Moderate"/>
    <x v="2"/>
  </r>
  <r>
    <x v="1115"/>
    <n v="42"/>
    <x v="1"/>
    <x v="0"/>
    <s v="Single"/>
    <x v="1"/>
    <n v="0.5"/>
    <n v="1"/>
    <n v="5"/>
    <s v="Yes"/>
    <s v="After 30 min"/>
    <n v="41"/>
    <n v="4.9000000000000004"/>
    <n v="2.7"/>
    <m/>
    <n v="1.8"/>
    <s v="No"/>
    <s v="Yes"/>
    <n v="5.2"/>
    <n v="5.9"/>
    <n v="5.6"/>
    <n v="3.4"/>
    <n v="5.2"/>
    <n v="3.5"/>
    <n v="9.4"/>
    <n v="3.8"/>
    <n v="1.1000000000000001"/>
    <n v="5.6"/>
    <n v="6.9"/>
    <s v="Low"/>
    <x v="2"/>
  </r>
  <r>
    <x v="1116"/>
    <n v="18"/>
    <x v="0"/>
    <x v="1"/>
    <s v="Single"/>
    <x v="3"/>
    <n v="9.4"/>
    <n v="3"/>
    <n v="4"/>
    <m/>
    <s v="After 30 min"/>
    <n v="56"/>
    <m/>
    <n v="3.5"/>
    <n v="4.0999999999999996"/>
    <n v="6.9"/>
    <s v="Yes"/>
    <s v="Yes"/>
    <n v="6"/>
    <n v="7"/>
    <n v="1.7"/>
    <n v="0.4"/>
    <n v="4.2"/>
    <n v="7.7"/>
    <n v="4.0999999999999996"/>
    <n v="7.1"/>
    <n v="7.6"/>
    <n v="4.8"/>
    <n v="5.7"/>
    <s v="Severe"/>
    <x v="1"/>
  </r>
  <r>
    <x v="1117"/>
    <n v="41"/>
    <x v="0"/>
    <x v="0"/>
    <s v="Single"/>
    <x v="0"/>
    <n v="7.2"/>
    <n v="3"/>
    <n v="1"/>
    <s v="Yes"/>
    <s v="5-30 min"/>
    <n v="75"/>
    <n v="4.4000000000000004"/>
    <n v="8.5"/>
    <m/>
    <n v="4.5999999999999996"/>
    <s v="Yes"/>
    <s v="No"/>
    <n v="6"/>
    <n v="5"/>
    <n v="1.5"/>
    <n v="6.8"/>
    <n v="5.2"/>
    <m/>
    <n v="5.9"/>
    <n v="8.3000000000000007"/>
    <n v="3.2"/>
    <m/>
    <n v="6.8"/>
    <s v="Moderate"/>
    <x v="2"/>
  </r>
  <r>
    <x v="1118"/>
    <n v="31"/>
    <x v="0"/>
    <x v="0"/>
    <s v="Single"/>
    <x v="3"/>
    <n v="5.8"/>
    <n v="2"/>
    <n v="4"/>
    <s v="Yes"/>
    <s v="Within 5 min"/>
    <n v="71"/>
    <n v="4.4000000000000004"/>
    <n v="6.5"/>
    <n v="4.9000000000000004"/>
    <n v="6.7"/>
    <s v="No"/>
    <s v="No"/>
    <n v="6"/>
    <n v="4.0999999999999996"/>
    <n v="2.5"/>
    <n v="8.4"/>
    <n v="4"/>
    <n v="7.5"/>
    <n v="6.9"/>
    <n v="4.5999999999999996"/>
    <n v="3.2"/>
    <n v="3.8"/>
    <n v="6.3"/>
    <s v="High"/>
    <x v="0"/>
  </r>
  <r>
    <x v="1119"/>
    <n v="35"/>
    <x v="1"/>
    <x v="1"/>
    <s v="Single"/>
    <x v="2"/>
    <n v="5.6"/>
    <n v="3"/>
    <n v="5"/>
    <s v="Yes"/>
    <s v="Within 5 min"/>
    <n v="56"/>
    <n v="4.0999999999999996"/>
    <n v="7.3"/>
    <n v="1.5"/>
    <n v="4.8"/>
    <s v="Yes"/>
    <s v="No"/>
    <n v="2.6"/>
    <n v="5.6"/>
    <n v="4.8"/>
    <n v="6.8"/>
    <n v="5.6"/>
    <n v="8.8000000000000007"/>
    <n v="2.5"/>
    <n v="2.1"/>
    <n v="7"/>
    <n v="4.5"/>
    <n v="7.2"/>
    <s v="Low"/>
    <x v="4"/>
  </r>
  <r>
    <x v="1120"/>
    <n v="15"/>
    <x v="0"/>
    <x v="0"/>
    <s v="In a Relationship"/>
    <x v="4"/>
    <n v="4.5999999999999996"/>
    <n v="4"/>
    <n v="7"/>
    <s v="Yes"/>
    <s v="Within 5 min"/>
    <n v="66"/>
    <n v="3.8"/>
    <n v="8.8000000000000007"/>
    <n v="3.7"/>
    <n v="3.9"/>
    <s v="No"/>
    <s v="Yes"/>
    <n v="3.2"/>
    <n v="6.6"/>
    <n v="4.9000000000000004"/>
    <n v="7.2"/>
    <n v="7.7"/>
    <n v="6.5"/>
    <n v="3.1"/>
    <n v="4.0999999999999996"/>
    <n v="3.8"/>
    <n v="3.4"/>
    <n v="6.1"/>
    <s v="High"/>
    <x v="3"/>
  </r>
  <r>
    <x v="1121"/>
    <n v="42"/>
    <x v="1"/>
    <x v="0"/>
    <s v="Single"/>
    <x v="1"/>
    <n v="8.4"/>
    <n v="1"/>
    <n v="4"/>
    <s v="Yes"/>
    <s v="Within 5 min"/>
    <n v="126"/>
    <n v="4.9000000000000004"/>
    <n v="2.7"/>
    <n v="4.3"/>
    <n v="9"/>
    <s v="No"/>
    <s v="No"/>
    <n v="5.2"/>
    <n v="7.7"/>
    <n v="4.2"/>
    <n v="2.6"/>
    <n v="7.6"/>
    <n v="4.0999999999999996"/>
    <n v="3.9"/>
    <n v="1.3"/>
    <n v="3.2"/>
    <n v="7"/>
    <n v="6"/>
    <s v="High"/>
    <x v="2"/>
  </r>
  <r>
    <x v="1122"/>
    <n v="23"/>
    <x v="1"/>
    <x v="0"/>
    <s v="Single"/>
    <x v="1"/>
    <n v="1.8"/>
    <n v="7"/>
    <n v="1"/>
    <s v="Yes"/>
    <s v="Within 5 min"/>
    <n v="80"/>
    <n v="2.6"/>
    <n v="3.1"/>
    <n v="6.5"/>
    <n v="0.7"/>
    <s v="Yes"/>
    <s v="Yes"/>
    <n v="2.6"/>
    <n v="4.3"/>
    <n v="2.7"/>
    <n v="5.2"/>
    <n v="0"/>
    <n v="5.4"/>
    <n v="1.8"/>
    <m/>
    <n v="0"/>
    <n v="2.8"/>
    <n v="5.9"/>
    <s v="Moderate"/>
    <x v="1"/>
  </r>
  <r>
    <x v="1123"/>
    <n v="37"/>
    <x v="0"/>
    <x v="1"/>
    <s v="In a Relationship"/>
    <x v="2"/>
    <n v="6.2"/>
    <n v="4"/>
    <n v="2"/>
    <s v="Yes"/>
    <s v="5-30 min"/>
    <n v="37"/>
    <n v="5.0999999999999996"/>
    <n v="6.2"/>
    <n v="5.3"/>
    <n v="1.5"/>
    <s v="Yes"/>
    <s v="Yes"/>
    <n v="6"/>
    <n v="4.8"/>
    <n v="4.9000000000000004"/>
    <n v="4.3"/>
    <n v="5.6"/>
    <n v="7.9"/>
    <n v="5.9"/>
    <m/>
    <n v="4.5"/>
    <n v="5.8"/>
    <n v="6"/>
    <s v="High"/>
    <x v="2"/>
  </r>
  <r>
    <x v="1124"/>
    <n v="17"/>
    <x v="0"/>
    <x v="0"/>
    <s v="Single"/>
    <x v="3"/>
    <n v="6.2"/>
    <n v="5"/>
    <n v="4"/>
    <s v="Yes"/>
    <s v="Within 5 min"/>
    <n v="60"/>
    <n v="1.8"/>
    <n v="2.6"/>
    <n v="5.0999999999999996"/>
    <n v="4.0999999999999996"/>
    <s v="Yes"/>
    <s v="Yes"/>
    <n v="4.7"/>
    <n v="5.9"/>
    <n v="3.9"/>
    <n v="5.2"/>
    <n v="1.9"/>
    <n v="7.8"/>
    <n v="4.0999999999999996"/>
    <n v="8.6"/>
    <n v="0.7"/>
    <n v="5.8"/>
    <n v="6.2"/>
    <s v="High"/>
    <x v="3"/>
  </r>
  <r>
    <x v="1125"/>
    <n v="21"/>
    <x v="1"/>
    <x v="4"/>
    <s v="Married"/>
    <x v="4"/>
    <n v="9.8000000000000007"/>
    <n v="2"/>
    <n v="5"/>
    <s v="No"/>
    <s v="Within 5 min"/>
    <n v="56"/>
    <n v="4.5999999999999996"/>
    <n v="7.4"/>
    <n v="6.6"/>
    <n v="6.7"/>
    <s v="No"/>
    <s v="Yes"/>
    <n v="3.3"/>
    <n v="7.8"/>
    <n v="5"/>
    <n v="7.1"/>
    <n v="5"/>
    <n v="6.9"/>
    <n v="5.9"/>
    <n v="7.6"/>
    <n v="3.8"/>
    <n v="3"/>
    <n v="5.7"/>
    <s v="Severe"/>
    <x v="1"/>
  </r>
  <r>
    <x v="1126"/>
    <n v="17"/>
    <x v="0"/>
    <x v="0"/>
    <s v="Single"/>
    <x v="3"/>
    <n v="4.4000000000000004"/>
    <n v="4"/>
    <n v="4"/>
    <s v="No"/>
    <s v="5-30 min"/>
    <n v="123"/>
    <n v="1.3"/>
    <n v="8.3000000000000007"/>
    <n v="3.3"/>
    <n v="3.3"/>
    <s v="No"/>
    <s v="Yes"/>
    <n v="4.8"/>
    <n v="1.7"/>
    <n v="4.7"/>
    <n v="1.5"/>
    <n v="5"/>
    <n v="6.3"/>
    <n v="7"/>
    <n v="10"/>
    <n v="1.7"/>
    <n v="4.3"/>
    <n v="7"/>
    <s v="Moderate"/>
    <x v="3"/>
  </r>
  <r>
    <x v="1127"/>
    <n v="31"/>
    <x v="0"/>
    <x v="1"/>
    <s v="Single"/>
    <x v="0"/>
    <n v="7.9"/>
    <n v="2"/>
    <n v="2"/>
    <s v="No"/>
    <s v="5-30 min"/>
    <n v="98"/>
    <n v="7"/>
    <n v="7.5"/>
    <n v="5.9"/>
    <n v="7.2"/>
    <s v="Yes"/>
    <s v="Yes"/>
    <n v="5.4"/>
    <n v="5.8"/>
    <n v="4.9000000000000004"/>
    <n v="1.7"/>
    <n v="3.6"/>
    <n v="4.4000000000000004"/>
    <n v="3.5"/>
    <n v="6"/>
    <n v="4.9000000000000004"/>
    <n v="5"/>
    <n v="6.3"/>
    <s v="High"/>
    <x v="0"/>
  </r>
  <r>
    <x v="1128"/>
    <n v="32"/>
    <x v="0"/>
    <x v="1"/>
    <s v="Single"/>
    <x v="3"/>
    <n v="5.5"/>
    <n v="1"/>
    <n v="6"/>
    <s v="Yes"/>
    <s v="Within 5 min"/>
    <n v="56"/>
    <n v="8.1999999999999993"/>
    <n v="8.4"/>
    <n v="7.5"/>
    <n v="4.4000000000000004"/>
    <s v="No"/>
    <s v="Yes"/>
    <n v="0.6"/>
    <n v="5.0999999999999996"/>
    <n v="3.9"/>
    <n v="9"/>
    <n v="6.7"/>
    <n v="6.9"/>
    <n v="8.5"/>
    <n v="3.4"/>
    <n v="4.8"/>
    <n v="2.1"/>
    <n v="3.7"/>
    <s v="Severe"/>
    <x v="0"/>
  </r>
  <r>
    <x v="1129"/>
    <n v="28"/>
    <x v="0"/>
    <x v="3"/>
    <s v="Single"/>
    <x v="0"/>
    <n v="2.4"/>
    <n v="2"/>
    <n v="3"/>
    <s v="No"/>
    <s v="5-30 min"/>
    <n v="55"/>
    <n v="5.7"/>
    <n v="10"/>
    <n v="3.1"/>
    <n v="4.5"/>
    <s v="Yes"/>
    <s v="Yes"/>
    <n v="0.4"/>
    <n v="5.5"/>
    <n v="1.8"/>
    <n v="5.5"/>
    <n v="7.4"/>
    <n v="5.7"/>
    <n v="8.1999999999999993"/>
    <n v="3.1"/>
    <n v="4.9000000000000004"/>
    <n v="1.1000000000000001"/>
    <n v="6.8"/>
    <s v="Low"/>
    <x v="0"/>
  </r>
  <r>
    <x v="1130"/>
    <n v="28"/>
    <x v="1"/>
    <x v="1"/>
    <s v="Single"/>
    <x v="1"/>
    <n v="2.1"/>
    <n v="4"/>
    <n v="5"/>
    <s v="No"/>
    <s v="5-30 min"/>
    <n v="40"/>
    <n v="7.4"/>
    <n v="4.4000000000000004"/>
    <n v="0"/>
    <n v="8.4"/>
    <s v="Yes"/>
    <s v="No"/>
    <n v="5"/>
    <n v="8.4"/>
    <n v="7.2"/>
    <n v="7"/>
    <n v="6.2"/>
    <n v="6.8"/>
    <n v="3.8"/>
    <n v="3.9"/>
    <n v="2.4"/>
    <n v="1.7"/>
    <n v="8.5"/>
    <s v="Low"/>
    <x v="0"/>
  </r>
  <r>
    <x v="1131"/>
    <n v="37"/>
    <x v="0"/>
    <x v="0"/>
    <s v="In a Relationship"/>
    <x v="3"/>
    <n v="7.2"/>
    <n v="1"/>
    <n v="9"/>
    <s v="Yes"/>
    <s v="Within 5 min"/>
    <n v="58"/>
    <n v="8.1999999999999993"/>
    <n v="5.7"/>
    <n v="6.7"/>
    <n v="4.7"/>
    <s v="No"/>
    <s v="No"/>
    <n v="2.5"/>
    <n v="6.4"/>
    <n v="3.7"/>
    <n v="5.9"/>
    <n v="4.0999999999999996"/>
    <n v="7.3"/>
    <n v="5"/>
    <n v="6.5"/>
    <n v="1.4"/>
    <n v="4.8"/>
    <n v="4.3"/>
    <s v="Severe"/>
    <x v="2"/>
  </r>
  <r>
    <x v="1132"/>
    <n v="43"/>
    <x v="0"/>
    <x v="1"/>
    <s v="Single"/>
    <x v="3"/>
    <n v="1.9"/>
    <n v="4"/>
    <n v="4"/>
    <s v="Yes"/>
    <s v="5-30 min"/>
    <n v="5"/>
    <n v="0.8"/>
    <n v="10"/>
    <n v="5.2"/>
    <n v="9.1999999999999993"/>
    <s v="Yes"/>
    <s v="No"/>
    <n v="3.9"/>
    <n v="3.8"/>
    <n v="8.8000000000000007"/>
    <n v="3.5"/>
    <n v="3.7"/>
    <n v="8.5"/>
    <n v="3.6"/>
    <n v="2.8"/>
    <n v="5.3"/>
    <n v="2.2000000000000002"/>
    <n v="5.7"/>
    <s v="High"/>
    <x v="2"/>
  </r>
  <r>
    <x v="1133"/>
    <n v="19"/>
    <x v="0"/>
    <x v="2"/>
    <s v="Single"/>
    <x v="1"/>
    <n v="3.9"/>
    <n v="4"/>
    <n v="2"/>
    <s v="No"/>
    <s v="5-30 min"/>
    <n v="37"/>
    <n v="7.4"/>
    <n v="6.5"/>
    <n v="2.2999999999999998"/>
    <n v="3.5"/>
    <s v="No"/>
    <s v="Yes"/>
    <n v="6.5"/>
    <n v="3.5"/>
    <n v="2.7"/>
    <n v="4.8"/>
    <n v="9.6"/>
    <n v="5.4"/>
    <n v="2.5"/>
    <n v="7.1"/>
    <n v="3.9"/>
    <n v="2.1"/>
    <n v="6.8"/>
    <s v="Low"/>
    <x v="1"/>
  </r>
  <r>
    <x v="1134"/>
    <n v="40"/>
    <x v="0"/>
    <x v="2"/>
    <s v="Single"/>
    <x v="2"/>
    <n v="8.3000000000000007"/>
    <n v="4"/>
    <n v="6"/>
    <s v="Yes"/>
    <s v="After 30 min"/>
    <n v="62"/>
    <n v="6.7"/>
    <n v="5"/>
    <n v="2.7"/>
    <n v="3.3"/>
    <s v="No"/>
    <s v="Yes"/>
    <n v="4.0999999999999996"/>
    <n v="4.0999999999999996"/>
    <n v="3.7"/>
    <n v="4.5"/>
    <n v="5.6"/>
    <n v="6.8"/>
    <n v="4.9000000000000004"/>
    <n v="5.8"/>
    <n v="2.7"/>
    <n v="4.3"/>
    <n v="7.2"/>
    <s v="Moderate"/>
    <x v="2"/>
  </r>
  <r>
    <x v="1135"/>
    <n v="30"/>
    <x v="1"/>
    <x v="1"/>
    <s v="Single"/>
    <x v="1"/>
    <n v="2.5"/>
    <n v="5"/>
    <n v="3"/>
    <s v="No"/>
    <s v="5-30 min"/>
    <n v="63"/>
    <n v="1.5"/>
    <n v="3.8"/>
    <n v="2.8"/>
    <n v="5.6"/>
    <s v="Yes"/>
    <s v="No"/>
    <n v="3.1"/>
    <n v="5.8"/>
    <n v="1.3"/>
    <m/>
    <n v="4.5"/>
    <n v="5.5"/>
    <n v="5.8"/>
    <n v="3.4"/>
    <n v="5"/>
    <n v="3.1"/>
    <n v="7.7"/>
    <s v="Low"/>
    <x v="0"/>
  </r>
  <r>
    <x v="1136"/>
    <n v="35"/>
    <x v="1"/>
    <x v="3"/>
    <s v="Single"/>
    <x v="3"/>
    <n v="5.8"/>
    <n v="6"/>
    <n v="7"/>
    <s v="Yes"/>
    <s v="5-30 min"/>
    <n v="31"/>
    <n v="3.7"/>
    <n v="3.3"/>
    <n v="9.4"/>
    <n v="3.1"/>
    <s v="No"/>
    <s v="No"/>
    <n v="6"/>
    <n v="6.1"/>
    <n v="1.1000000000000001"/>
    <n v="7.6"/>
    <n v="3.4"/>
    <n v="6.9"/>
    <n v="2.2000000000000002"/>
    <n v="6.4"/>
    <n v="3.7"/>
    <n v="3.6"/>
    <n v="7.1"/>
    <s v="Low"/>
    <x v="4"/>
  </r>
  <r>
    <x v="1137"/>
    <n v="32"/>
    <x v="1"/>
    <x v="3"/>
    <s v="In a Relationship"/>
    <x v="3"/>
    <n v="8.9"/>
    <n v="4"/>
    <n v="4"/>
    <s v="No"/>
    <s v="Within 5 min"/>
    <n v="65"/>
    <n v="5.9"/>
    <n v="4.3"/>
    <n v="5.6"/>
    <n v="10"/>
    <s v="No"/>
    <s v="Yes"/>
    <n v="5.2"/>
    <n v="5.7"/>
    <n v="1"/>
    <n v="4.9000000000000004"/>
    <n v="7.4"/>
    <n v="7.6"/>
    <n v="4.4000000000000004"/>
    <n v="4.7"/>
    <n v="4.0999999999999996"/>
    <n v="3.6"/>
    <n v="5.6"/>
    <s v="High"/>
    <x v="0"/>
  </r>
  <r>
    <x v="1138"/>
    <n v="22"/>
    <x v="0"/>
    <x v="1"/>
    <s v="Single"/>
    <x v="1"/>
    <n v="8"/>
    <n v="8"/>
    <n v="2"/>
    <s v="No"/>
    <s v="5-30 min"/>
    <n v="8"/>
    <n v="5.4"/>
    <n v="6.8"/>
    <n v="5.7"/>
    <n v="4.7"/>
    <s v="No"/>
    <s v="No"/>
    <n v="3.9"/>
    <n v="6.5"/>
    <n v="2.2000000000000002"/>
    <n v="4.2"/>
    <n v="4.5999999999999996"/>
    <n v="8.6999999999999993"/>
    <n v="1.4"/>
    <n v="4.8"/>
    <n v="1.1000000000000001"/>
    <n v="5.9"/>
    <n v="7"/>
    <s v="Moderate"/>
    <x v="1"/>
  </r>
  <r>
    <x v="1139"/>
    <n v="37"/>
    <x v="1"/>
    <x v="1"/>
    <s v="In a Relationship"/>
    <x v="5"/>
    <n v="6.3"/>
    <n v="3"/>
    <n v="2"/>
    <s v="Yes"/>
    <s v="5-30 min"/>
    <n v="25"/>
    <n v="5.2"/>
    <n v="3.8"/>
    <n v="5.3"/>
    <n v="3.2"/>
    <s v="No"/>
    <s v="No"/>
    <n v="5.9"/>
    <n v="9.3000000000000007"/>
    <n v="4.4000000000000004"/>
    <n v="7.2"/>
    <n v="7.6"/>
    <n v="7.1"/>
    <n v="4.9000000000000004"/>
    <n v="0"/>
    <n v="1.5"/>
    <n v="3.6"/>
    <n v="7.1"/>
    <s v="Low"/>
    <x v="2"/>
  </r>
  <r>
    <x v="1140"/>
    <n v="33"/>
    <x v="2"/>
    <x v="1"/>
    <s v="Single"/>
    <x v="3"/>
    <n v="3"/>
    <n v="7"/>
    <n v="6"/>
    <s v="No"/>
    <s v="Within 5 min"/>
    <n v="26"/>
    <n v="7.2"/>
    <n v="3.5"/>
    <n v="8"/>
    <n v="6.8"/>
    <s v="No"/>
    <s v="No"/>
    <n v="3"/>
    <n v="1.1000000000000001"/>
    <n v="5.7"/>
    <n v="4.8"/>
    <n v="8.1"/>
    <n v="8.3000000000000007"/>
    <n v="6.5"/>
    <n v="5"/>
    <n v="2.5"/>
    <n v="5.3"/>
    <n v="5.2"/>
    <s v="High"/>
    <x v="0"/>
  </r>
  <r>
    <x v="1141"/>
    <n v="38"/>
    <x v="0"/>
    <x v="1"/>
    <s v="In a Relationship"/>
    <x v="1"/>
    <n v="8.6"/>
    <n v="4"/>
    <n v="4"/>
    <s v="Yes"/>
    <s v="After 30 min"/>
    <n v="16"/>
    <n v="1.9"/>
    <n v="6"/>
    <n v="7.6"/>
    <n v="3.7"/>
    <s v="Yes"/>
    <s v="Yes"/>
    <n v="0"/>
    <n v="1.9"/>
    <n v="8.6999999999999993"/>
    <n v="3.1"/>
    <n v="7"/>
    <n v="7.8"/>
    <n v="3.5"/>
    <n v="5.4"/>
    <n v="4.8"/>
    <n v="1.9"/>
    <n v="6.7"/>
    <s v="Moderate"/>
    <x v="2"/>
  </r>
  <r>
    <x v="1142"/>
    <n v="29"/>
    <x v="0"/>
    <x v="0"/>
    <s v="Married"/>
    <x v="1"/>
    <m/>
    <n v="6"/>
    <n v="6"/>
    <s v="No"/>
    <s v="After 30 min"/>
    <n v="90"/>
    <m/>
    <n v="3.5"/>
    <n v="6.9"/>
    <n v="3.9"/>
    <s v="No"/>
    <s v="No"/>
    <n v="9.8000000000000007"/>
    <n v="2.8"/>
    <n v="3.5"/>
    <n v="6.4"/>
    <n v="5.3"/>
    <n v="5.6"/>
    <n v="6.5"/>
    <n v="4.4000000000000004"/>
    <m/>
    <n v="1.3"/>
    <n v="8"/>
    <s v="Low"/>
    <x v="0"/>
  </r>
  <r>
    <x v="1143"/>
    <n v="31"/>
    <x v="0"/>
    <x v="0"/>
    <s v="Single"/>
    <x v="4"/>
    <n v="4.7"/>
    <n v="2"/>
    <n v="5"/>
    <s v="Yes"/>
    <s v="After 30 min"/>
    <n v="51"/>
    <n v="0.6"/>
    <n v="6"/>
    <n v="2.6"/>
    <n v="4.8"/>
    <s v="No"/>
    <s v="Yes"/>
    <n v="6.6"/>
    <n v="5.7"/>
    <n v="5.0999999999999996"/>
    <n v="2.1"/>
    <n v="5.4"/>
    <n v="4.9000000000000004"/>
    <m/>
    <n v="1.6"/>
    <n v="0.9"/>
    <n v="4.4000000000000004"/>
    <n v="7.4"/>
    <s v="Low"/>
    <x v="0"/>
  </r>
  <r>
    <x v="1144"/>
    <n v="32"/>
    <x v="1"/>
    <x v="0"/>
    <s v="Single"/>
    <x v="3"/>
    <n v="2.2000000000000002"/>
    <n v="2"/>
    <n v="3"/>
    <s v="Yes"/>
    <s v="5-30 min"/>
    <n v="85"/>
    <n v="4.5"/>
    <n v="3.9"/>
    <n v="2.5"/>
    <n v="4.3"/>
    <s v="Yes"/>
    <s v="Yes"/>
    <n v="6.3"/>
    <n v="2.7"/>
    <n v="1.9"/>
    <n v="5.0999999999999996"/>
    <n v="6.4"/>
    <n v="7.8"/>
    <n v="3.5"/>
    <n v="6.6"/>
    <n v="2"/>
    <n v="3.7"/>
    <n v="6.8"/>
    <s v="Moderate"/>
    <x v="0"/>
  </r>
  <r>
    <x v="1145"/>
    <n v="22"/>
    <x v="0"/>
    <x v="4"/>
    <s v="In a Relationship"/>
    <x v="3"/>
    <n v="0.5"/>
    <n v="5"/>
    <n v="7"/>
    <s v="Yes"/>
    <s v="5-30 min"/>
    <n v="106"/>
    <n v="7.9"/>
    <n v="1.6"/>
    <n v="4.4000000000000004"/>
    <n v="6.6"/>
    <s v="No"/>
    <s v="No"/>
    <n v="6.6"/>
    <n v="6.9"/>
    <n v="4.5"/>
    <m/>
    <n v="7.4"/>
    <n v="7.7"/>
    <n v="6.1"/>
    <n v="7.2"/>
    <n v="5.5"/>
    <m/>
    <n v="7.2"/>
    <s v="Moderate"/>
    <x v="1"/>
  </r>
  <r>
    <x v="1146"/>
    <n v="44"/>
    <x v="2"/>
    <x v="0"/>
    <s v="Married"/>
    <x v="0"/>
    <n v="5.4"/>
    <n v="1"/>
    <n v="2"/>
    <s v="Yes"/>
    <s v="Within 5 min"/>
    <n v="98"/>
    <n v="4.2"/>
    <n v="6.1"/>
    <n v="4.5999999999999996"/>
    <n v="3.7"/>
    <s v="Yes"/>
    <s v="No"/>
    <n v="6.7"/>
    <n v="4.0999999999999996"/>
    <n v="1.7"/>
    <n v="5.8"/>
    <n v="5.4"/>
    <n v="5.6"/>
    <n v="8.6999999999999993"/>
    <n v="6.5"/>
    <n v="4"/>
    <n v="3.4"/>
    <n v="6.6"/>
    <s v="Moderate"/>
    <x v="2"/>
  </r>
  <r>
    <x v="1147"/>
    <n v="22"/>
    <x v="0"/>
    <x v="2"/>
    <s v="In a Relationship"/>
    <x v="5"/>
    <m/>
    <n v="5"/>
    <n v="2"/>
    <s v="Yes"/>
    <s v="5-30 min"/>
    <n v="63"/>
    <n v="7"/>
    <n v="7"/>
    <n v="4.3"/>
    <n v="4.7"/>
    <s v="Yes"/>
    <s v="No"/>
    <n v="2.9"/>
    <n v="7.1"/>
    <n v="3.5"/>
    <n v="5"/>
    <m/>
    <n v="8.6"/>
    <m/>
    <m/>
    <n v="3.6"/>
    <n v="5.0999999999999996"/>
    <n v="6.3"/>
    <s v="High"/>
    <x v="1"/>
  </r>
  <r>
    <x v="1148"/>
    <n v="33"/>
    <x v="1"/>
    <x v="1"/>
    <s v="In a Relationship"/>
    <x v="1"/>
    <n v="0.8"/>
    <n v="5"/>
    <n v="3"/>
    <s v="No"/>
    <s v="Within 5 min"/>
    <n v="45"/>
    <n v="4.8"/>
    <n v="6.3"/>
    <n v="6"/>
    <n v="4.8"/>
    <s v="No"/>
    <s v="No"/>
    <n v="4.7"/>
    <n v="4.3"/>
    <n v="2"/>
    <n v="10"/>
    <n v="7.2"/>
    <n v="6.6"/>
    <m/>
    <n v="3.8"/>
    <n v="3.6"/>
    <n v="2"/>
    <n v="8.4"/>
    <s v="Low"/>
    <x v="0"/>
  </r>
  <r>
    <x v="1149"/>
    <n v="18"/>
    <x v="0"/>
    <x v="0"/>
    <s v="In a Relationship"/>
    <x v="1"/>
    <n v="6.6"/>
    <n v="4"/>
    <n v="1"/>
    <s v="Yes"/>
    <s v="After 30 min"/>
    <n v="78"/>
    <n v="8.6"/>
    <n v="8.1999999999999993"/>
    <n v="4.5999999999999996"/>
    <n v="2.9"/>
    <s v="No"/>
    <s v="Yes"/>
    <n v="1.6"/>
    <n v="3"/>
    <n v="5.6"/>
    <n v="4.5"/>
    <n v="2"/>
    <n v="6"/>
    <n v="4.3"/>
    <n v="4.2"/>
    <n v="2.9"/>
    <n v="3.6"/>
    <n v="4.9000000000000004"/>
    <s v="Severe"/>
    <x v="1"/>
  </r>
  <r>
    <x v="1150"/>
    <n v="31"/>
    <x v="0"/>
    <x v="1"/>
    <s v="Single"/>
    <x v="1"/>
    <n v="5.0999999999999996"/>
    <n v="1"/>
    <n v="4"/>
    <s v="Yes"/>
    <s v="5-30 min"/>
    <n v="97"/>
    <n v="4.4000000000000004"/>
    <n v="4.5999999999999996"/>
    <n v="3.8"/>
    <n v="6"/>
    <s v="Yes"/>
    <s v="No"/>
    <n v="6.3"/>
    <n v="2.9"/>
    <n v="6.5"/>
    <n v="6.2"/>
    <n v="3.4"/>
    <n v="5.7"/>
    <n v="7.3"/>
    <n v="0.9"/>
    <n v="5.9"/>
    <n v="3.7"/>
    <n v="4.4000000000000004"/>
    <s v="Severe"/>
    <x v="0"/>
  </r>
  <r>
    <x v="1151"/>
    <n v="15"/>
    <x v="0"/>
    <x v="0"/>
    <s v="Single"/>
    <x v="4"/>
    <n v="3.2"/>
    <n v="2"/>
    <n v="3"/>
    <s v="Yes"/>
    <s v="After 30 min"/>
    <n v="61"/>
    <n v="2.6"/>
    <n v="3.9"/>
    <n v="6.8"/>
    <n v="3.8"/>
    <s v="Yes"/>
    <s v="Yes"/>
    <n v="5.7"/>
    <n v="4.8"/>
    <n v="4.5999999999999996"/>
    <n v="5.5"/>
    <n v="8"/>
    <n v="7.2"/>
    <m/>
    <n v="4.5"/>
    <n v="4.9000000000000004"/>
    <n v="4.5999999999999996"/>
    <n v="7.3"/>
    <s v="Low"/>
    <x v="3"/>
  </r>
  <r>
    <x v="1152"/>
    <n v="36"/>
    <x v="1"/>
    <x v="0"/>
    <s v="Married"/>
    <x v="0"/>
    <n v="3.7"/>
    <n v="2"/>
    <n v="1"/>
    <s v="No"/>
    <s v="5-30 min"/>
    <n v="67"/>
    <n v="4.5"/>
    <n v="3.9"/>
    <n v="6.6"/>
    <n v="6"/>
    <s v="No"/>
    <s v="No"/>
    <n v="6.8"/>
    <n v="9.6"/>
    <n v="2.1"/>
    <n v="1.9"/>
    <n v="5"/>
    <n v="8.4"/>
    <n v="6.2"/>
    <n v="2.4"/>
    <n v="2.2999999999999998"/>
    <n v="3.7"/>
    <n v="6.5"/>
    <s v="Moderate"/>
    <x v="2"/>
  </r>
  <r>
    <x v="1153"/>
    <n v="44"/>
    <x v="0"/>
    <x v="3"/>
    <s v="Married"/>
    <x v="4"/>
    <m/>
    <n v="4"/>
    <n v="1"/>
    <s v="No"/>
    <s v="Within 5 min"/>
    <n v="75"/>
    <n v="1"/>
    <n v="7.8"/>
    <n v="5.5"/>
    <n v="8.6"/>
    <s v="No"/>
    <s v="Yes"/>
    <n v="4.4000000000000004"/>
    <n v="4.8"/>
    <n v="6.5"/>
    <n v="3.1"/>
    <n v="5.4"/>
    <m/>
    <n v="2.2999999999999998"/>
    <n v="7.4"/>
    <n v="2.7"/>
    <n v="5.0999999999999996"/>
    <n v="5.7"/>
    <s v="High"/>
    <x v="2"/>
  </r>
  <r>
    <x v="1154"/>
    <n v="24"/>
    <x v="0"/>
    <x v="1"/>
    <s v="In a Relationship"/>
    <x v="1"/>
    <n v="5.7"/>
    <n v="5"/>
    <n v="3"/>
    <s v="No"/>
    <s v="5-30 min"/>
    <n v="124"/>
    <n v="3.5"/>
    <n v="7.4"/>
    <n v="5.2"/>
    <n v="3.7"/>
    <s v="No"/>
    <s v="No"/>
    <n v="5.7"/>
    <n v="4.5"/>
    <n v="3.3"/>
    <n v="4"/>
    <n v="6.7"/>
    <n v="7.5"/>
    <n v="6.7"/>
    <n v="6.9"/>
    <n v="3.5"/>
    <n v="3.3"/>
    <n v="7.2"/>
    <s v="Moderate"/>
    <x v="1"/>
  </r>
  <r>
    <x v="1155"/>
    <n v="40"/>
    <x v="0"/>
    <x v="0"/>
    <s v="In a Relationship"/>
    <x v="1"/>
    <n v="2.6"/>
    <n v="1"/>
    <n v="2"/>
    <m/>
    <s v="After 30 min"/>
    <n v="68"/>
    <n v="5.3"/>
    <n v="4"/>
    <n v="4.0999999999999996"/>
    <n v="5.9"/>
    <s v="No"/>
    <s v="No"/>
    <n v="3.1"/>
    <m/>
    <n v="5.3"/>
    <n v="7.4"/>
    <n v="3.9"/>
    <m/>
    <n v="2.7"/>
    <n v="7.9"/>
    <n v="7"/>
    <n v="4.5999999999999996"/>
    <n v="9.3000000000000007"/>
    <s v="Low"/>
    <x v="2"/>
  </r>
  <r>
    <x v="1156"/>
    <n v="28"/>
    <x v="0"/>
    <x v="0"/>
    <s v="Married"/>
    <x v="3"/>
    <n v="6.6"/>
    <n v="4"/>
    <n v="2"/>
    <s v="Yes"/>
    <s v="5-30 min"/>
    <n v="101"/>
    <n v="7.9"/>
    <n v="6.7"/>
    <n v="1.8"/>
    <n v="6.4"/>
    <s v="No"/>
    <s v="Yes"/>
    <n v="5.5"/>
    <n v="6.1"/>
    <n v="4.7"/>
    <n v="3.7"/>
    <n v="5.8"/>
    <n v="6.1"/>
    <n v="2.9"/>
    <n v="5.8"/>
    <n v="3.2"/>
    <n v="3"/>
    <n v="4.2"/>
    <s v="Severe"/>
    <x v="0"/>
  </r>
  <r>
    <x v="1157"/>
    <n v="39"/>
    <x v="0"/>
    <x v="1"/>
    <s v="In a Relationship"/>
    <x v="0"/>
    <n v="4.2"/>
    <n v="3"/>
    <n v="1"/>
    <s v="Yes"/>
    <s v="After 30 min"/>
    <n v="8"/>
    <n v="4.0999999999999996"/>
    <n v="4.5"/>
    <n v="7.8"/>
    <n v="5.5"/>
    <s v="Yes"/>
    <s v="Yes"/>
    <n v="5.6"/>
    <n v="4.5999999999999996"/>
    <n v="2.8"/>
    <n v="7.1"/>
    <n v="7.5"/>
    <n v="6.9"/>
    <n v="3.7"/>
    <n v="5.3"/>
    <n v="6.5"/>
    <n v="3.5"/>
    <n v="6.7"/>
    <s v="Low"/>
    <x v="2"/>
  </r>
  <r>
    <x v="1158"/>
    <n v="31"/>
    <x v="0"/>
    <x v="1"/>
    <s v="Married"/>
    <x v="4"/>
    <n v="2.4"/>
    <n v="3"/>
    <n v="1"/>
    <s v="No"/>
    <s v="Within 5 min"/>
    <n v="5"/>
    <n v="7.9"/>
    <n v="4"/>
    <n v="7.1"/>
    <n v="6.1"/>
    <s v="No"/>
    <s v="Yes"/>
    <n v="5.5"/>
    <n v="5.7"/>
    <n v="6.8"/>
    <n v="6.6"/>
    <n v="8.9"/>
    <n v="10"/>
    <n v="3.7"/>
    <n v="5.0999999999999996"/>
    <n v="2.5"/>
    <n v="3.9"/>
    <n v="7.5"/>
    <s v="Moderate"/>
    <x v="0"/>
  </r>
  <r>
    <x v="1159"/>
    <n v="24"/>
    <x v="2"/>
    <x v="3"/>
    <s v="In a Relationship"/>
    <x v="0"/>
    <n v="4.3"/>
    <n v="7"/>
    <n v="5"/>
    <s v="No"/>
    <s v="After 30 min"/>
    <n v="86"/>
    <n v="8.5"/>
    <n v="8.1999999999999993"/>
    <n v="3"/>
    <n v="4.3"/>
    <s v="No"/>
    <s v="No"/>
    <n v="4.7"/>
    <n v="5"/>
    <n v="2.2000000000000002"/>
    <n v="7.7"/>
    <n v="7.2"/>
    <n v="6.1"/>
    <n v="1.8"/>
    <n v="3.7"/>
    <n v="3.9"/>
    <n v="1.5"/>
    <n v="8.1"/>
    <s v="Low"/>
    <x v="1"/>
  </r>
  <r>
    <x v="1160"/>
    <n v="16"/>
    <x v="1"/>
    <x v="1"/>
    <s v="In a Relationship"/>
    <x v="3"/>
    <n v="4.7"/>
    <n v="1"/>
    <n v="9"/>
    <s v="No"/>
    <s v="Within 5 min"/>
    <n v="91"/>
    <n v="3.7"/>
    <n v="7.3"/>
    <n v="4.9000000000000004"/>
    <n v="6.5"/>
    <s v="No"/>
    <s v="No"/>
    <n v="0.7"/>
    <n v="9.1999999999999993"/>
    <n v="6.9"/>
    <n v="5.6"/>
    <n v="8.1999999999999993"/>
    <n v="6.3"/>
    <n v="5"/>
    <n v="4.5"/>
    <n v="4.3"/>
    <n v="0"/>
    <n v="6.3"/>
    <s v="Moderate"/>
    <x v="3"/>
  </r>
  <r>
    <x v="1161"/>
    <n v="35"/>
    <x v="0"/>
    <x v="0"/>
    <s v="In a Relationship"/>
    <x v="1"/>
    <n v="7.2"/>
    <n v="3"/>
    <n v="4"/>
    <s v="Yes"/>
    <s v="Within 5 min"/>
    <n v="17"/>
    <n v="7.3"/>
    <n v="4.2"/>
    <m/>
    <n v="4.5999999999999996"/>
    <s v="Yes"/>
    <s v="Yes"/>
    <n v="3.6"/>
    <n v="4.5"/>
    <n v="3.5"/>
    <n v="7.4"/>
    <n v="5.5"/>
    <n v="5.7"/>
    <n v="6"/>
    <n v="4.8"/>
    <n v="1.2"/>
    <n v="3.5"/>
    <n v="4.4000000000000004"/>
    <s v="Severe"/>
    <x v="4"/>
  </r>
  <r>
    <x v="1162"/>
    <n v="31"/>
    <x v="1"/>
    <x v="1"/>
    <s v="In a Relationship"/>
    <x v="1"/>
    <n v="6.1"/>
    <n v="1"/>
    <n v="2"/>
    <s v="No"/>
    <s v="Within 5 min"/>
    <n v="37"/>
    <n v="3.7"/>
    <n v="9"/>
    <n v="1.3"/>
    <n v="6"/>
    <s v="Yes"/>
    <s v="Yes"/>
    <n v="6.4"/>
    <n v="4.5"/>
    <n v="0.4"/>
    <n v="7.1"/>
    <n v="5.9"/>
    <n v="7.5"/>
    <n v="3.8"/>
    <m/>
    <n v="2.5"/>
    <n v="2.8"/>
    <n v="6.6"/>
    <s v="High"/>
    <x v="0"/>
  </r>
  <r>
    <x v="1163"/>
    <n v="30"/>
    <x v="0"/>
    <x v="2"/>
    <s v="Married"/>
    <x v="1"/>
    <n v="0.5"/>
    <n v="2"/>
    <n v="2"/>
    <s v="No"/>
    <s v="5-30 min"/>
    <n v="58"/>
    <n v="3.3"/>
    <n v="6.2"/>
    <n v="4.5999999999999996"/>
    <n v="9.1999999999999993"/>
    <s v="Yes"/>
    <s v="Yes"/>
    <n v="4.5"/>
    <n v="5.5"/>
    <n v="4.9000000000000004"/>
    <n v="3.9"/>
    <n v="5.8"/>
    <n v="3"/>
    <n v="2.2999999999999998"/>
    <m/>
    <n v="3"/>
    <n v="3.3"/>
    <n v="6.7"/>
    <s v="Moderate"/>
    <x v="0"/>
  </r>
  <r>
    <x v="1164"/>
    <n v="29"/>
    <x v="1"/>
    <x v="3"/>
    <s v="Married"/>
    <x v="5"/>
    <n v="1.9"/>
    <n v="2"/>
    <n v="3"/>
    <s v="No"/>
    <s v="5-30 min"/>
    <n v="31"/>
    <n v="6.9"/>
    <n v="8.1999999999999993"/>
    <n v="6.1"/>
    <n v="5"/>
    <s v="No"/>
    <s v="Yes"/>
    <m/>
    <n v="2.6"/>
    <n v="6"/>
    <n v="4.7"/>
    <n v="5.8"/>
    <n v="5.8"/>
    <n v="5.2"/>
    <n v="4.7"/>
    <n v="4.3"/>
    <n v="1.4"/>
    <n v="5.6"/>
    <s v="High"/>
    <x v="0"/>
  </r>
  <r>
    <x v="1165"/>
    <n v="25"/>
    <x v="1"/>
    <x v="0"/>
    <s v="In a Relationship"/>
    <x v="5"/>
    <n v="6.3"/>
    <n v="3"/>
    <n v="2"/>
    <s v="No"/>
    <s v="Within 5 min"/>
    <n v="106"/>
    <n v="5.7"/>
    <n v="5.8"/>
    <n v="3"/>
    <n v="4.8"/>
    <s v="No"/>
    <s v="Yes"/>
    <n v="5.6"/>
    <m/>
    <n v="7.4"/>
    <n v="6.9"/>
    <n v="4.3"/>
    <n v="4.5"/>
    <n v="5"/>
    <n v="2.2999999999999998"/>
    <n v="1.1000000000000001"/>
    <n v="3.9"/>
    <n v="5.0999999999999996"/>
    <s v="Severe"/>
    <x v="0"/>
  </r>
  <r>
    <x v="1166"/>
    <n v="41"/>
    <x v="0"/>
    <x v="0"/>
    <s v="In a Relationship"/>
    <x v="0"/>
    <n v="5.2"/>
    <n v="3"/>
    <n v="4"/>
    <s v="Yes"/>
    <s v="Within 5 min"/>
    <n v="79"/>
    <n v="8.6"/>
    <n v="1.3"/>
    <n v="3.3"/>
    <n v="1"/>
    <s v="Yes"/>
    <s v="Yes"/>
    <n v="4.2"/>
    <n v="4.5"/>
    <n v="3.4"/>
    <n v="4.7"/>
    <n v="3.1"/>
    <n v="5.0999999999999996"/>
    <n v="6.8"/>
    <n v="4"/>
    <n v="5.3"/>
    <n v="3.5"/>
    <n v="5.9"/>
    <s v="High"/>
    <x v="2"/>
  </r>
  <r>
    <x v="1167"/>
    <n v="40"/>
    <x v="0"/>
    <x v="1"/>
    <s v="Married"/>
    <x v="5"/>
    <n v="2.5"/>
    <n v="3"/>
    <n v="6"/>
    <s v="Yes"/>
    <s v="Within 5 min"/>
    <n v="5"/>
    <n v="10"/>
    <n v="6.9"/>
    <n v="5.4"/>
    <n v="8"/>
    <s v="No"/>
    <s v="No"/>
    <n v="3.4"/>
    <n v="3.5"/>
    <m/>
    <n v="8.9"/>
    <n v="6.3"/>
    <n v="8.6999999999999993"/>
    <n v="2.4"/>
    <n v="2.4"/>
    <n v="2.4"/>
    <m/>
    <n v="5.6"/>
    <s v="High"/>
    <x v="2"/>
  </r>
  <r>
    <x v="1168"/>
    <n v="18"/>
    <x v="1"/>
    <x v="0"/>
    <m/>
    <x v="0"/>
    <n v="3.5"/>
    <n v="2"/>
    <n v="1"/>
    <s v="Yes"/>
    <s v="After 30 min"/>
    <n v="32"/>
    <n v="6.6"/>
    <n v="6.2"/>
    <n v="3.9"/>
    <n v="6.9"/>
    <m/>
    <s v="No"/>
    <n v="2.5"/>
    <n v="5.6"/>
    <n v="4.5"/>
    <n v="2"/>
    <n v="2.6"/>
    <n v="5.0999999999999996"/>
    <n v="2.1"/>
    <n v="5.4"/>
    <n v="1.2"/>
    <n v="3.5"/>
    <n v="6.5"/>
    <s v="Moderate"/>
    <x v="1"/>
  </r>
  <r>
    <x v="1169"/>
    <n v="17"/>
    <x v="1"/>
    <x v="0"/>
    <s v="Single"/>
    <x v="3"/>
    <n v="8.1999999999999993"/>
    <n v="3"/>
    <n v="0"/>
    <s v="Yes"/>
    <s v="5-30 min"/>
    <n v="57"/>
    <n v="1.3"/>
    <n v="5.4"/>
    <n v="6.6"/>
    <n v="8.6"/>
    <s v="Yes"/>
    <s v="No"/>
    <n v="6.1"/>
    <n v="5.6"/>
    <n v="7"/>
    <n v="0.9"/>
    <n v="8.5"/>
    <n v="5.8"/>
    <n v="4"/>
    <n v="4.7"/>
    <n v="3.2"/>
    <n v="3.9"/>
    <n v="5.9"/>
    <s v="High"/>
    <x v="3"/>
  </r>
  <r>
    <x v="1170"/>
    <n v="34"/>
    <x v="2"/>
    <x v="0"/>
    <s v="Married"/>
    <x v="4"/>
    <n v="0.5"/>
    <n v="2"/>
    <n v="3"/>
    <s v="Yes"/>
    <s v="After 30 min"/>
    <n v="66"/>
    <n v="4.5999999999999996"/>
    <n v="6"/>
    <n v="6.2"/>
    <n v="6.4"/>
    <s v="No"/>
    <s v="Yes"/>
    <n v="2.5"/>
    <n v="5.0999999999999996"/>
    <n v="4.4000000000000004"/>
    <n v="3.3"/>
    <n v="5.6"/>
    <n v="7.4"/>
    <n v="4.7"/>
    <n v="4.4000000000000004"/>
    <n v="1.2"/>
    <n v="0.9"/>
    <n v="6.3"/>
    <s v="Moderate"/>
    <x v="0"/>
  </r>
  <r>
    <x v="1171"/>
    <n v="20"/>
    <x v="0"/>
    <x v="3"/>
    <s v="Single"/>
    <x v="3"/>
    <n v="7.3"/>
    <n v="3"/>
    <n v="2"/>
    <s v="No"/>
    <s v="Within 5 min"/>
    <n v="46"/>
    <n v="4"/>
    <n v="4.9000000000000004"/>
    <n v="0.3"/>
    <n v="3.7"/>
    <s v="Yes"/>
    <s v="No"/>
    <n v="7"/>
    <n v="5.0999999999999996"/>
    <n v="1.7"/>
    <n v="9"/>
    <n v="7"/>
    <n v="6.7"/>
    <n v="4.2"/>
    <n v="7.2"/>
    <n v="3.3"/>
    <n v="4.5999999999999996"/>
    <n v="8.1"/>
    <s v="Low"/>
    <x v="1"/>
  </r>
  <r>
    <x v="1172"/>
    <n v="28"/>
    <x v="0"/>
    <x v="1"/>
    <s v="In a Relationship"/>
    <x v="5"/>
    <m/>
    <n v="3"/>
    <n v="4"/>
    <s v="Yes"/>
    <s v="5-30 min"/>
    <n v="32"/>
    <n v="4.5"/>
    <n v="5.6"/>
    <n v="3.8"/>
    <n v="6.7"/>
    <s v="No"/>
    <s v="Yes"/>
    <n v="6.3"/>
    <n v="4.9000000000000004"/>
    <n v="3.2"/>
    <n v="4.4000000000000004"/>
    <n v="6.7"/>
    <n v="6.5"/>
    <n v="2.5"/>
    <n v="1.4"/>
    <n v="2.4"/>
    <n v="3.7"/>
    <n v="5.8"/>
    <s v="High"/>
    <x v="0"/>
  </r>
  <r>
    <x v="1173"/>
    <n v="17"/>
    <x v="0"/>
    <x v="3"/>
    <s v="Single"/>
    <x v="0"/>
    <n v="3.3"/>
    <n v="4"/>
    <n v="2"/>
    <s v="No"/>
    <s v="5-30 min"/>
    <n v="23"/>
    <n v="3.9"/>
    <n v="7"/>
    <n v="4.9000000000000004"/>
    <n v="3.6"/>
    <s v="Yes"/>
    <s v="No"/>
    <n v="3.5"/>
    <n v="4.3"/>
    <n v="3.9"/>
    <n v="4.0999999999999996"/>
    <n v="4.3"/>
    <n v="5.0999999999999996"/>
    <n v="6"/>
    <n v="2.6"/>
    <n v="0.6"/>
    <n v="4.3"/>
    <n v="7.8"/>
    <s v="Low"/>
    <x v="3"/>
  </r>
  <r>
    <x v="1174"/>
    <n v="15"/>
    <x v="3"/>
    <x v="1"/>
    <s v="In a Relationship"/>
    <x v="2"/>
    <n v="4"/>
    <n v="1"/>
    <n v="6"/>
    <s v="Yes"/>
    <s v="Within 5 min"/>
    <n v="73"/>
    <n v="7.1"/>
    <n v="5"/>
    <n v="4.9000000000000004"/>
    <n v="4.5"/>
    <s v="Yes"/>
    <s v="No"/>
    <n v="8"/>
    <n v="5.9"/>
    <n v="1.9"/>
    <n v="5.6"/>
    <n v="10"/>
    <n v="6.3"/>
    <n v="5.2"/>
    <n v="2.9"/>
    <n v="4.8"/>
    <n v="1.3"/>
    <n v="6.2"/>
    <s v="High"/>
    <x v="3"/>
  </r>
  <r>
    <x v="1175"/>
    <n v="23"/>
    <x v="0"/>
    <x v="1"/>
    <s v="Married"/>
    <x v="4"/>
    <n v="5.4"/>
    <n v="5"/>
    <n v="7"/>
    <s v="Yes"/>
    <s v="Within 5 min"/>
    <n v="57"/>
    <n v="3.5"/>
    <n v="3.7"/>
    <n v="3.5"/>
    <n v="6.6"/>
    <s v="No"/>
    <s v="No"/>
    <n v="6.2"/>
    <n v="8.6999999999999993"/>
    <n v="5.3"/>
    <n v="0.7"/>
    <n v="3.4"/>
    <n v="6.4"/>
    <n v="9"/>
    <n v="5.7"/>
    <n v="5.5"/>
    <n v="0.5"/>
    <n v="4.7"/>
    <s v="Severe"/>
    <x v="1"/>
  </r>
  <r>
    <x v="1176"/>
    <n v="21"/>
    <x v="1"/>
    <x v="1"/>
    <s v="Married"/>
    <x v="0"/>
    <n v="4.8"/>
    <n v="5"/>
    <n v="4"/>
    <s v="Yes"/>
    <s v="5-30 min"/>
    <n v="18"/>
    <n v="3.9"/>
    <n v="6.6"/>
    <n v="7.2"/>
    <n v="5.9"/>
    <s v="Yes"/>
    <s v="No"/>
    <n v="4"/>
    <n v="2.1"/>
    <m/>
    <n v="9.5"/>
    <n v="5.5"/>
    <n v="6.9"/>
    <n v="4.2"/>
    <n v="4.2"/>
    <n v="3.5"/>
    <n v="1.4"/>
    <n v="6.6"/>
    <s v="Moderate"/>
    <x v="1"/>
  </r>
  <r>
    <x v="1177"/>
    <n v="26"/>
    <x v="0"/>
    <x v="1"/>
    <s v="Single"/>
    <x v="0"/>
    <m/>
    <n v="4"/>
    <n v="4"/>
    <s v="No"/>
    <s v="5-30 min"/>
    <n v="17"/>
    <n v="4.3"/>
    <n v="5.5"/>
    <n v="0.4"/>
    <n v="8.5"/>
    <s v="No"/>
    <s v="No"/>
    <n v="6.6"/>
    <n v="4.4000000000000004"/>
    <n v="3.6"/>
    <n v="8.1"/>
    <n v="5.3"/>
    <n v="6.4"/>
    <n v="8.5"/>
    <n v="6.8"/>
    <n v="2.7"/>
    <n v="4"/>
    <n v="7.2"/>
    <s v="Low"/>
    <x v="0"/>
  </r>
  <r>
    <x v="1178"/>
    <n v="37"/>
    <x v="1"/>
    <x v="3"/>
    <s v="Married"/>
    <x v="1"/>
    <n v="7.2"/>
    <n v="3"/>
    <n v="5"/>
    <s v="Yes"/>
    <s v="5-30 min"/>
    <n v="36"/>
    <n v="9.8000000000000007"/>
    <n v="2.2999999999999998"/>
    <n v="5.8"/>
    <n v="4.9000000000000004"/>
    <s v="Yes"/>
    <s v="Yes"/>
    <n v="4.5"/>
    <n v="10"/>
    <n v="2.9"/>
    <n v="8"/>
    <n v="3.6"/>
    <n v="4.8"/>
    <n v="5.5"/>
    <n v="2.4"/>
    <n v="1"/>
    <n v="0.6"/>
    <n v="4.8"/>
    <s v="Severe"/>
    <x v="2"/>
  </r>
  <r>
    <x v="1179"/>
    <n v="15"/>
    <x v="1"/>
    <x v="3"/>
    <s v="In a Relationship"/>
    <x v="3"/>
    <n v="3.2"/>
    <n v="2"/>
    <n v="5"/>
    <s v="Yes"/>
    <s v="Within 5 min"/>
    <n v="43"/>
    <n v="4.3"/>
    <n v="2.8"/>
    <n v="4.5999999999999996"/>
    <n v="6.3"/>
    <s v="Yes"/>
    <s v="Yes"/>
    <n v="4.9000000000000004"/>
    <n v="6"/>
    <n v="5.8"/>
    <n v="10"/>
    <n v="3.6"/>
    <n v="7"/>
    <n v="4.7"/>
    <n v="8.5"/>
    <n v="1.9"/>
    <n v="1.4"/>
    <n v="5.9"/>
    <s v="Moderate"/>
    <x v="3"/>
  </r>
  <r>
    <x v="1180"/>
    <n v="36"/>
    <x v="0"/>
    <x v="0"/>
    <s v="Single"/>
    <x v="3"/>
    <n v="4.5999999999999996"/>
    <n v="2"/>
    <n v="6"/>
    <s v="Yes"/>
    <s v="Within 5 min"/>
    <n v="5"/>
    <n v="3.5"/>
    <n v="4.7"/>
    <n v="7.3"/>
    <n v="3.9"/>
    <s v="No"/>
    <s v="Yes"/>
    <n v="7.6"/>
    <n v="5"/>
    <n v="8.6999999999999993"/>
    <n v="1.2"/>
    <n v="5"/>
    <n v="6.5"/>
    <n v="4.0999999999999996"/>
    <n v="1"/>
    <n v="4.5999999999999996"/>
    <n v="4.0999999999999996"/>
    <n v="3.6"/>
    <s v="Severe"/>
    <x v="2"/>
  </r>
  <r>
    <x v="1181"/>
    <n v="26"/>
    <x v="3"/>
    <x v="1"/>
    <s v="Single"/>
    <x v="3"/>
    <n v="5.6"/>
    <n v="3"/>
    <n v="6"/>
    <s v="Yes"/>
    <s v="5-30 min"/>
    <n v="109"/>
    <n v="5.5"/>
    <n v="8"/>
    <n v="4"/>
    <n v="9.5"/>
    <s v="Yes"/>
    <s v="Yes"/>
    <n v="9.5"/>
    <m/>
    <n v="4.2"/>
    <n v="5.4"/>
    <n v="3"/>
    <n v="7.5"/>
    <n v="5.6"/>
    <n v="4.7"/>
    <n v="1.6"/>
    <n v="1.8"/>
    <n v="3.6"/>
    <s v="Severe"/>
    <x v="0"/>
  </r>
  <r>
    <x v="1182"/>
    <n v="16"/>
    <x v="2"/>
    <x v="1"/>
    <s v="In a Relationship"/>
    <x v="3"/>
    <n v="3.6"/>
    <n v="2"/>
    <n v="3"/>
    <m/>
    <s v="5-30 min"/>
    <n v="64"/>
    <n v="6.8"/>
    <n v="4.7"/>
    <n v="2.6"/>
    <n v="10"/>
    <s v="Yes"/>
    <s v="Yes"/>
    <n v="8.5"/>
    <n v="4.8"/>
    <n v="7.1"/>
    <n v="8.9"/>
    <n v="10"/>
    <n v="6.1"/>
    <n v="4.3"/>
    <n v="9.3000000000000007"/>
    <n v="3.3"/>
    <n v="1.1000000000000001"/>
    <n v="6.8"/>
    <s v="Moderate"/>
    <x v="3"/>
  </r>
  <r>
    <x v="1183"/>
    <n v="29"/>
    <x v="0"/>
    <x v="1"/>
    <s v="Single"/>
    <x v="0"/>
    <n v="4.5"/>
    <n v="2"/>
    <n v="2"/>
    <s v="No"/>
    <s v="After 30 min"/>
    <n v="94"/>
    <n v="4.7"/>
    <n v="6.1"/>
    <n v="6.8"/>
    <n v="4"/>
    <s v="No"/>
    <s v="No"/>
    <n v="5.7"/>
    <n v="6.2"/>
    <n v="4.3"/>
    <n v="1.7"/>
    <n v="6.1"/>
    <n v="7.2"/>
    <n v="4.0999999999999996"/>
    <n v="4.0999999999999996"/>
    <n v="1.4"/>
    <n v="1.3"/>
    <n v="7.9"/>
    <s v="Low"/>
    <x v="0"/>
  </r>
  <r>
    <x v="1184"/>
    <n v="33"/>
    <x v="1"/>
    <x v="0"/>
    <s v="Married"/>
    <x v="0"/>
    <n v="7.8"/>
    <n v="2"/>
    <n v="4"/>
    <s v="Yes"/>
    <s v="Within 5 min"/>
    <n v="5"/>
    <n v="5.4"/>
    <n v="3.4"/>
    <m/>
    <n v="2.1"/>
    <s v="No"/>
    <s v="No"/>
    <n v="6.9"/>
    <n v="2.8"/>
    <n v="6.1"/>
    <n v="7.6"/>
    <n v="5"/>
    <m/>
    <n v="7.7"/>
    <n v="6.6"/>
    <n v="0.3"/>
    <n v="0.9"/>
    <n v="6.6"/>
    <s v="Moderate"/>
    <x v="0"/>
  </r>
  <r>
    <x v="1185"/>
    <n v="38"/>
    <x v="0"/>
    <x v="1"/>
    <s v="Married"/>
    <x v="1"/>
    <n v="0.5"/>
    <n v="2"/>
    <n v="2"/>
    <s v="No"/>
    <s v="5-30 min"/>
    <n v="25"/>
    <n v="4.8"/>
    <n v="4.3"/>
    <n v="4.9000000000000004"/>
    <n v="5"/>
    <s v="Yes"/>
    <s v="No"/>
    <n v="0.8"/>
    <n v="5.4"/>
    <n v="2.8"/>
    <n v="4.2"/>
    <n v="7.1"/>
    <n v="5.6"/>
    <n v="3.5"/>
    <n v="2.2999999999999998"/>
    <n v="6.6"/>
    <n v="0"/>
    <n v="7.9"/>
    <s v="Low"/>
    <x v="2"/>
  </r>
  <r>
    <x v="1186"/>
    <n v="18"/>
    <x v="3"/>
    <x v="0"/>
    <s v="In a Relationship"/>
    <x v="1"/>
    <n v="5.2"/>
    <n v="3"/>
    <n v="3"/>
    <s v="No"/>
    <s v="After 30 min"/>
    <n v="58"/>
    <n v="7.1"/>
    <n v="7.9"/>
    <n v="3.7"/>
    <n v="1.9"/>
    <s v="No"/>
    <s v="No"/>
    <n v="5.4"/>
    <n v="6.4"/>
    <n v="6.3"/>
    <n v="6.5"/>
    <n v="5.9"/>
    <n v="7.1"/>
    <n v="4.5999999999999996"/>
    <n v="3.7"/>
    <n v="1.7"/>
    <n v="1.8"/>
    <n v="6.3"/>
    <s v="Moderate"/>
    <x v="1"/>
  </r>
  <r>
    <x v="1187"/>
    <n v="25"/>
    <x v="1"/>
    <x v="1"/>
    <s v="In a Relationship"/>
    <x v="5"/>
    <m/>
    <n v="2"/>
    <n v="5"/>
    <s v="Yes"/>
    <s v="Within 5 min"/>
    <n v="75"/>
    <n v="5.8"/>
    <n v="4.2"/>
    <n v="6.6"/>
    <n v="6.3"/>
    <s v="Yes"/>
    <s v="No"/>
    <n v="6.1"/>
    <n v="9.8000000000000007"/>
    <n v="5.6"/>
    <n v="9.4"/>
    <n v="3.5"/>
    <n v="6.2"/>
    <n v="7.8"/>
    <n v="1.7"/>
    <n v="0"/>
    <n v="1"/>
    <n v="5"/>
    <s v="Severe"/>
    <x v="0"/>
  </r>
  <r>
    <x v="1188"/>
    <n v="17"/>
    <x v="2"/>
    <x v="4"/>
    <s v="Single"/>
    <x v="0"/>
    <n v="2.1"/>
    <n v="6"/>
    <n v="3"/>
    <s v="No"/>
    <s v="5-30 min"/>
    <n v="5"/>
    <n v="1.7"/>
    <n v="5.2"/>
    <n v="3.8"/>
    <n v="3.7"/>
    <s v="Yes"/>
    <s v="No"/>
    <n v="1.2"/>
    <n v="1.6"/>
    <m/>
    <n v="9.4"/>
    <n v="1.9"/>
    <n v="5.5"/>
    <n v="6.4"/>
    <n v="6.3"/>
    <n v="0"/>
    <n v="2.7"/>
    <n v="7.9"/>
    <s v="Low"/>
    <x v="3"/>
  </r>
  <r>
    <x v="1189"/>
    <n v="41"/>
    <x v="0"/>
    <x v="0"/>
    <s v="Single"/>
    <x v="1"/>
    <n v="4.0999999999999996"/>
    <n v="1"/>
    <n v="3"/>
    <s v="Yes"/>
    <s v="Within 5 min"/>
    <n v="5"/>
    <n v="6.3"/>
    <n v="2.5"/>
    <n v="1.2"/>
    <n v="4.5"/>
    <s v="Yes"/>
    <s v="Yes"/>
    <n v="5.5"/>
    <n v="2.7"/>
    <n v="4.9000000000000004"/>
    <n v="5.6"/>
    <n v="7"/>
    <n v="7.1"/>
    <n v="6.3"/>
    <n v="5.7"/>
    <n v="2.2999999999999998"/>
    <n v="6.7"/>
    <n v="7.3"/>
    <s v="Moderate"/>
    <x v="2"/>
  </r>
  <r>
    <x v="1190"/>
    <n v="32"/>
    <x v="0"/>
    <x v="1"/>
    <s v="Married"/>
    <x v="3"/>
    <n v="5.4"/>
    <n v="3"/>
    <n v="4"/>
    <s v="No"/>
    <s v="5-30 min"/>
    <n v="69"/>
    <n v="6.7"/>
    <n v="5.8"/>
    <n v="6.4"/>
    <n v="5.5"/>
    <s v="Yes"/>
    <s v="No"/>
    <n v="2.2999999999999998"/>
    <n v="5.7"/>
    <n v="4.4000000000000004"/>
    <n v="3.7"/>
    <n v="1.6"/>
    <n v="6.3"/>
    <n v="4.0999999999999996"/>
    <n v="4"/>
    <n v="1.4"/>
    <n v="5.2"/>
    <n v="6.6"/>
    <s v="High"/>
    <x v="0"/>
  </r>
  <r>
    <x v="1191"/>
    <n v="21"/>
    <x v="0"/>
    <x v="1"/>
    <s v="In a Relationship"/>
    <x v="3"/>
    <n v="6.4"/>
    <n v="1"/>
    <n v="4"/>
    <s v="No"/>
    <s v="5-30 min"/>
    <n v="57"/>
    <n v="7.5"/>
    <n v="4.7"/>
    <n v="9.9"/>
    <n v="3.1"/>
    <s v="No"/>
    <s v="Yes"/>
    <n v="4.2"/>
    <n v="7.5"/>
    <n v="2.2000000000000002"/>
    <n v="9.6"/>
    <n v="4.8"/>
    <n v="7.4"/>
    <n v="5.5"/>
    <n v="4.8"/>
    <n v="1.6"/>
    <n v="3.4"/>
    <n v="6.2"/>
    <s v="High"/>
    <x v="1"/>
  </r>
  <r>
    <x v="1192"/>
    <n v="25"/>
    <x v="0"/>
    <x v="3"/>
    <s v="Single"/>
    <x v="3"/>
    <n v="2.9"/>
    <n v="4"/>
    <n v="2"/>
    <m/>
    <s v="5-30 min"/>
    <n v="25"/>
    <n v="5.7"/>
    <n v="5.5"/>
    <n v="6.5"/>
    <n v="7.8"/>
    <s v="Yes"/>
    <s v="No"/>
    <n v="5.0999999999999996"/>
    <n v="6.2"/>
    <m/>
    <n v="6.5"/>
    <n v="7.9"/>
    <n v="7.6"/>
    <n v="3.7"/>
    <n v="5.7"/>
    <n v="6.2"/>
    <n v="4.3"/>
    <n v="8"/>
    <s v="Low"/>
    <x v="0"/>
  </r>
  <r>
    <x v="1193"/>
    <n v="29"/>
    <x v="2"/>
    <x v="3"/>
    <s v="In a Relationship"/>
    <x v="1"/>
    <n v="6"/>
    <n v="4"/>
    <n v="3"/>
    <s v="Yes"/>
    <s v="5-30 min"/>
    <n v="5"/>
    <n v="7.1"/>
    <n v="5.4"/>
    <n v="6"/>
    <n v="7.8"/>
    <s v="Yes"/>
    <s v="Yes"/>
    <n v="1.3"/>
    <n v="2"/>
    <m/>
    <n v="4.4000000000000004"/>
    <n v="4.3"/>
    <n v="7.1"/>
    <n v="2.6"/>
    <n v="6.1"/>
    <n v="7"/>
    <n v="1.4"/>
    <n v="5.5"/>
    <s v="High"/>
    <x v="0"/>
  </r>
  <r>
    <x v="1194"/>
    <n v="40"/>
    <x v="1"/>
    <x v="0"/>
    <s v="In a Relationship"/>
    <x v="5"/>
    <n v="7.8"/>
    <n v="3"/>
    <n v="3"/>
    <s v="No"/>
    <s v="Within 5 min"/>
    <n v="49"/>
    <n v="3.2"/>
    <n v="7.2"/>
    <n v="10"/>
    <n v="7"/>
    <s v="No"/>
    <s v="Yes"/>
    <n v="4.9000000000000004"/>
    <n v="9.9"/>
    <n v="7.9"/>
    <n v="9.9"/>
    <n v="3.9"/>
    <m/>
    <n v="6.2"/>
    <n v="8.5"/>
    <n v="3"/>
    <n v="3.8"/>
    <n v="3.6"/>
    <s v="Severe"/>
    <x v="2"/>
  </r>
  <r>
    <x v="1195"/>
    <n v="41"/>
    <x v="1"/>
    <x v="3"/>
    <s v="In a Relationship"/>
    <x v="1"/>
    <n v="5"/>
    <n v="5"/>
    <n v="3"/>
    <s v="No"/>
    <s v="Within 5 min"/>
    <n v="69"/>
    <n v="4.8"/>
    <n v="5.7"/>
    <n v="2"/>
    <n v="4.2"/>
    <s v="Yes"/>
    <s v="No"/>
    <n v="5.9"/>
    <n v="1"/>
    <n v="2.2999999999999998"/>
    <n v="3.9"/>
    <n v="4.8"/>
    <n v="8.1999999999999993"/>
    <n v="4.3"/>
    <n v="4.0999999999999996"/>
    <n v="2.1"/>
    <n v="5.0999999999999996"/>
    <n v="7.8"/>
    <s v="Low"/>
    <x v="2"/>
  </r>
  <r>
    <x v="1196"/>
    <n v="36"/>
    <x v="0"/>
    <x v="1"/>
    <s v="In a Relationship"/>
    <x v="2"/>
    <n v="6.2"/>
    <n v="4"/>
    <n v="5"/>
    <s v="No"/>
    <s v="5-30 min"/>
    <n v="78"/>
    <n v="7.9"/>
    <n v="5.3"/>
    <n v="7.3"/>
    <n v="6.5"/>
    <s v="Yes"/>
    <s v="Yes"/>
    <n v="9.3000000000000007"/>
    <n v="8.4"/>
    <n v="5.9"/>
    <m/>
    <n v="3.4"/>
    <n v="5.5"/>
    <n v="7.4"/>
    <n v="7.6"/>
    <n v="2"/>
    <n v="5.4"/>
    <n v="4.7"/>
    <s v="Severe"/>
    <x v="2"/>
  </r>
  <r>
    <x v="1197"/>
    <n v="29"/>
    <x v="2"/>
    <x v="0"/>
    <s v="In a Relationship"/>
    <x v="1"/>
    <n v="5.6"/>
    <n v="2"/>
    <n v="3"/>
    <s v="No"/>
    <s v="Within 5 min"/>
    <n v="38"/>
    <n v="5.7"/>
    <n v="6.5"/>
    <n v="2.2000000000000002"/>
    <n v="5.8"/>
    <s v="Yes"/>
    <s v="Yes"/>
    <m/>
    <m/>
    <n v="8.1"/>
    <n v="0.5"/>
    <n v="2.5"/>
    <n v="4.7"/>
    <n v="5.6"/>
    <n v="8.3000000000000007"/>
    <n v="3.3"/>
    <n v="2.5"/>
    <n v="5.2"/>
    <s v="High"/>
    <x v="0"/>
  </r>
  <r>
    <x v="1198"/>
    <n v="29"/>
    <x v="0"/>
    <x v="0"/>
    <s v="Married"/>
    <x v="1"/>
    <n v="6.1"/>
    <n v="4"/>
    <n v="4"/>
    <s v="Yes"/>
    <s v="After 30 min"/>
    <n v="11"/>
    <n v="6"/>
    <n v="4"/>
    <n v="5.5"/>
    <n v="8"/>
    <s v="Yes"/>
    <s v="No"/>
    <n v="4.9000000000000004"/>
    <n v="4.3"/>
    <n v="4.0999999999999996"/>
    <n v="4.0999999999999996"/>
    <n v="5.4"/>
    <n v="6.1"/>
    <n v="5.3"/>
    <m/>
    <n v="4.8"/>
    <n v="3.5"/>
    <n v="5.7"/>
    <s v="Moderate"/>
    <x v="0"/>
  </r>
  <r>
    <x v="1199"/>
    <n v="22"/>
    <x v="1"/>
    <x v="1"/>
    <s v="Married"/>
    <x v="1"/>
    <n v="2.5"/>
    <n v="5"/>
    <n v="5"/>
    <s v="Yes"/>
    <s v="After 30 min"/>
    <n v="105"/>
    <n v="2.4"/>
    <n v="9.4"/>
    <n v="7.1"/>
    <n v="6.6"/>
    <s v="Yes"/>
    <s v="No"/>
    <n v="4.4000000000000004"/>
    <n v="1.7"/>
    <n v="4.5"/>
    <n v="4.0999999999999996"/>
    <n v="4.5"/>
    <n v="8.3000000000000007"/>
    <n v="7.9"/>
    <n v="2"/>
    <n v="1.1000000000000001"/>
    <n v="5.4"/>
    <n v="5"/>
    <s v="High"/>
    <x v="1"/>
  </r>
  <r>
    <x v="1200"/>
    <n v="44"/>
    <x v="1"/>
    <x v="0"/>
    <s v="In a Relationship"/>
    <x v="5"/>
    <n v="7.3"/>
    <n v="4"/>
    <n v="2"/>
    <s v="No"/>
    <s v="Within 5 min"/>
    <n v="55"/>
    <n v="5.9"/>
    <n v="7.1"/>
    <n v="7.9"/>
    <n v="4.5999999999999996"/>
    <s v="Yes"/>
    <s v="No"/>
    <n v="4.5"/>
    <n v="2.6"/>
    <n v="0.7"/>
    <m/>
    <n v="7.4"/>
    <n v="8.6999999999999993"/>
    <n v="0.7"/>
    <n v="5.7"/>
    <n v="3.4"/>
    <n v="4.0999999999999996"/>
    <n v="6.5"/>
    <s v="Moderate"/>
    <x v="2"/>
  </r>
  <r>
    <x v="1201"/>
    <n v="25"/>
    <x v="1"/>
    <x v="3"/>
    <s v="Single"/>
    <x v="3"/>
    <n v="5.6"/>
    <n v="4"/>
    <n v="4"/>
    <s v="No"/>
    <s v="Within 5 min"/>
    <n v="5"/>
    <n v="4.5999999999999996"/>
    <n v="8.4"/>
    <m/>
    <n v="4"/>
    <s v="Yes"/>
    <s v="Yes"/>
    <n v="4.4000000000000004"/>
    <n v="1.1000000000000001"/>
    <n v="3.9"/>
    <n v="7"/>
    <n v="2.6"/>
    <n v="7.7"/>
    <n v="7.1"/>
    <n v="2.8"/>
    <n v="8.6"/>
    <n v="5.3"/>
    <n v="5.7"/>
    <s v="Moderate"/>
    <x v="0"/>
  </r>
  <r>
    <x v="1202"/>
    <n v="28"/>
    <x v="1"/>
    <x v="1"/>
    <s v="Married"/>
    <x v="0"/>
    <n v="8.6"/>
    <n v="6"/>
    <n v="7"/>
    <s v="No"/>
    <s v="5-30 min"/>
    <n v="69"/>
    <n v="3.2"/>
    <n v="5.0999999999999996"/>
    <n v="4.7"/>
    <n v="6"/>
    <s v="Yes"/>
    <s v="Yes"/>
    <n v="1.1000000000000001"/>
    <n v="2.6"/>
    <n v="8.1"/>
    <n v="2.9"/>
    <n v="6"/>
    <n v="5.7"/>
    <n v="4.7"/>
    <n v="6.1"/>
    <n v="1.4"/>
    <m/>
    <n v="6.7"/>
    <s v="Moderate"/>
    <x v="0"/>
  </r>
  <r>
    <x v="1203"/>
    <n v="39"/>
    <x v="1"/>
    <x v="1"/>
    <s v="In a Relationship"/>
    <x v="0"/>
    <n v="6.4"/>
    <n v="3"/>
    <n v="2"/>
    <s v="Yes"/>
    <s v="Within 5 min"/>
    <n v="6"/>
    <n v="8.4"/>
    <n v="7.6"/>
    <n v="9.3000000000000007"/>
    <n v="5.3"/>
    <s v="Yes"/>
    <s v="No"/>
    <n v="9.3000000000000007"/>
    <n v="2.4"/>
    <n v="6.2"/>
    <n v="6.6"/>
    <n v="10"/>
    <n v="6.3"/>
    <n v="4.8"/>
    <n v="2.7"/>
    <n v="3.9"/>
    <n v="3.7"/>
    <n v="5.3"/>
    <s v="Severe"/>
    <x v="2"/>
  </r>
  <r>
    <x v="1204"/>
    <n v="27"/>
    <x v="1"/>
    <x v="0"/>
    <s v="Single"/>
    <x v="1"/>
    <n v="2.7"/>
    <n v="5"/>
    <n v="3"/>
    <s v="Yes"/>
    <s v="5-30 min"/>
    <n v="36"/>
    <n v="10"/>
    <n v="7.4"/>
    <n v="7.2"/>
    <n v="6.5"/>
    <m/>
    <s v="No"/>
    <n v="1.7"/>
    <n v="9.3000000000000007"/>
    <n v="6.4"/>
    <n v="9.3000000000000007"/>
    <n v="4.9000000000000004"/>
    <n v="6.8"/>
    <n v="5.4"/>
    <n v="5.0999999999999996"/>
    <n v="4"/>
    <n v="5.3"/>
    <n v="7.1"/>
    <s v="Moderate"/>
    <x v="0"/>
  </r>
  <r>
    <x v="1205"/>
    <n v="23"/>
    <x v="0"/>
    <x v="0"/>
    <s v="Married"/>
    <x v="1"/>
    <n v="7.2"/>
    <n v="1"/>
    <n v="1"/>
    <s v="No"/>
    <s v="5-30 min"/>
    <n v="81"/>
    <n v="6"/>
    <n v="6.2"/>
    <n v="2.1"/>
    <n v="0"/>
    <s v="Yes"/>
    <s v="No"/>
    <n v="6.7"/>
    <n v="4.4000000000000004"/>
    <n v="6.7"/>
    <n v="7.1"/>
    <n v="7.4"/>
    <n v="7.6"/>
    <n v="3.8"/>
    <n v="9.1999999999999993"/>
    <n v="1.7"/>
    <n v="2.2999999999999998"/>
    <n v="7.8"/>
    <s v="Low"/>
    <x v="1"/>
  </r>
  <r>
    <x v="1206"/>
    <n v="39"/>
    <x v="1"/>
    <x v="1"/>
    <s v="In a Relationship"/>
    <x v="3"/>
    <n v="7.6"/>
    <n v="1"/>
    <n v="1"/>
    <s v="Yes"/>
    <s v="5-30 min"/>
    <n v="51"/>
    <n v="5.7"/>
    <n v="2.1"/>
    <n v="5.8"/>
    <n v="6.9"/>
    <s v="Yes"/>
    <s v="No"/>
    <n v="7.4"/>
    <n v="8.8000000000000007"/>
    <n v="0"/>
    <n v="5.7"/>
    <n v="4.4000000000000004"/>
    <n v="7.6"/>
    <n v="3.1"/>
    <n v="7.3"/>
    <n v="0.5"/>
    <n v="4.2"/>
    <n v="7"/>
    <s v="Moderate"/>
    <x v="2"/>
  </r>
  <r>
    <x v="1207"/>
    <n v="39"/>
    <x v="0"/>
    <x v="1"/>
    <s v="Single"/>
    <x v="2"/>
    <n v="7"/>
    <n v="4"/>
    <n v="6"/>
    <s v="Yes"/>
    <s v="After 30 min"/>
    <n v="65"/>
    <n v="1.2"/>
    <n v="8.5"/>
    <m/>
    <n v="5.9"/>
    <s v="No"/>
    <s v="Yes"/>
    <n v="4"/>
    <n v="0"/>
    <n v="3.9"/>
    <n v="1.2"/>
    <n v="6.3"/>
    <n v="8.9"/>
    <n v="6.5"/>
    <n v="8.4"/>
    <n v="5.0999999999999996"/>
    <n v="3.1"/>
    <n v="7.2"/>
    <s v="Moderate"/>
    <x v="2"/>
  </r>
  <r>
    <x v="1208"/>
    <n v="40"/>
    <x v="0"/>
    <x v="1"/>
    <s v="Married"/>
    <x v="0"/>
    <n v="4"/>
    <n v="2"/>
    <n v="3"/>
    <s v="Yes"/>
    <s v="Within 5 min"/>
    <n v="38"/>
    <n v="4.8"/>
    <n v="7.8"/>
    <n v="3.6"/>
    <n v="0"/>
    <s v="No"/>
    <s v="Yes"/>
    <n v="4.2"/>
    <n v="3"/>
    <n v="1.3"/>
    <n v="7.8"/>
    <n v="2.2000000000000002"/>
    <n v="6.5"/>
    <n v="3.7"/>
    <n v="9.5"/>
    <n v="3.7"/>
    <n v="4.4000000000000004"/>
    <n v="7.2"/>
    <s v="Low"/>
    <x v="2"/>
  </r>
  <r>
    <x v="1209"/>
    <n v="24"/>
    <x v="1"/>
    <x v="1"/>
    <s v="Single"/>
    <x v="1"/>
    <n v="3.7"/>
    <n v="6"/>
    <n v="7"/>
    <s v="No"/>
    <s v="Within 5 min"/>
    <n v="70"/>
    <n v="4.2"/>
    <n v="3.7"/>
    <m/>
    <n v="4.7"/>
    <s v="Yes"/>
    <s v="Yes"/>
    <n v="4.5"/>
    <n v="5"/>
    <n v="4.2"/>
    <n v="2.9"/>
    <m/>
    <m/>
    <n v="2.8"/>
    <n v="0.6"/>
    <n v="1.3"/>
    <n v="0"/>
    <n v="5.7"/>
    <s v="High"/>
    <x v="1"/>
  </r>
  <r>
    <x v="1210"/>
    <n v="25"/>
    <x v="2"/>
    <x v="0"/>
    <s v="Married"/>
    <x v="4"/>
    <n v="7.6"/>
    <n v="4"/>
    <n v="2"/>
    <s v="Yes"/>
    <s v="Within 5 min"/>
    <n v="82"/>
    <n v="2.2000000000000002"/>
    <n v="5.2"/>
    <n v="4.8"/>
    <n v="5.4"/>
    <s v="No"/>
    <s v="Yes"/>
    <n v="1.8"/>
    <n v="6.2"/>
    <n v="3.7"/>
    <n v="8.3000000000000007"/>
    <n v="6.9"/>
    <n v="4.8"/>
    <n v="2.5"/>
    <n v="5.0999999999999996"/>
    <n v="3.9"/>
    <n v="1.3"/>
    <n v="6.2"/>
    <s v="Moderate"/>
    <x v="0"/>
  </r>
  <r>
    <x v="1211"/>
    <n v="39"/>
    <x v="1"/>
    <x v="1"/>
    <s v="In a Relationship"/>
    <x v="2"/>
    <n v="2.9"/>
    <n v="3"/>
    <n v="3"/>
    <s v="No"/>
    <s v="After 30 min"/>
    <n v="77"/>
    <n v="6.2"/>
    <n v="1.7"/>
    <n v="5.2"/>
    <n v="7.2"/>
    <s v="No"/>
    <s v="Yes"/>
    <n v="6.4"/>
    <n v="1.9"/>
    <n v="3.1"/>
    <n v="6.4"/>
    <m/>
    <n v="5.4"/>
    <n v="6.7"/>
    <n v="6.1"/>
    <n v="6.2"/>
    <m/>
    <n v="7.6"/>
    <s v="Low"/>
    <x v="2"/>
  </r>
  <r>
    <x v="1212"/>
    <n v="29"/>
    <x v="0"/>
    <x v="0"/>
    <s v="Single"/>
    <x v="3"/>
    <n v="6.6"/>
    <n v="3"/>
    <n v="8"/>
    <s v="No"/>
    <s v="5-30 min"/>
    <n v="147"/>
    <n v="6.1"/>
    <n v="7.3"/>
    <n v="3.7"/>
    <n v="4.5"/>
    <s v="Yes"/>
    <s v="No"/>
    <n v="2.9"/>
    <n v="3.4"/>
    <n v="4.3"/>
    <n v="4.2"/>
    <n v="4.4000000000000004"/>
    <n v="5.8"/>
    <n v="5.8"/>
    <n v="4.9000000000000004"/>
    <n v="6.2"/>
    <n v="2.6"/>
    <n v="7"/>
    <s v="Moderate"/>
    <x v="0"/>
  </r>
  <r>
    <x v="1213"/>
    <n v="40"/>
    <x v="1"/>
    <x v="0"/>
    <s v="Single"/>
    <x v="3"/>
    <n v="4.9000000000000004"/>
    <n v="3"/>
    <n v="2"/>
    <s v="No"/>
    <s v="Within 5 min"/>
    <n v="84"/>
    <n v="4.4000000000000004"/>
    <n v="2.8"/>
    <n v="6.7"/>
    <n v="6.3"/>
    <m/>
    <s v="No"/>
    <n v="5.3"/>
    <n v="5.7"/>
    <n v="4.2"/>
    <n v="6.5"/>
    <n v="8.1999999999999993"/>
    <n v="4.8"/>
    <n v="2.7"/>
    <m/>
    <n v="0.3"/>
    <n v="3.6"/>
    <n v="8.3000000000000007"/>
    <s v="Low"/>
    <x v="2"/>
  </r>
  <r>
    <x v="1214"/>
    <n v="18"/>
    <x v="2"/>
    <x v="1"/>
    <s v="Single"/>
    <x v="0"/>
    <n v="3.2"/>
    <n v="4"/>
    <n v="3"/>
    <s v="No"/>
    <s v="Within 5 min"/>
    <n v="48"/>
    <n v="4.8"/>
    <n v="3.7"/>
    <n v="6.1"/>
    <n v="6.8"/>
    <s v="No"/>
    <s v="Yes"/>
    <n v="4.8"/>
    <n v="5.8"/>
    <n v="6.3"/>
    <n v="7.2"/>
    <n v="6"/>
    <n v="6.3"/>
    <n v="5.0999999999999996"/>
    <n v="6"/>
    <n v="1.7"/>
    <n v="4.3"/>
    <n v="6"/>
    <s v="High"/>
    <x v="1"/>
  </r>
  <r>
    <x v="1215"/>
    <n v="30"/>
    <x v="3"/>
    <x v="0"/>
    <s v="Single"/>
    <x v="3"/>
    <n v="3.8"/>
    <n v="2"/>
    <n v="3"/>
    <s v="Yes"/>
    <s v="After 30 min"/>
    <n v="46"/>
    <n v="7.6"/>
    <n v="6.4"/>
    <n v="5.5"/>
    <n v="8"/>
    <s v="Yes"/>
    <s v="No"/>
    <n v="4.2"/>
    <n v="3.9"/>
    <n v="5.3"/>
    <n v="5.0999999999999996"/>
    <n v="6.3"/>
    <n v="5.0999999999999996"/>
    <n v="5.3"/>
    <n v="7.6"/>
    <n v="1.4"/>
    <n v="2.4"/>
    <n v="6.5"/>
    <s v="High"/>
    <x v="0"/>
  </r>
  <r>
    <x v="1216"/>
    <n v="25"/>
    <x v="0"/>
    <x v="1"/>
    <s v="Single"/>
    <x v="3"/>
    <n v="3.4"/>
    <n v="1"/>
    <n v="6"/>
    <s v="Yes"/>
    <s v="5-30 min"/>
    <n v="118"/>
    <n v="7.8"/>
    <n v="8.1"/>
    <n v="2"/>
    <n v="10"/>
    <s v="Yes"/>
    <s v="No"/>
    <n v="0.1"/>
    <n v="1.5"/>
    <n v="3.7"/>
    <n v="7.4"/>
    <n v="5.6"/>
    <n v="7"/>
    <n v="6.3"/>
    <n v="3.2"/>
    <n v="1.3"/>
    <n v="2.8"/>
    <n v="5"/>
    <s v="High"/>
    <x v="0"/>
  </r>
  <r>
    <x v="1217"/>
    <n v="16"/>
    <x v="0"/>
    <x v="4"/>
    <s v="Single"/>
    <x v="4"/>
    <n v="5.7"/>
    <n v="6"/>
    <n v="6"/>
    <s v="No"/>
    <s v="Within 5 min"/>
    <n v="45"/>
    <n v="6.9"/>
    <n v="6.2"/>
    <n v="6"/>
    <n v="6.8"/>
    <m/>
    <s v="No"/>
    <n v="6.3"/>
    <n v="1.1000000000000001"/>
    <n v="3.2"/>
    <n v="6.6"/>
    <n v="6"/>
    <n v="6.8"/>
    <m/>
    <n v="5.8"/>
    <n v="4.3"/>
    <n v="2.6"/>
    <n v="5.3"/>
    <s v="High"/>
    <x v="3"/>
  </r>
  <r>
    <x v="1218"/>
    <n v="25"/>
    <x v="1"/>
    <x v="1"/>
    <s v="Single"/>
    <x v="2"/>
    <n v="3.2"/>
    <n v="2"/>
    <n v="6"/>
    <s v="Yes"/>
    <s v="Within 5 min"/>
    <n v="102"/>
    <n v="5.3"/>
    <n v="6.6"/>
    <n v="4.5999999999999996"/>
    <n v="6.4"/>
    <s v="Yes"/>
    <s v="Yes"/>
    <n v="6.6"/>
    <n v="6.1"/>
    <n v="5.3"/>
    <n v="7.2"/>
    <n v="5.8"/>
    <n v="6"/>
    <n v="6.4"/>
    <n v="4.2"/>
    <n v="4"/>
    <n v="3.8"/>
    <n v="4.5"/>
    <s v="Severe"/>
    <x v="0"/>
  </r>
  <r>
    <x v="1219"/>
    <n v="25"/>
    <x v="0"/>
    <x v="0"/>
    <s v="Single"/>
    <x v="0"/>
    <n v="4.4000000000000004"/>
    <n v="3"/>
    <n v="2"/>
    <s v="No"/>
    <s v="Within 5 min"/>
    <n v="95"/>
    <n v="7.2"/>
    <n v="6.3"/>
    <m/>
    <n v="3.9"/>
    <s v="No"/>
    <s v="No"/>
    <n v="8.1"/>
    <n v="0.9"/>
    <n v="3.7"/>
    <n v="2"/>
    <n v="9.8000000000000007"/>
    <n v="4.7"/>
    <n v="4.7"/>
    <n v="5.2"/>
    <n v="2.4"/>
    <n v="1.1000000000000001"/>
    <n v="7.1"/>
    <s v="Moderate"/>
    <x v="0"/>
  </r>
  <r>
    <x v="1220"/>
    <n v="31"/>
    <x v="0"/>
    <x v="0"/>
    <s v="Single"/>
    <x v="3"/>
    <n v="4.0999999999999996"/>
    <n v="3"/>
    <n v="4"/>
    <s v="Yes"/>
    <s v="Within 5 min"/>
    <n v="37"/>
    <n v="3.3"/>
    <n v="7.1"/>
    <n v="5.6"/>
    <n v="6.4"/>
    <s v="No"/>
    <s v="No"/>
    <n v="5.4"/>
    <n v="4"/>
    <n v="6.3"/>
    <n v="4.9000000000000004"/>
    <n v="8.6999999999999993"/>
    <n v="6.6"/>
    <n v="8.3000000000000007"/>
    <n v="4.3"/>
    <n v="1.5"/>
    <n v="4.5999999999999996"/>
    <n v="6.9"/>
    <s v="Moderate"/>
    <x v="0"/>
  </r>
  <r>
    <x v="1221"/>
    <n v="42"/>
    <x v="2"/>
    <x v="0"/>
    <s v="Married"/>
    <x v="4"/>
    <n v="5.5"/>
    <n v="1"/>
    <n v="4"/>
    <s v="No"/>
    <s v="After 30 min"/>
    <n v="5"/>
    <n v="4.8"/>
    <n v="7.8"/>
    <m/>
    <n v="6.5"/>
    <s v="No"/>
    <s v="No"/>
    <n v="3.2"/>
    <n v="5.5"/>
    <n v="1.9"/>
    <n v="3.9"/>
    <n v="3.6"/>
    <n v="5.9"/>
    <n v="3.6"/>
    <n v="8.4"/>
    <n v="3.6"/>
    <n v="4.9000000000000004"/>
    <n v="9"/>
    <s v="Low"/>
    <x v="2"/>
  </r>
  <r>
    <x v="1222"/>
    <n v="27"/>
    <x v="1"/>
    <x v="0"/>
    <s v="In a Relationship"/>
    <x v="3"/>
    <n v="6.9"/>
    <n v="5"/>
    <n v="3"/>
    <s v="Yes"/>
    <s v="After 30 min"/>
    <n v="93"/>
    <n v="5.3"/>
    <n v="3.1"/>
    <n v="4.2"/>
    <n v="1.9"/>
    <s v="Yes"/>
    <s v="Yes"/>
    <n v="2.5"/>
    <n v="3.3"/>
    <n v="2.5"/>
    <n v="5.8"/>
    <n v="7.1"/>
    <n v="6.1"/>
    <n v="5"/>
    <n v="7.1"/>
    <n v="4.8"/>
    <n v="4.2"/>
    <n v="7.2"/>
    <s v="Low"/>
    <x v="0"/>
  </r>
  <r>
    <x v="1223"/>
    <n v="32"/>
    <x v="1"/>
    <x v="0"/>
    <s v="Single"/>
    <x v="1"/>
    <n v="1.4"/>
    <n v="3"/>
    <n v="6"/>
    <s v="Yes"/>
    <s v="Within 5 min"/>
    <n v="68"/>
    <n v="5"/>
    <n v="10"/>
    <n v="4.3"/>
    <n v="5.8"/>
    <s v="No"/>
    <s v="No"/>
    <n v="4.0999999999999996"/>
    <n v="6"/>
    <n v="6.7"/>
    <n v="6.8"/>
    <n v="4.7"/>
    <n v="5.7"/>
    <n v="6"/>
    <n v="2.4"/>
    <n v="0.1"/>
    <n v="6.4"/>
    <n v="4.7"/>
    <s v="Severe"/>
    <x v="0"/>
  </r>
  <r>
    <x v="1224"/>
    <n v="44"/>
    <x v="0"/>
    <x v="1"/>
    <s v="In a Relationship"/>
    <x v="0"/>
    <n v="5.5"/>
    <n v="6"/>
    <n v="3"/>
    <m/>
    <s v="Within 5 min"/>
    <n v="52"/>
    <n v="5.2"/>
    <n v="6.9"/>
    <n v="6.7"/>
    <n v="7.3"/>
    <s v="No"/>
    <s v="No"/>
    <n v="0.8"/>
    <n v="5.4"/>
    <n v="1.8"/>
    <n v="3.5"/>
    <n v="5.3"/>
    <n v="8.1"/>
    <n v="3"/>
    <n v="4.4000000000000004"/>
    <n v="0.4"/>
    <n v="5"/>
    <n v="6.1"/>
    <s v="Moderate"/>
    <x v="2"/>
  </r>
  <r>
    <x v="1225"/>
    <n v="23"/>
    <x v="0"/>
    <x v="1"/>
    <s v="Single"/>
    <x v="1"/>
    <n v="3.1"/>
    <n v="2"/>
    <n v="6"/>
    <s v="Yes"/>
    <s v="After 30 min"/>
    <n v="98"/>
    <n v="6.6"/>
    <n v="2.6"/>
    <n v="7.7"/>
    <n v="6.3"/>
    <s v="Yes"/>
    <s v="No"/>
    <n v="6.4"/>
    <n v="3.5"/>
    <n v="8.1999999999999993"/>
    <n v="6.5"/>
    <n v="6.2"/>
    <n v="8.6"/>
    <n v="6.5"/>
    <n v="5"/>
    <n v="3.9"/>
    <n v="0"/>
    <n v="5.9"/>
    <s v="High"/>
    <x v="1"/>
  </r>
  <r>
    <x v="1226"/>
    <n v="26"/>
    <x v="0"/>
    <x v="2"/>
    <s v="In a Relationship"/>
    <x v="0"/>
    <n v="4.2"/>
    <n v="4"/>
    <n v="3"/>
    <s v="No"/>
    <s v="Within 5 min"/>
    <n v="81"/>
    <n v="0"/>
    <n v="6.1"/>
    <m/>
    <n v="5"/>
    <s v="Yes"/>
    <s v="Yes"/>
    <n v="6.1"/>
    <n v="5.7"/>
    <n v="3.5"/>
    <n v="5.4"/>
    <n v="9.3000000000000007"/>
    <n v="6.7"/>
    <n v="4"/>
    <n v="2.8"/>
    <n v="3.3"/>
    <n v="3.8"/>
    <n v="7.6"/>
    <s v="Low"/>
    <x v="0"/>
  </r>
  <r>
    <x v="1227"/>
    <n v="31"/>
    <x v="0"/>
    <x v="0"/>
    <s v="In a Relationship"/>
    <x v="3"/>
    <n v="4.3"/>
    <n v="1"/>
    <n v="4"/>
    <s v="No"/>
    <s v="5-30 min"/>
    <n v="109"/>
    <m/>
    <n v="6.8"/>
    <n v="5.5"/>
    <n v="5.7"/>
    <s v="No"/>
    <s v="Yes"/>
    <n v="5.2"/>
    <n v="6.8"/>
    <n v="3.6"/>
    <n v="7.3"/>
    <n v="4.5999999999999996"/>
    <n v="7.3"/>
    <n v="8.5"/>
    <n v="7.3"/>
    <n v="1.9"/>
    <n v="2.6"/>
    <n v="5.0999999999999996"/>
    <s v="Severe"/>
    <x v="0"/>
  </r>
  <r>
    <x v="1228"/>
    <n v="40"/>
    <x v="1"/>
    <x v="3"/>
    <s v="Married"/>
    <x v="0"/>
    <n v="8.1"/>
    <n v="5"/>
    <n v="2"/>
    <s v="Yes"/>
    <s v="Within 5 min"/>
    <n v="69"/>
    <n v="4.0999999999999996"/>
    <n v="4.8"/>
    <n v="1.9"/>
    <n v="5.4"/>
    <s v="Yes"/>
    <s v="No"/>
    <n v="6.3"/>
    <n v="4.5999999999999996"/>
    <n v="5.4"/>
    <n v="6.9"/>
    <n v="5.5"/>
    <n v="5.7"/>
    <n v="8.8000000000000007"/>
    <n v="3.8"/>
    <n v="4.9000000000000004"/>
    <n v="0"/>
    <n v="5.3"/>
    <s v="High"/>
    <x v="2"/>
  </r>
  <r>
    <x v="1229"/>
    <n v="23"/>
    <x v="3"/>
    <x v="0"/>
    <s v="Single"/>
    <x v="3"/>
    <n v="8"/>
    <n v="3"/>
    <n v="6"/>
    <s v="No"/>
    <s v="5-30 min"/>
    <n v="85"/>
    <n v="4.2"/>
    <n v="6.1"/>
    <n v="4.4000000000000004"/>
    <n v="9.3000000000000007"/>
    <s v="No"/>
    <s v="Yes"/>
    <n v="4.8"/>
    <n v="0.3"/>
    <n v="5.8"/>
    <n v="6.2"/>
    <n v="5.7"/>
    <n v="4.0999999999999996"/>
    <n v="4.5999999999999996"/>
    <n v="5.6"/>
    <n v="1.7"/>
    <n v="3"/>
    <n v="5.8"/>
    <s v="Moderate"/>
    <x v="1"/>
  </r>
  <r>
    <x v="1230"/>
    <n v="38"/>
    <x v="2"/>
    <x v="0"/>
    <s v="Single"/>
    <x v="0"/>
    <n v="4.0999999999999996"/>
    <n v="1"/>
    <n v="7"/>
    <s v="Yes"/>
    <s v="5-30 min"/>
    <n v="46"/>
    <n v="6.9"/>
    <n v="5.4"/>
    <n v="6.2"/>
    <n v="7.2"/>
    <s v="No"/>
    <s v="No"/>
    <n v="6.6"/>
    <n v="4.2"/>
    <n v="3.9"/>
    <n v="7.4"/>
    <n v="7.6"/>
    <n v="6.9"/>
    <n v="9.1999999999999993"/>
    <n v="9"/>
    <n v="4.4000000000000004"/>
    <n v="3"/>
    <n v="6.3"/>
    <s v="Moderate"/>
    <x v="2"/>
  </r>
  <r>
    <x v="1231"/>
    <n v="19"/>
    <x v="2"/>
    <x v="1"/>
    <s v="In a Relationship"/>
    <x v="2"/>
    <n v="4.0999999999999996"/>
    <n v="4"/>
    <n v="1"/>
    <s v="No"/>
    <s v="Within 5 min"/>
    <n v="52"/>
    <n v="7.2"/>
    <n v="5.2"/>
    <n v="9.4"/>
    <n v="4.4000000000000004"/>
    <s v="No"/>
    <s v="No"/>
    <n v="6"/>
    <n v="6.1"/>
    <n v="4.5999999999999996"/>
    <n v="4.8"/>
    <n v="10"/>
    <n v="4.5999999999999996"/>
    <n v="5"/>
    <n v="7"/>
    <n v="1"/>
    <n v="5.5"/>
    <n v="7.5"/>
    <s v="Moderate"/>
    <x v="1"/>
  </r>
  <r>
    <x v="1232"/>
    <n v="35"/>
    <x v="0"/>
    <x v="0"/>
    <s v="Single"/>
    <x v="3"/>
    <n v="7.8"/>
    <n v="4"/>
    <n v="8"/>
    <s v="Yes"/>
    <s v="After 30 min"/>
    <n v="30"/>
    <n v="7.6"/>
    <n v="4"/>
    <n v="2.6"/>
    <n v="6.9"/>
    <m/>
    <s v="No"/>
    <n v="4.3"/>
    <n v="5.8"/>
    <n v="6"/>
    <n v="2.4"/>
    <n v="1.6"/>
    <n v="6.9"/>
    <n v="1.7"/>
    <n v="4.0999999999999996"/>
    <n v="3.6"/>
    <n v="2.1"/>
    <n v="6.5"/>
    <s v="High"/>
    <x v="4"/>
  </r>
  <r>
    <x v="1233"/>
    <n v="31"/>
    <x v="0"/>
    <x v="0"/>
    <s v="Single"/>
    <x v="0"/>
    <n v="5.8"/>
    <n v="4"/>
    <n v="2"/>
    <s v="No"/>
    <s v="Within 5 min"/>
    <n v="9"/>
    <n v="7.4"/>
    <n v="4.9000000000000004"/>
    <m/>
    <n v="5.9"/>
    <s v="No"/>
    <s v="No"/>
    <n v="4.8"/>
    <n v="4.4000000000000004"/>
    <n v="5.8"/>
    <n v="6"/>
    <n v="1.7"/>
    <n v="7"/>
    <n v="3.9"/>
    <n v="2.9"/>
    <n v="0.8"/>
    <n v="0.5"/>
    <n v="6.6"/>
    <s v="Moderate"/>
    <x v="0"/>
  </r>
  <r>
    <x v="1234"/>
    <n v="20"/>
    <x v="1"/>
    <x v="0"/>
    <s v="In a Relationship"/>
    <x v="5"/>
    <n v="8.8000000000000007"/>
    <n v="3"/>
    <n v="4"/>
    <s v="No"/>
    <s v="Within 5 min"/>
    <n v="67"/>
    <n v="6.2"/>
    <n v="7.3"/>
    <n v="4.5"/>
    <n v="7.2"/>
    <s v="Yes"/>
    <s v="No"/>
    <n v="2.4"/>
    <n v="6.8"/>
    <n v="5.0999999999999996"/>
    <n v="1.2"/>
    <n v="3.7"/>
    <m/>
    <n v="5.0999999999999996"/>
    <n v="2.5"/>
    <n v="2.8"/>
    <n v="2.7"/>
    <n v="4.5"/>
    <s v="Severe"/>
    <x v="1"/>
  </r>
  <r>
    <x v="1235"/>
    <n v="25"/>
    <x v="0"/>
    <x v="0"/>
    <s v="Married"/>
    <x v="0"/>
    <n v="3.1"/>
    <n v="4"/>
    <n v="6"/>
    <s v="Yes"/>
    <s v="5-30 min"/>
    <n v="37"/>
    <n v="6.2"/>
    <n v="3.4"/>
    <n v="3.5"/>
    <n v="5.0999999999999996"/>
    <m/>
    <s v="Yes"/>
    <n v="7.3"/>
    <n v="4.3"/>
    <n v="4.5999999999999996"/>
    <m/>
    <n v="8"/>
    <n v="6.1"/>
    <n v="3.6"/>
    <n v="7.6"/>
    <n v="1.2"/>
    <n v="3.7"/>
    <n v="7.1"/>
    <s v="Low"/>
    <x v="0"/>
  </r>
  <r>
    <x v="1236"/>
    <n v="27"/>
    <x v="2"/>
    <x v="3"/>
    <s v="In a Relationship"/>
    <x v="1"/>
    <n v="7.1"/>
    <n v="2"/>
    <n v="3"/>
    <s v="Yes"/>
    <s v="5-30 min"/>
    <n v="112"/>
    <n v="5.2"/>
    <n v="2.2000000000000002"/>
    <n v="4.4000000000000004"/>
    <n v="3.7"/>
    <s v="No"/>
    <s v="No"/>
    <n v="8.6"/>
    <n v="1"/>
    <n v="1.7"/>
    <n v="3.9"/>
    <n v="8.6"/>
    <n v="4.8"/>
    <n v="10"/>
    <n v="5.5"/>
    <n v="4.3"/>
    <m/>
    <n v="7.1"/>
    <s v="Low"/>
    <x v="0"/>
  </r>
  <r>
    <x v="1237"/>
    <n v="27"/>
    <x v="1"/>
    <x v="3"/>
    <s v="In a Relationship"/>
    <x v="0"/>
    <m/>
    <n v="3"/>
    <n v="3"/>
    <s v="No"/>
    <s v="After 30 min"/>
    <n v="88"/>
    <n v="7"/>
    <n v="5.9"/>
    <n v="4.9000000000000004"/>
    <n v="3.5"/>
    <s v="No"/>
    <s v="No"/>
    <m/>
    <n v="6.6"/>
    <n v="5.7"/>
    <n v="2.4"/>
    <n v="0"/>
    <n v="5.0999999999999996"/>
    <n v="5.9"/>
    <n v="3.4"/>
    <n v="3.2"/>
    <m/>
    <n v="7.3"/>
    <s v="Moderate"/>
    <x v="0"/>
  </r>
  <r>
    <x v="1238"/>
    <n v="34"/>
    <x v="0"/>
    <x v="1"/>
    <s v="Single"/>
    <x v="1"/>
    <n v="0.5"/>
    <n v="3"/>
    <n v="7"/>
    <s v="Yes"/>
    <s v="Within 5 min"/>
    <n v="119"/>
    <n v="6.9"/>
    <n v="3.7"/>
    <n v="4.0999999999999996"/>
    <n v="3.3"/>
    <s v="No"/>
    <s v="No"/>
    <n v="2.9"/>
    <n v="7"/>
    <n v="2.5"/>
    <n v="6.3"/>
    <n v="6.4"/>
    <n v="4.8"/>
    <n v="8.4"/>
    <n v="7.7"/>
    <m/>
    <n v="0"/>
    <n v="6"/>
    <s v="Moderate"/>
    <x v="0"/>
  </r>
  <r>
    <x v="1239"/>
    <n v="18"/>
    <x v="0"/>
    <x v="3"/>
    <s v="Married"/>
    <x v="1"/>
    <n v="6.3"/>
    <n v="1"/>
    <n v="3"/>
    <s v="Yes"/>
    <s v="Within 5 min"/>
    <n v="18"/>
    <n v="4.9000000000000004"/>
    <n v="5.4"/>
    <n v="0.2"/>
    <n v="5.5"/>
    <s v="Yes"/>
    <s v="Yes"/>
    <n v="4.4000000000000004"/>
    <n v="6.6"/>
    <n v="3.6"/>
    <n v="8.3000000000000007"/>
    <n v="5.5"/>
    <n v="7.3"/>
    <m/>
    <n v="4.9000000000000004"/>
    <n v="2"/>
    <n v="2.8"/>
    <n v="6.7"/>
    <s v="Moderate"/>
    <x v="1"/>
  </r>
  <r>
    <x v="1240"/>
    <n v="27"/>
    <x v="0"/>
    <x v="0"/>
    <s v="Married"/>
    <x v="1"/>
    <n v="2.5"/>
    <n v="2"/>
    <n v="3"/>
    <s v="Yes"/>
    <s v="After 30 min"/>
    <n v="47"/>
    <n v="8.1999999999999993"/>
    <n v="6.5"/>
    <n v="4.2"/>
    <n v="4.9000000000000004"/>
    <s v="Yes"/>
    <s v="No"/>
    <n v="3.4"/>
    <n v="2"/>
    <n v="3.3"/>
    <n v="5.6"/>
    <n v="7.2"/>
    <n v="6.1"/>
    <n v="5.7"/>
    <n v="4.7"/>
    <n v="3.5"/>
    <n v="2.1"/>
    <n v="7.8"/>
    <s v="Low"/>
    <x v="0"/>
  </r>
  <r>
    <x v="1241"/>
    <n v="21"/>
    <x v="1"/>
    <x v="1"/>
    <s v="Single"/>
    <x v="1"/>
    <n v="6.2"/>
    <n v="2"/>
    <n v="6"/>
    <s v="No"/>
    <s v="After 30 min"/>
    <n v="57"/>
    <n v="4.8"/>
    <n v="4"/>
    <n v="4.5"/>
    <n v="2"/>
    <s v="Yes"/>
    <s v="Yes"/>
    <n v="5.3"/>
    <n v="2.8"/>
    <n v="7.5"/>
    <n v="6.8"/>
    <n v="5.9"/>
    <n v="6.3"/>
    <n v="3.7"/>
    <n v="7.1"/>
    <n v="5.5"/>
    <n v="2.9"/>
    <n v="7.8"/>
    <s v="Low"/>
    <x v="1"/>
  </r>
  <r>
    <x v="1242"/>
    <n v="32"/>
    <x v="0"/>
    <x v="3"/>
    <s v="Single"/>
    <x v="1"/>
    <n v="4"/>
    <n v="4"/>
    <n v="3"/>
    <s v="Yes"/>
    <s v="5-30 min"/>
    <n v="7"/>
    <n v="10"/>
    <n v="7.3"/>
    <n v="6.9"/>
    <n v="4.0999999999999996"/>
    <s v="Yes"/>
    <s v="Yes"/>
    <n v="7"/>
    <n v="4.0999999999999996"/>
    <n v="2.2999999999999998"/>
    <n v="5.3"/>
    <n v="6.7"/>
    <n v="8.8000000000000007"/>
    <n v="5.3"/>
    <n v="5.5"/>
    <n v="0.5"/>
    <n v="5"/>
    <n v="5.3"/>
    <s v="Severe"/>
    <x v="0"/>
  </r>
  <r>
    <x v="1243"/>
    <n v="44"/>
    <x v="2"/>
    <x v="1"/>
    <s v="Single"/>
    <x v="3"/>
    <n v="7.4"/>
    <n v="3"/>
    <n v="4"/>
    <s v="Yes"/>
    <s v="After 30 min"/>
    <n v="13"/>
    <n v="4.5"/>
    <n v="3.6"/>
    <n v="3.5"/>
    <n v="4.4000000000000004"/>
    <s v="No"/>
    <s v="No"/>
    <n v="4.3"/>
    <n v="5"/>
    <n v="5.7"/>
    <n v="4.0999999999999996"/>
    <n v="4.3"/>
    <n v="6.3"/>
    <n v="6"/>
    <n v="5.3"/>
    <n v="5.9"/>
    <n v="4.5"/>
    <n v="8.4"/>
    <s v="Low"/>
    <x v="2"/>
  </r>
  <r>
    <x v="1244"/>
    <n v="32"/>
    <x v="1"/>
    <x v="1"/>
    <s v="Married"/>
    <x v="3"/>
    <n v="1.6"/>
    <n v="2"/>
    <n v="1"/>
    <s v="Yes"/>
    <s v="After 30 min"/>
    <n v="63"/>
    <n v="9.4"/>
    <n v="4.4000000000000004"/>
    <n v="3.9"/>
    <n v="5.4"/>
    <s v="Yes"/>
    <s v="Yes"/>
    <n v="4.3"/>
    <n v="4.4000000000000004"/>
    <n v="0.7"/>
    <n v="5.5"/>
    <n v="4.5999999999999996"/>
    <n v="6"/>
    <n v="7.9"/>
    <n v="6.7"/>
    <n v="0.2"/>
    <n v="4.4000000000000004"/>
    <n v="5.4"/>
    <s v="High"/>
    <x v="0"/>
  </r>
  <r>
    <x v="1245"/>
    <n v="27"/>
    <x v="1"/>
    <x v="0"/>
    <s v="Married"/>
    <x v="4"/>
    <n v="1.2"/>
    <n v="2"/>
    <n v="5"/>
    <s v="No"/>
    <s v="After 30 min"/>
    <n v="63"/>
    <n v="9.6999999999999993"/>
    <n v="4.4000000000000004"/>
    <n v="9.4"/>
    <n v="5.8"/>
    <s v="No"/>
    <s v="Yes"/>
    <n v="5"/>
    <n v="3.8"/>
    <n v="8.5"/>
    <n v="6"/>
    <n v="8.6999999999999993"/>
    <n v="5.8"/>
    <n v="3.2"/>
    <n v="5.8"/>
    <n v="2.6"/>
    <n v="3.3"/>
    <n v="5.7"/>
    <s v="Moderate"/>
    <x v="0"/>
  </r>
  <r>
    <x v="1246"/>
    <n v="36"/>
    <x v="2"/>
    <x v="0"/>
    <s v="Married"/>
    <x v="1"/>
    <n v="7.9"/>
    <n v="3"/>
    <n v="1"/>
    <s v="No"/>
    <s v="5-30 min"/>
    <n v="67"/>
    <n v="7.3"/>
    <n v="4.9000000000000004"/>
    <n v="4.0999999999999996"/>
    <n v="7"/>
    <s v="No"/>
    <s v="No"/>
    <n v="7"/>
    <n v="5.6"/>
    <n v="3.4"/>
    <n v="5.2"/>
    <n v="2.6"/>
    <n v="7"/>
    <n v="4.3"/>
    <n v="7.5"/>
    <n v="5.7"/>
    <n v="3"/>
    <n v="6.6"/>
    <s v="Moderate"/>
    <x v="2"/>
  </r>
  <r>
    <x v="1247"/>
    <n v="17"/>
    <x v="1"/>
    <x v="1"/>
    <s v="Single"/>
    <x v="1"/>
    <n v="7"/>
    <n v="7"/>
    <n v="4"/>
    <s v="Yes"/>
    <s v="Within 5 min"/>
    <n v="62"/>
    <n v="9.5"/>
    <n v="6.2"/>
    <n v="9.6"/>
    <n v="4"/>
    <s v="No"/>
    <s v="No"/>
    <n v="3.1"/>
    <n v="6.3"/>
    <n v="7.1"/>
    <n v="6.2"/>
    <n v="2.7"/>
    <m/>
    <n v="5"/>
    <n v="5.2"/>
    <n v="2.8"/>
    <n v="2.9"/>
    <n v="3.8"/>
    <s v="Severe"/>
    <x v="3"/>
  </r>
  <r>
    <x v="1248"/>
    <n v="31"/>
    <x v="2"/>
    <x v="3"/>
    <s v="Single"/>
    <x v="1"/>
    <n v="4.8"/>
    <n v="1"/>
    <n v="4"/>
    <s v="Yes"/>
    <s v="5-30 min"/>
    <n v="97"/>
    <n v="7.1"/>
    <n v="5.5"/>
    <n v="2.6"/>
    <n v="6.3"/>
    <s v="No"/>
    <s v="Yes"/>
    <n v="6"/>
    <n v="2.2999999999999998"/>
    <n v="4.0999999999999996"/>
    <n v="7.7"/>
    <n v="1.1000000000000001"/>
    <n v="5.7"/>
    <n v="6.1"/>
    <m/>
    <n v="7.1"/>
    <n v="3.4"/>
    <n v="5.6"/>
    <s v="Severe"/>
    <x v="0"/>
  </r>
  <r>
    <x v="1249"/>
    <n v="20"/>
    <x v="1"/>
    <x v="4"/>
    <m/>
    <x v="1"/>
    <n v="1"/>
    <n v="2"/>
    <n v="10"/>
    <s v="Yes"/>
    <s v="After 30 min"/>
    <n v="67"/>
    <m/>
    <n v="5.4"/>
    <n v="6.8"/>
    <n v="5.9"/>
    <s v="Yes"/>
    <s v="Yes"/>
    <n v="5.2"/>
    <n v="4.9000000000000004"/>
    <n v="3.3"/>
    <n v="6.5"/>
    <n v="2.9"/>
    <n v="8.1999999999999993"/>
    <n v="1.5"/>
    <n v="4.7"/>
    <n v="3.7"/>
    <n v="3.9"/>
    <n v="6.7"/>
    <s v="Low"/>
    <x v="1"/>
  </r>
  <r>
    <x v="1250"/>
    <n v="31"/>
    <x v="1"/>
    <x v="1"/>
    <s v="Single"/>
    <x v="4"/>
    <n v="6.5"/>
    <n v="3"/>
    <n v="3"/>
    <s v="Yes"/>
    <s v="After 30 min"/>
    <n v="104"/>
    <n v="6.8"/>
    <n v="4.3"/>
    <n v="5.2"/>
    <n v="6.8"/>
    <s v="No"/>
    <s v="Yes"/>
    <n v="6"/>
    <n v="1.9"/>
    <n v="3"/>
    <n v="6.5"/>
    <n v="5.8"/>
    <n v="7.1"/>
    <n v="4.3"/>
    <n v="6.9"/>
    <n v="1"/>
    <n v="0.3"/>
    <n v="5.6"/>
    <s v="High"/>
    <x v="0"/>
  </r>
  <r>
    <x v="1251"/>
    <n v="18"/>
    <x v="0"/>
    <x v="2"/>
    <m/>
    <x v="3"/>
    <n v="10"/>
    <n v="1"/>
    <n v="7"/>
    <s v="No"/>
    <s v="Within 5 min"/>
    <n v="71"/>
    <n v="1.2"/>
    <n v="5.9"/>
    <n v="6.6"/>
    <n v="7.1"/>
    <s v="No"/>
    <s v="Yes"/>
    <n v="9.6999999999999993"/>
    <n v="6.1"/>
    <n v="1.4"/>
    <n v="2.7"/>
    <n v="5.4"/>
    <n v="5.7"/>
    <m/>
    <n v="4.9000000000000004"/>
    <n v="0.7"/>
    <n v="7.5"/>
    <n v="6.6"/>
    <s v="High"/>
    <x v="1"/>
  </r>
  <r>
    <x v="1252"/>
    <n v="19"/>
    <x v="1"/>
    <x v="1"/>
    <s v="Single"/>
    <x v="0"/>
    <n v="3.8"/>
    <n v="2"/>
    <n v="2"/>
    <s v="No"/>
    <s v="Within 5 min"/>
    <n v="20"/>
    <n v="3.7"/>
    <n v="10"/>
    <n v="7.3"/>
    <n v="5"/>
    <s v="Yes"/>
    <s v="No"/>
    <n v="8.1"/>
    <n v="4.9000000000000004"/>
    <n v="4.9000000000000004"/>
    <n v="7.6"/>
    <n v="5.4"/>
    <n v="8"/>
    <n v="3.1"/>
    <n v="6.3"/>
    <n v="4.4000000000000004"/>
    <n v="0"/>
    <n v="6.6"/>
    <s v="Moderate"/>
    <x v="1"/>
  </r>
  <r>
    <x v="1253"/>
    <n v="41"/>
    <x v="1"/>
    <x v="1"/>
    <s v="Single"/>
    <x v="4"/>
    <n v="3.7"/>
    <n v="3"/>
    <n v="4"/>
    <s v="Yes"/>
    <s v="Within 5 min"/>
    <n v="94"/>
    <n v="6.1"/>
    <n v="4.5"/>
    <m/>
    <n v="7.8"/>
    <s v="No"/>
    <s v="No"/>
    <n v="5.2"/>
    <n v="8.4"/>
    <n v="3.3"/>
    <n v="7.7"/>
    <n v="6.7"/>
    <n v="8.1"/>
    <n v="10"/>
    <n v="4.5"/>
    <n v="3.1"/>
    <n v="3.5"/>
    <n v="6.6"/>
    <s v="Moderate"/>
    <x v="2"/>
  </r>
  <r>
    <x v="1254"/>
    <n v="28"/>
    <x v="1"/>
    <x v="0"/>
    <s v="Single"/>
    <x v="1"/>
    <n v="2.8"/>
    <n v="5"/>
    <n v="5"/>
    <s v="Yes"/>
    <s v="Within 5 min"/>
    <n v="28"/>
    <n v="7.3"/>
    <n v="6.1"/>
    <n v="4.5999999999999996"/>
    <n v="8.1999999999999993"/>
    <s v="No"/>
    <s v="No"/>
    <n v="7.4"/>
    <n v="3.1"/>
    <n v="6.7"/>
    <n v="4.3"/>
    <n v="0.9"/>
    <n v="4.0999999999999996"/>
    <n v="0"/>
    <n v="7.2"/>
    <n v="2"/>
    <n v="2.4"/>
    <n v="5.7"/>
    <s v="Severe"/>
    <x v="0"/>
  </r>
  <r>
    <x v="1255"/>
    <n v="32"/>
    <x v="1"/>
    <x v="4"/>
    <s v="Married"/>
    <x v="1"/>
    <n v="5.6"/>
    <n v="5"/>
    <n v="1"/>
    <s v="No"/>
    <s v="Within 5 min"/>
    <n v="95"/>
    <n v="7.9"/>
    <n v="7.4"/>
    <n v="4.8"/>
    <n v="3.7"/>
    <s v="Yes"/>
    <s v="Yes"/>
    <n v="2.5"/>
    <n v="6.5"/>
    <n v="6.5"/>
    <n v="5.3"/>
    <n v="5.9"/>
    <n v="7.5"/>
    <n v="1"/>
    <n v="4.8"/>
    <n v="2.1"/>
    <n v="3.2"/>
    <n v="4.9000000000000004"/>
    <s v="Severe"/>
    <x v="0"/>
  </r>
  <r>
    <x v="1256"/>
    <n v="34"/>
    <x v="1"/>
    <x v="1"/>
    <s v="Single"/>
    <x v="0"/>
    <n v="4.4000000000000004"/>
    <n v="1"/>
    <n v="6"/>
    <s v="No"/>
    <s v="After 30 min"/>
    <n v="91"/>
    <n v="7.5"/>
    <n v="2.4"/>
    <n v="7.9"/>
    <n v="0.1"/>
    <s v="No"/>
    <s v="Yes"/>
    <n v="7.8"/>
    <n v="6.2"/>
    <n v="5.7"/>
    <n v="9.1"/>
    <n v="5.2"/>
    <n v="6.5"/>
    <n v="4.4000000000000004"/>
    <n v="2.1"/>
    <n v="3.1"/>
    <n v="0.5"/>
    <n v="7.7"/>
    <s v="Low"/>
    <x v="0"/>
  </r>
  <r>
    <x v="1257"/>
    <n v="23"/>
    <x v="0"/>
    <x v="1"/>
    <s v="Married"/>
    <x v="3"/>
    <n v="1.2"/>
    <n v="4"/>
    <n v="7"/>
    <s v="Yes"/>
    <s v="After 30 min"/>
    <n v="82"/>
    <n v="4.9000000000000004"/>
    <n v="6"/>
    <n v="5.8"/>
    <n v="5.5"/>
    <s v="No"/>
    <s v="No"/>
    <n v="9.1999999999999993"/>
    <n v="6"/>
    <n v="5.4"/>
    <n v="5.4"/>
    <n v="8.3000000000000007"/>
    <n v="6.6"/>
    <n v="5.8"/>
    <n v="6.3"/>
    <n v="2.4"/>
    <n v="5.6"/>
    <n v="8.1"/>
    <s v="Low"/>
    <x v="1"/>
  </r>
  <r>
    <x v="1258"/>
    <n v="36"/>
    <x v="0"/>
    <x v="1"/>
    <s v="Single"/>
    <x v="1"/>
    <n v="3"/>
    <n v="2"/>
    <n v="5"/>
    <s v="No"/>
    <s v="5-30 min"/>
    <n v="54"/>
    <n v="4.3"/>
    <n v="2.1"/>
    <n v="2.9"/>
    <n v="0.8"/>
    <s v="No"/>
    <s v="No"/>
    <n v="1"/>
    <n v="0"/>
    <n v="6.3"/>
    <n v="9.6"/>
    <n v="4.3"/>
    <n v="7.7"/>
    <n v="7.3"/>
    <n v="8.1"/>
    <n v="1.4"/>
    <n v="3.1"/>
    <n v="10"/>
    <s v="Low"/>
    <x v="2"/>
  </r>
  <r>
    <x v="1259"/>
    <n v="19"/>
    <x v="3"/>
    <x v="1"/>
    <s v="Married"/>
    <x v="5"/>
    <n v="6.7"/>
    <n v="2"/>
    <n v="3"/>
    <s v="Yes"/>
    <s v="Within 5 min"/>
    <n v="48"/>
    <n v="6.9"/>
    <n v="1.7"/>
    <n v="0"/>
    <n v="5.9"/>
    <s v="Yes"/>
    <s v="No"/>
    <n v="5.2"/>
    <n v="2"/>
    <n v="9.4"/>
    <n v="6.1"/>
    <n v="3.5"/>
    <n v="7.7"/>
    <n v="6.1"/>
    <n v="6.4"/>
    <n v="2.6"/>
    <n v="4.5999999999999996"/>
    <n v="5.7"/>
    <s v="High"/>
    <x v="1"/>
  </r>
  <r>
    <x v="1260"/>
    <n v="33"/>
    <x v="2"/>
    <x v="0"/>
    <s v="Single"/>
    <x v="1"/>
    <n v="2.1"/>
    <n v="3"/>
    <n v="8"/>
    <s v="No"/>
    <s v="After 30 min"/>
    <n v="10"/>
    <n v="6.8"/>
    <n v="4"/>
    <n v="9.3000000000000007"/>
    <n v="6.5"/>
    <s v="Yes"/>
    <s v="No"/>
    <n v="4.8"/>
    <n v="5.2"/>
    <n v="2.6"/>
    <n v="3.4"/>
    <n v="6.5"/>
    <n v="5"/>
    <n v="2.8"/>
    <n v="6.5"/>
    <n v="4.2"/>
    <n v="2.1"/>
    <n v="8.5"/>
    <s v="Low"/>
    <x v="0"/>
  </r>
  <r>
    <x v="1261"/>
    <n v="16"/>
    <x v="0"/>
    <x v="1"/>
    <s v="Married"/>
    <x v="2"/>
    <n v="5.0999999999999996"/>
    <n v="2"/>
    <n v="4"/>
    <s v="Yes"/>
    <s v="Within 5 min"/>
    <n v="31"/>
    <n v="4.0999999999999996"/>
    <n v="4.0999999999999996"/>
    <n v="5.0999999999999996"/>
    <n v="3.6"/>
    <s v="No"/>
    <s v="No"/>
    <n v="6.7"/>
    <n v="4.7"/>
    <n v="8"/>
    <n v="7.8"/>
    <n v="9"/>
    <n v="5.4"/>
    <n v="8.1"/>
    <n v="6.4"/>
    <n v="2"/>
    <n v="2.1"/>
    <n v="7.2"/>
    <s v="Low"/>
    <x v="3"/>
  </r>
  <r>
    <x v="1262"/>
    <n v="18"/>
    <x v="0"/>
    <x v="0"/>
    <s v="Married"/>
    <x v="4"/>
    <n v="6.8"/>
    <n v="4"/>
    <n v="4"/>
    <s v="Yes"/>
    <s v="5-30 min"/>
    <n v="36"/>
    <n v="5.3"/>
    <n v="4.5"/>
    <n v="5.0999999999999996"/>
    <n v="0.8"/>
    <s v="Yes"/>
    <s v="No"/>
    <n v="6.7"/>
    <n v="4.3"/>
    <n v="3.4"/>
    <n v="5"/>
    <n v="5.0999999999999996"/>
    <n v="7"/>
    <n v="5.4"/>
    <n v="4"/>
    <n v="1.1000000000000001"/>
    <n v="6.8"/>
    <n v="6.2"/>
    <s v="Low"/>
    <x v="1"/>
  </r>
  <r>
    <x v="1263"/>
    <n v="29"/>
    <x v="0"/>
    <x v="3"/>
    <m/>
    <x v="3"/>
    <n v="6.2"/>
    <n v="3"/>
    <n v="4"/>
    <s v="No"/>
    <s v="Within 5 min"/>
    <n v="27"/>
    <n v="5"/>
    <n v="4.3"/>
    <n v="6.6"/>
    <n v="6.2"/>
    <s v="No"/>
    <s v="Yes"/>
    <n v="4.3"/>
    <n v="4.4000000000000004"/>
    <n v="5.9"/>
    <n v="6.9"/>
    <n v="3.9"/>
    <n v="6.4"/>
    <n v="4"/>
    <n v="8.1"/>
    <n v="1.9"/>
    <n v="3.7"/>
    <n v="6"/>
    <s v="High"/>
    <x v="0"/>
  </r>
  <r>
    <x v="1264"/>
    <n v="18"/>
    <x v="0"/>
    <x v="0"/>
    <s v="Single"/>
    <x v="1"/>
    <n v="0.6"/>
    <n v="3"/>
    <n v="5"/>
    <s v="Yes"/>
    <s v="After 30 min"/>
    <n v="56"/>
    <n v="8.6999999999999993"/>
    <n v="5.8"/>
    <n v="5.8"/>
    <n v="4.0999999999999996"/>
    <s v="No"/>
    <s v="No"/>
    <n v="5.5"/>
    <n v="4.3"/>
    <n v="4.8"/>
    <n v="5.0999999999999996"/>
    <n v="3.6"/>
    <n v="5.8"/>
    <n v="9.9"/>
    <n v="6.1"/>
    <n v="4.7"/>
    <n v="2.1"/>
    <n v="6.2"/>
    <s v="High"/>
    <x v="1"/>
  </r>
  <r>
    <x v="1265"/>
    <n v="32"/>
    <x v="2"/>
    <x v="1"/>
    <s v="Single"/>
    <x v="1"/>
    <n v="5.8"/>
    <n v="4"/>
    <n v="3"/>
    <s v="Yes"/>
    <s v="Within 5 min"/>
    <n v="46"/>
    <n v="5.2"/>
    <n v="4.8"/>
    <n v="2.5"/>
    <n v="4"/>
    <s v="No"/>
    <s v="Yes"/>
    <n v="3.5"/>
    <n v="5.9"/>
    <n v="4.5999999999999996"/>
    <n v="8.6"/>
    <n v="6.1"/>
    <n v="7"/>
    <n v="3.9"/>
    <m/>
    <n v="4.3"/>
    <n v="5.5"/>
    <n v="7.2"/>
    <s v="Moderate"/>
    <x v="0"/>
  </r>
  <r>
    <x v="1266"/>
    <n v="21"/>
    <x v="0"/>
    <x v="1"/>
    <s v="Married"/>
    <x v="1"/>
    <n v="2.1"/>
    <n v="2"/>
    <n v="4"/>
    <s v="Yes"/>
    <s v="5-30 min"/>
    <n v="70"/>
    <n v="5.3"/>
    <n v="4.8"/>
    <n v="6.4"/>
    <n v="6"/>
    <s v="No"/>
    <s v="No"/>
    <n v="7.7"/>
    <n v="4.2"/>
    <n v="6.4"/>
    <n v="6.2"/>
    <n v="3.7"/>
    <n v="6.9"/>
    <n v="5.0999999999999996"/>
    <n v="3.8"/>
    <n v="0"/>
    <n v="4.3"/>
    <n v="5.8"/>
    <s v="High"/>
    <x v="1"/>
  </r>
  <r>
    <x v="1267"/>
    <n v="37"/>
    <x v="1"/>
    <x v="2"/>
    <s v="In a Relationship"/>
    <x v="5"/>
    <n v="0.5"/>
    <n v="4"/>
    <n v="5"/>
    <s v="No"/>
    <s v="Within 5 min"/>
    <n v="49"/>
    <n v="5.6"/>
    <n v="6.8"/>
    <n v="4.9000000000000004"/>
    <n v="1.7"/>
    <s v="No"/>
    <s v="Yes"/>
    <n v="4.8"/>
    <n v="0.8"/>
    <n v="4.4000000000000004"/>
    <n v="3.6"/>
    <n v="4.9000000000000004"/>
    <n v="5.0999999999999996"/>
    <n v="5.4"/>
    <n v="5.9"/>
    <n v="6.2"/>
    <n v="4.8"/>
    <n v="6.9"/>
    <s v="Low"/>
    <x v="2"/>
  </r>
  <r>
    <x v="1268"/>
    <n v="44"/>
    <x v="1"/>
    <x v="1"/>
    <s v="Single"/>
    <x v="0"/>
    <n v="5.2"/>
    <n v="7"/>
    <n v="3"/>
    <s v="Yes"/>
    <s v="5-30 min"/>
    <n v="25"/>
    <n v="5.4"/>
    <n v="9.1"/>
    <m/>
    <n v="4.4000000000000004"/>
    <s v="Yes"/>
    <s v="Yes"/>
    <n v="5.9"/>
    <n v="7.1"/>
    <n v="7"/>
    <n v="4.4000000000000004"/>
    <n v="8.4"/>
    <n v="8.6"/>
    <n v="2.8"/>
    <n v="2.4"/>
    <n v="1.2"/>
    <n v="1.7"/>
    <n v="4.4000000000000004"/>
    <s v="Severe"/>
    <x v="2"/>
  </r>
  <r>
    <x v="1269"/>
    <n v="38"/>
    <x v="0"/>
    <x v="0"/>
    <s v="In a Relationship"/>
    <x v="1"/>
    <n v="0.9"/>
    <n v="4"/>
    <n v="1"/>
    <s v="No"/>
    <s v="Within 5 min"/>
    <n v="49"/>
    <n v="3.2"/>
    <n v="5.4"/>
    <n v="5.2"/>
    <n v="5.3"/>
    <s v="No"/>
    <s v="No"/>
    <n v="3.4"/>
    <n v="6.9"/>
    <n v="2.8"/>
    <n v="2.4"/>
    <n v="0.6"/>
    <n v="7.2"/>
    <n v="4.5"/>
    <n v="7.7"/>
    <n v="5.6"/>
    <n v="2"/>
    <n v="8.1999999999999993"/>
    <s v="Low"/>
    <x v="2"/>
  </r>
  <r>
    <x v="1270"/>
    <n v="37"/>
    <x v="1"/>
    <x v="1"/>
    <s v="Married"/>
    <x v="3"/>
    <n v="4"/>
    <n v="1"/>
    <n v="8"/>
    <s v="No"/>
    <s v="After 30 min"/>
    <n v="75"/>
    <n v="7"/>
    <n v="5.5"/>
    <n v="9.6999999999999993"/>
    <n v="5.3"/>
    <s v="Yes"/>
    <s v="No"/>
    <n v="3.8"/>
    <n v="2.8"/>
    <n v="1.3"/>
    <n v="6.8"/>
    <n v="6.9"/>
    <n v="8.8000000000000007"/>
    <n v="4"/>
    <n v="5.8"/>
    <n v="4.2"/>
    <n v="5.4"/>
    <n v="6.7"/>
    <s v="Moderate"/>
    <x v="2"/>
  </r>
  <r>
    <x v="1271"/>
    <n v="22"/>
    <x v="3"/>
    <x v="0"/>
    <s v="Single"/>
    <x v="4"/>
    <n v="7.2"/>
    <n v="2"/>
    <n v="2"/>
    <s v="No"/>
    <s v="After 30 min"/>
    <n v="69"/>
    <n v="5.8"/>
    <n v="3.5"/>
    <n v="5"/>
    <n v="1.9"/>
    <s v="No"/>
    <s v="Yes"/>
    <n v="8"/>
    <n v="5.6"/>
    <n v="6"/>
    <n v="8.9"/>
    <n v="2.5"/>
    <n v="8.4"/>
    <n v="3.3"/>
    <n v="5.6"/>
    <n v="2.4"/>
    <m/>
    <n v="7.5"/>
    <s v="Low"/>
    <x v="1"/>
  </r>
  <r>
    <x v="1272"/>
    <n v="16"/>
    <x v="0"/>
    <x v="0"/>
    <s v="In a Relationship"/>
    <x v="1"/>
    <n v="5.7"/>
    <n v="3"/>
    <n v="5"/>
    <s v="Yes"/>
    <s v="5-30 min"/>
    <n v="47"/>
    <n v="5.7"/>
    <n v="7.8"/>
    <m/>
    <n v="5"/>
    <s v="No"/>
    <s v="Yes"/>
    <n v="5.7"/>
    <n v="2.1"/>
    <n v="2.4"/>
    <n v="6.7"/>
    <n v="7.5"/>
    <n v="4.2"/>
    <n v="9.6"/>
    <n v="5.0999999999999996"/>
    <n v="2.1"/>
    <n v="2.1"/>
    <n v="5.2"/>
    <s v="Severe"/>
    <x v="3"/>
  </r>
  <r>
    <x v="1273"/>
    <n v="28"/>
    <x v="0"/>
    <x v="2"/>
    <s v="Single"/>
    <x v="0"/>
    <n v="4.2"/>
    <n v="2"/>
    <n v="3"/>
    <s v="No"/>
    <s v="After 30 min"/>
    <n v="29"/>
    <n v="5.2"/>
    <n v="2"/>
    <n v="5.8"/>
    <n v="1.7"/>
    <s v="Yes"/>
    <s v="Yes"/>
    <n v="2.4"/>
    <n v="5.2"/>
    <n v="4.0999999999999996"/>
    <n v="4.8"/>
    <n v="2.5"/>
    <n v="5.9"/>
    <n v="5.6"/>
    <n v="3.5"/>
    <n v="3.7"/>
    <n v="4.7"/>
    <n v="7.9"/>
    <s v="Low"/>
    <x v="0"/>
  </r>
  <r>
    <x v="1274"/>
    <n v="36"/>
    <x v="0"/>
    <x v="2"/>
    <s v="Single"/>
    <x v="1"/>
    <n v="6.6"/>
    <n v="3"/>
    <n v="7"/>
    <s v="No"/>
    <s v="After 30 min"/>
    <n v="60"/>
    <n v="5.3"/>
    <n v="3.6"/>
    <n v="3.3"/>
    <n v="8"/>
    <s v="Yes"/>
    <s v="No"/>
    <n v="4"/>
    <n v="5"/>
    <m/>
    <n v="5.7"/>
    <n v="2.1"/>
    <n v="5.8"/>
    <n v="3.4"/>
    <n v="4.9000000000000004"/>
    <n v="2.6"/>
    <n v="6.1"/>
    <n v="8.1999999999999993"/>
    <s v="Low"/>
    <x v="2"/>
  </r>
  <r>
    <x v="1275"/>
    <n v="34"/>
    <x v="0"/>
    <x v="0"/>
    <s v="In a Relationship"/>
    <x v="2"/>
    <n v="4.5999999999999996"/>
    <n v="5"/>
    <n v="4"/>
    <s v="No"/>
    <s v="Within 5 min"/>
    <n v="5"/>
    <n v="2.6"/>
    <n v="6"/>
    <n v="7.3"/>
    <n v="6.5"/>
    <s v="Yes"/>
    <s v="Yes"/>
    <n v="5.4"/>
    <n v="2.8"/>
    <n v="4.5"/>
    <n v="6.5"/>
    <n v="5.5"/>
    <n v="5"/>
    <n v="4.4000000000000004"/>
    <n v="4.5"/>
    <m/>
    <n v="2.1"/>
    <n v="5"/>
    <s v="High"/>
    <x v="0"/>
  </r>
  <r>
    <x v="1276"/>
    <n v="21"/>
    <x v="0"/>
    <x v="0"/>
    <s v="Single"/>
    <x v="1"/>
    <n v="6.3"/>
    <n v="5"/>
    <n v="6"/>
    <s v="Yes"/>
    <s v="5-30 min"/>
    <n v="80"/>
    <n v="4.3"/>
    <n v="3"/>
    <n v="2.1"/>
    <n v="6.1"/>
    <s v="Yes"/>
    <s v="Yes"/>
    <n v="8.1"/>
    <n v="5.5"/>
    <n v="7.5"/>
    <n v="0"/>
    <n v="6.5"/>
    <n v="6.2"/>
    <n v="6.9"/>
    <n v="3.4"/>
    <n v="2.6"/>
    <n v="2.9"/>
    <n v="4.5999999999999996"/>
    <s v="Severe"/>
    <x v="1"/>
  </r>
  <r>
    <x v="1277"/>
    <n v="19"/>
    <x v="3"/>
    <x v="0"/>
    <s v="In a Relationship"/>
    <x v="1"/>
    <n v="7"/>
    <n v="3"/>
    <n v="2"/>
    <s v="Yes"/>
    <s v="Within 5 min"/>
    <n v="120"/>
    <n v="4"/>
    <n v="5.6"/>
    <n v="3.2"/>
    <n v="5.7"/>
    <s v="No"/>
    <s v="No"/>
    <n v="5.4"/>
    <n v="2.7"/>
    <n v="7"/>
    <n v="3.1"/>
    <n v="4.2"/>
    <n v="4.5999999999999996"/>
    <n v="7.4"/>
    <n v="10"/>
    <n v="3.7"/>
    <n v="6.7"/>
    <n v="6"/>
    <s v="High"/>
    <x v="1"/>
  </r>
  <r>
    <x v="1278"/>
    <n v="40"/>
    <x v="0"/>
    <x v="3"/>
    <s v="In a Relationship"/>
    <x v="2"/>
    <n v="2.2999999999999998"/>
    <n v="1"/>
    <n v="4"/>
    <s v="Yes"/>
    <s v="After 30 min"/>
    <n v="47"/>
    <n v="5.0999999999999996"/>
    <n v="8.8000000000000007"/>
    <n v="4.0999999999999996"/>
    <n v="6.3"/>
    <s v="Yes"/>
    <s v="No"/>
    <n v="4.4000000000000004"/>
    <n v="3"/>
    <n v="2.2000000000000002"/>
    <n v="6.7"/>
    <n v="5.6"/>
    <n v="7.6"/>
    <n v="7.9"/>
    <n v="4.2"/>
    <m/>
    <n v="4.5"/>
    <n v="7.7"/>
    <s v="Low"/>
    <x v="2"/>
  </r>
  <r>
    <x v="1279"/>
    <n v="31"/>
    <x v="2"/>
    <x v="0"/>
    <s v="In a Relationship"/>
    <x v="1"/>
    <n v="8.1"/>
    <n v="2"/>
    <n v="3"/>
    <s v="Yes"/>
    <s v="Within 5 min"/>
    <n v="100"/>
    <n v="2.7"/>
    <n v="2"/>
    <n v="4.7"/>
    <n v="7.9"/>
    <s v="Yes"/>
    <s v="Yes"/>
    <n v="2.2999999999999998"/>
    <n v="3.2"/>
    <n v="2.1"/>
    <n v="7.7"/>
    <n v="4.0999999999999996"/>
    <n v="10"/>
    <n v="5.2"/>
    <n v="5.5"/>
    <n v="2.5"/>
    <m/>
    <n v="6.6"/>
    <s v="Moderate"/>
    <x v="0"/>
  </r>
  <r>
    <x v="1280"/>
    <n v="19"/>
    <x v="1"/>
    <x v="0"/>
    <s v="Single"/>
    <x v="0"/>
    <n v="4.2"/>
    <n v="1"/>
    <n v="3"/>
    <s v="Yes"/>
    <s v="5-30 min"/>
    <n v="56"/>
    <n v="6.5"/>
    <n v="6.7"/>
    <n v="5.9"/>
    <n v="3.4"/>
    <s v="No"/>
    <s v="Yes"/>
    <n v="1.6"/>
    <n v="4.8"/>
    <n v="6.6"/>
    <n v="4.8"/>
    <n v="4.9000000000000004"/>
    <n v="7.2"/>
    <n v="6.9"/>
    <m/>
    <n v="2.4"/>
    <n v="1.9"/>
    <n v="5.8"/>
    <s v="High"/>
    <x v="1"/>
  </r>
  <r>
    <x v="1281"/>
    <n v="26"/>
    <x v="2"/>
    <x v="2"/>
    <s v="In a Relationship"/>
    <x v="5"/>
    <n v="4.5999999999999996"/>
    <n v="7"/>
    <n v="3"/>
    <s v="Yes"/>
    <s v="5-30 min"/>
    <n v="67"/>
    <n v="5.3"/>
    <n v="6"/>
    <n v="2.4"/>
    <n v="6.4"/>
    <s v="Yes"/>
    <s v="Yes"/>
    <n v="4.7"/>
    <n v="2.2999999999999998"/>
    <n v="5.3"/>
    <n v="3.9"/>
    <n v="3.8"/>
    <m/>
    <n v="7.6"/>
    <n v="3.2"/>
    <n v="3.6"/>
    <n v="0.5"/>
    <n v="5"/>
    <s v="Severe"/>
    <x v="0"/>
  </r>
  <r>
    <x v="1282"/>
    <n v="34"/>
    <x v="2"/>
    <x v="1"/>
    <s v="Single"/>
    <x v="0"/>
    <n v="4.9000000000000004"/>
    <n v="6"/>
    <n v="1"/>
    <s v="Yes"/>
    <s v="Within 5 min"/>
    <n v="18"/>
    <n v="7"/>
    <n v="5"/>
    <n v="2.5"/>
    <n v="5.6"/>
    <s v="Yes"/>
    <s v="No"/>
    <n v="6.1"/>
    <m/>
    <n v="5.9"/>
    <n v="6.9"/>
    <n v="2.8"/>
    <n v="7.2"/>
    <n v="7.4"/>
    <n v="3"/>
    <n v="1.4"/>
    <n v="0"/>
    <n v="5.7"/>
    <s v="High"/>
    <x v="0"/>
  </r>
  <r>
    <x v="1283"/>
    <n v="23"/>
    <x v="0"/>
    <x v="3"/>
    <s v="Single"/>
    <x v="3"/>
    <n v="3.9"/>
    <n v="2"/>
    <n v="3"/>
    <s v="No"/>
    <s v="Within 5 min"/>
    <n v="17"/>
    <n v="2.5"/>
    <n v="8.6999999999999993"/>
    <n v="0.5"/>
    <n v="6"/>
    <s v="Yes"/>
    <s v="Yes"/>
    <n v="5.6"/>
    <n v="4.4000000000000004"/>
    <n v="4"/>
    <n v="5.3"/>
    <n v="9.8000000000000007"/>
    <n v="8.3000000000000007"/>
    <n v="1.2"/>
    <m/>
    <n v="3.5"/>
    <n v="4"/>
    <n v="8.1"/>
    <s v="Low"/>
    <x v="1"/>
  </r>
  <r>
    <x v="1284"/>
    <n v="17"/>
    <x v="0"/>
    <x v="0"/>
    <s v="Single"/>
    <x v="3"/>
    <n v="3.5"/>
    <n v="4"/>
    <n v="4"/>
    <s v="Yes"/>
    <s v="Within 5 min"/>
    <n v="121"/>
    <n v="6"/>
    <n v="4.7"/>
    <n v="3.2"/>
    <n v="9.1999999999999993"/>
    <s v="No"/>
    <s v="Yes"/>
    <n v="5.4"/>
    <n v="3.1"/>
    <n v="3.7"/>
    <n v="5.8"/>
    <n v="5.3"/>
    <n v="10"/>
    <n v="5.2"/>
    <n v="8.6999999999999993"/>
    <n v="4.3"/>
    <n v="1.6"/>
    <n v="3.7"/>
    <s v="Severe"/>
    <x v="3"/>
  </r>
  <r>
    <x v="1285"/>
    <n v="43"/>
    <x v="2"/>
    <x v="1"/>
    <s v="In a Relationship"/>
    <x v="2"/>
    <n v="5.7"/>
    <n v="2"/>
    <n v="2"/>
    <s v="No"/>
    <s v="Within 5 min"/>
    <n v="94"/>
    <n v="5.7"/>
    <n v="1.1000000000000001"/>
    <n v="1.5"/>
    <n v="3.1"/>
    <s v="Yes"/>
    <s v="No"/>
    <n v="7.9"/>
    <n v="5.9"/>
    <n v="2.7"/>
    <n v="9.1999999999999993"/>
    <n v="3"/>
    <n v="5.5"/>
    <n v="6"/>
    <n v="7.6"/>
    <n v="4.0999999999999996"/>
    <n v="2.1"/>
    <n v="8.9"/>
    <s v="Low"/>
    <x v="2"/>
  </r>
  <r>
    <x v="1286"/>
    <n v="30"/>
    <x v="1"/>
    <x v="0"/>
    <s v="Single"/>
    <x v="1"/>
    <n v="3.1"/>
    <n v="4"/>
    <n v="5"/>
    <s v="No"/>
    <s v="5-30 min"/>
    <n v="81"/>
    <n v="5.0999999999999996"/>
    <n v="8.8000000000000007"/>
    <n v="9.1999999999999993"/>
    <n v="3.9"/>
    <s v="Yes"/>
    <s v="No"/>
    <n v="5.7"/>
    <n v="4.8"/>
    <n v="5.6"/>
    <n v="2.7"/>
    <n v="5.3"/>
    <n v="5.7"/>
    <n v="6.9"/>
    <n v="5.2"/>
    <n v="3.3"/>
    <n v="4"/>
    <n v="5.7"/>
    <s v="High"/>
    <x v="0"/>
  </r>
  <r>
    <x v="1287"/>
    <n v="43"/>
    <x v="1"/>
    <x v="1"/>
    <s v="Single"/>
    <x v="5"/>
    <n v="5.5"/>
    <n v="2"/>
    <n v="3"/>
    <s v="Yes"/>
    <s v="After 30 min"/>
    <n v="41"/>
    <n v="6.8"/>
    <n v="6.3"/>
    <n v="4.5999999999999996"/>
    <n v="7.1"/>
    <s v="Yes"/>
    <s v="Yes"/>
    <n v="7"/>
    <n v="4.5999999999999996"/>
    <n v="1.2"/>
    <n v="4.8"/>
    <n v="6.9"/>
    <n v="5.0999999999999996"/>
    <n v="4.5"/>
    <n v="8.6"/>
    <n v="0.8"/>
    <m/>
    <n v="6"/>
    <s v="High"/>
    <x v="2"/>
  </r>
  <r>
    <x v="1288"/>
    <n v="23"/>
    <x v="1"/>
    <x v="1"/>
    <s v="Married"/>
    <x v="0"/>
    <n v="6.1"/>
    <n v="1"/>
    <n v="6"/>
    <s v="Yes"/>
    <s v="5-30 min"/>
    <n v="11"/>
    <n v="8.1"/>
    <n v="5.0999999999999996"/>
    <n v="5.5"/>
    <n v="4.7"/>
    <s v="No"/>
    <s v="Yes"/>
    <n v="5.7"/>
    <n v="1.6"/>
    <n v="6.4"/>
    <n v="7"/>
    <n v="5.6"/>
    <n v="7.6"/>
    <n v="3.8"/>
    <n v="2"/>
    <n v="1.9"/>
    <n v="4.5999999999999996"/>
    <n v="5.5"/>
    <s v="High"/>
    <x v="1"/>
  </r>
  <r>
    <x v="1289"/>
    <n v="41"/>
    <x v="0"/>
    <x v="3"/>
    <s v="Single"/>
    <x v="2"/>
    <n v="3.2"/>
    <n v="2"/>
    <n v="1"/>
    <s v="No"/>
    <s v="5-30 min"/>
    <n v="52"/>
    <n v="5"/>
    <n v="4.5"/>
    <n v="6.2"/>
    <n v="4.5"/>
    <s v="Yes"/>
    <s v="Yes"/>
    <m/>
    <n v="9.6"/>
    <n v="2.9"/>
    <n v="7.2"/>
    <n v="5.0999999999999996"/>
    <n v="5.4"/>
    <n v="1.9"/>
    <n v="7.5"/>
    <n v="1.5"/>
    <n v="0.2"/>
    <n v="7.7"/>
    <s v="Low"/>
    <x v="2"/>
  </r>
  <r>
    <x v="1290"/>
    <n v="18"/>
    <x v="1"/>
    <x v="2"/>
    <s v="Single"/>
    <x v="4"/>
    <n v="3.8"/>
    <n v="4"/>
    <n v="7"/>
    <s v="Yes"/>
    <s v="5-30 min"/>
    <n v="33"/>
    <n v="10"/>
    <n v="8.3000000000000007"/>
    <n v="8.9"/>
    <n v="9.3000000000000007"/>
    <s v="No"/>
    <s v="No"/>
    <n v="3.1"/>
    <n v="1.1000000000000001"/>
    <n v="4.8"/>
    <n v="5.5"/>
    <n v="3.3"/>
    <n v="8.6"/>
    <n v="2.6"/>
    <n v="6.7"/>
    <n v="5.5"/>
    <n v="1.9"/>
    <n v="5.4"/>
    <s v="Severe"/>
    <x v="1"/>
  </r>
  <r>
    <x v="1291"/>
    <n v="44"/>
    <x v="0"/>
    <x v="0"/>
    <s v="In a Relationship"/>
    <x v="3"/>
    <n v="5.6"/>
    <n v="4"/>
    <n v="3"/>
    <s v="Yes"/>
    <s v="5-30 min"/>
    <n v="62"/>
    <n v="4.5"/>
    <n v="7.5"/>
    <n v="6.1"/>
    <n v="4.5"/>
    <s v="No"/>
    <s v="No"/>
    <n v="4.7"/>
    <n v="2.4"/>
    <m/>
    <n v="0.4"/>
    <n v="7.5"/>
    <n v="5.5"/>
    <n v="5.8"/>
    <n v="5.4"/>
    <n v="1.1000000000000001"/>
    <n v="5"/>
    <n v="5.7"/>
    <s v="Severe"/>
    <x v="2"/>
  </r>
  <r>
    <x v="1292"/>
    <n v="40"/>
    <x v="3"/>
    <x v="1"/>
    <s v="Single"/>
    <x v="4"/>
    <n v="4.4000000000000004"/>
    <n v="1"/>
    <n v="2"/>
    <s v="Yes"/>
    <s v="5-30 min"/>
    <n v="44"/>
    <n v="6.7"/>
    <n v="9.6"/>
    <n v="4.2"/>
    <n v="8.6999999999999993"/>
    <s v="Yes"/>
    <s v="Yes"/>
    <n v="9.1999999999999993"/>
    <n v="6.6"/>
    <n v="4.5"/>
    <n v="7.6"/>
    <n v="0.9"/>
    <n v="7.2"/>
    <n v="4.7"/>
    <n v="4.2"/>
    <m/>
    <n v="1.6"/>
    <n v="4.2"/>
    <s v="Severe"/>
    <x v="2"/>
  </r>
  <r>
    <x v="1293"/>
    <n v="43"/>
    <x v="0"/>
    <x v="1"/>
    <s v="In a Relationship"/>
    <x v="4"/>
    <n v="5.9"/>
    <n v="3"/>
    <n v="7"/>
    <s v="No"/>
    <s v="5-30 min"/>
    <n v="23"/>
    <n v="4.8"/>
    <n v="5.5"/>
    <n v="5.3"/>
    <n v="5.5"/>
    <s v="Yes"/>
    <s v="No"/>
    <n v="8.8000000000000007"/>
    <n v="7.5"/>
    <n v="6.6"/>
    <n v="3.3"/>
    <n v="9.9"/>
    <n v="10"/>
    <n v="2.7"/>
    <n v="5.6"/>
    <n v="2.2000000000000002"/>
    <n v="3"/>
    <n v="8.3000000000000007"/>
    <s v="Low"/>
    <x v="2"/>
  </r>
  <r>
    <x v="1294"/>
    <n v="17"/>
    <x v="0"/>
    <x v="2"/>
    <s v="In a Relationship"/>
    <x v="1"/>
    <n v="4.3"/>
    <n v="3"/>
    <n v="7"/>
    <s v="No"/>
    <s v="After 30 min"/>
    <n v="77"/>
    <n v="4.2"/>
    <n v="7.4"/>
    <n v="6.1"/>
    <n v="4.3"/>
    <s v="Yes"/>
    <s v="Yes"/>
    <n v="8.1"/>
    <n v="8.4"/>
    <n v="4.3"/>
    <n v="4.8"/>
    <n v="7.7"/>
    <n v="5.7"/>
    <n v="3"/>
    <n v="10"/>
    <n v="0.8"/>
    <n v="3.4"/>
    <n v="7.9"/>
    <s v="Low"/>
    <x v="3"/>
  </r>
  <r>
    <x v="1295"/>
    <n v="16"/>
    <x v="0"/>
    <x v="1"/>
    <s v="In a Relationship"/>
    <x v="3"/>
    <n v="3.7"/>
    <n v="1"/>
    <n v="6"/>
    <s v="No"/>
    <s v="After 30 min"/>
    <n v="109"/>
    <n v="4.7"/>
    <n v="2.1"/>
    <n v="3.7"/>
    <n v="7"/>
    <s v="Yes"/>
    <s v="No"/>
    <n v="2.1"/>
    <n v="3.6"/>
    <n v="4"/>
    <n v="6.3"/>
    <n v="4.0999999999999996"/>
    <n v="8.6"/>
    <n v="5.0999999999999996"/>
    <n v="2"/>
    <n v="3"/>
    <n v="4.2"/>
    <n v="8.4"/>
    <s v="Low"/>
    <x v="3"/>
  </r>
  <r>
    <x v="1296"/>
    <n v="24"/>
    <x v="1"/>
    <x v="0"/>
    <s v="In a Relationship"/>
    <x v="2"/>
    <n v="4"/>
    <n v="6"/>
    <n v="7"/>
    <s v="Yes"/>
    <s v="Within 5 min"/>
    <n v="55"/>
    <n v="8.3000000000000007"/>
    <n v="3.7"/>
    <n v="1.5"/>
    <n v="6"/>
    <s v="No"/>
    <s v="No"/>
    <n v="3.3"/>
    <n v="2.1"/>
    <m/>
    <m/>
    <n v="5.6"/>
    <n v="5.2"/>
    <n v="4.5999999999999996"/>
    <n v="5.0999999999999996"/>
    <n v="3.8"/>
    <n v="3"/>
    <n v="6.7"/>
    <s v="Moderate"/>
    <x v="1"/>
  </r>
  <r>
    <x v="1297"/>
    <n v="26"/>
    <x v="1"/>
    <x v="3"/>
    <s v="Single"/>
    <x v="4"/>
    <n v="5.2"/>
    <n v="2"/>
    <n v="5"/>
    <s v="Yes"/>
    <s v="Within 5 min"/>
    <n v="75"/>
    <n v="1"/>
    <n v="4.8"/>
    <n v="8.8000000000000007"/>
    <n v="2.4"/>
    <s v="Yes"/>
    <s v="No"/>
    <n v="4.8"/>
    <n v="2.5"/>
    <n v="5.2"/>
    <n v="3.9"/>
    <n v="6.6"/>
    <n v="7.8"/>
    <n v="4.2"/>
    <n v="1.5"/>
    <n v="3"/>
    <n v="2.6"/>
    <n v="6.5"/>
    <s v="Moderate"/>
    <x v="0"/>
  </r>
  <r>
    <x v="1298"/>
    <n v="37"/>
    <x v="1"/>
    <x v="0"/>
    <s v="In a Relationship"/>
    <x v="0"/>
    <n v="7"/>
    <n v="4"/>
    <n v="1"/>
    <s v="No"/>
    <s v="Within 5 min"/>
    <n v="126"/>
    <m/>
    <n v="5.4"/>
    <n v="2.7"/>
    <n v="5.9"/>
    <s v="No"/>
    <s v="Yes"/>
    <n v="4.9000000000000004"/>
    <n v="0"/>
    <n v="7.1"/>
    <n v="4.8"/>
    <n v="3"/>
    <n v="7.2"/>
    <n v="5.8"/>
    <n v="3"/>
    <n v="4.2"/>
    <n v="5.6"/>
    <n v="4.8"/>
    <s v="Severe"/>
    <x v="2"/>
  </r>
  <r>
    <x v="1299"/>
    <n v="40"/>
    <x v="0"/>
    <x v="2"/>
    <s v="Single"/>
    <x v="1"/>
    <n v="0.8"/>
    <n v="2"/>
    <n v="7"/>
    <s v="Yes"/>
    <s v="5-30 min"/>
    <n v="65"/>
    <n v="4.3"/>
    <n v="4.2"/>
    <n v="1.6"/>
    <n v="5"/>
    <s v="Yes"/>
    <s v="Yes"/>
    <n v="4.5"/>
    <n v="0"/>
    <n v="5"/>
    <n v="8.5"/>
    <n v="8.6"/>
    <n v="5.3"/>
    <n v="5.8"/>
    <n v="2.8"/>
    <n v="1.3"/>
    <n v="4.4000000000000004"/>
    <n v="7.9"/>
    <s v="Low"/>
    <x v="2"/>
  </r>
  <r>
    <x v="1300"/>
    <n v="35"/>
    <x v="0"/>
    <x v="1"/>
    <s v="In a Relationship"/>
    <x v="1"/>
    <n v="3.4"/>
    <n v="2"/>
    <n v="7"/>
    <s v="Yes"/>
    <s v="Within 5 min"/>
    <n v="77"/>
    <n v="7.2"/>
    <n v="5.7"/>
    <n v="6.8"/>
    <n v="9.3000000000000007"/>
    <s v="No"/>
    <s v="No"/>
    <n v="1.5"/>
    <n v="4.0999999999999996"/>
    <n v="7.4"/>
    <n v="6.7"/>
    <n v="5.5"/>
    <n v="4.5"/>
    <n v="6.4"/>
    <n v="5"/>
    <n v="0.7"/>
    <n v="1.4"/>
    <n v="4.0999999999999996"/>
    <s v="Severe"/>
    <x v="4"/>
  </r>
  <r>
    <x v="1301"/>
    <n v="24"/>
    <x v="1"/>
    <x v="0"/>
    <s v="In a Relationship"/>
    <x v="5"/>
    <n v="3.6"/>
    <n v="3"/>
    <n v="2"/>
    <s v="No"/>
    <s v="5-30 min"/>
    <n v="58"/>
    <n v="5.3"/>
    <n v="5"/>
    <n v="4.9000000000000004"/>
    <n v="5.8"/>
    <s v="No"/>
    <s v="Yes"/>
    <n v="4.3"/>
    <n v="10"/>
    <m/>
    <n v="5.8"/>
    <n v="6"/>
    <n v="7.8"/>
    <n v="7.5"/>
    <n v="3.6"/>
    <n v="3"/>
    <n v="2.2000000000000002"/>
    <n v="6.3"/>
    <s v="Moderate"/>
    <x v="1"/>
  </r>
  <r>
    <x v="1302"/>
    <n v="37"/>
    <x v="0"/>
    <x v="1"/>
    <s v="Single"/>
    <x v="4"/>
    <n v="2.7"/>
    <n v="3"/>
    <n v="5"/>
    <s v="No"/>
    <s v="5-30 min"/>
    <n v="40"/>
    <n v="2.7"/>
    <n v="3.6"/>
    <n v="7.1"/>
    <n v="3.5"/>
    <s v="No"/>
    <s v="No"/>
    <n v="6.5"/>
    <n v="3.7"/>
    <n v="1.9"/>
    <n v="5.9"/>
    <n v="2.9"/>
    <n v="5"/>
    <n v="4"/>
    <n v="6.9"/>
    <n v="0"/>
    <n v="5.6"/>
    <n v="9.5"/>
    <s v="Low"/>
    <x v="2"/>
  </r>
  <r>
    <x v="1303"/>
    <n v="26"/>
    <x v="1"/>
    <x v="4"/>
    <s v="Single"/>
    <x v="2"/>
    <n v="3.4"/>
    <n v="2"/>
    <n v="2"/>
    <s v="No"/>
    <s v="5-30 min"/>
    <n v="91"/>
    <n v="3.4"/>
    <n v="5.6"/>
    <n v="3"/>
    <n v="5.6"/>
    <s v="Yes"/>
    <s v="Yes"/>
    <n v="2.9"/>
    <n v="2.5"/>
    <n v="2.8"/>
    <n v="6.1"/>
    <n v="6.8"/>
    <n v="6.4"/>
    <n v="3.9"/>
    <n v="5.7"/>
    <n v="3.4"/>
    <n v="4.2"/>
    <n v="7.2"/>
    <s v="Low"/>
    <x v="0"/>
  </r>
  <r>
    <x v="1304"/>
    <n v="22"/>
    <x v="0"/>
    <x v="0"/>
    <s v="Single"/>
    <x v="5"/>
    <n v="7"/>
    <n v="2"/>
    <n v="5"/>
    <s v="No"/>
    <s v="Within 5 min"/>
    <n v="82"/>
    <n v="5.9"/>
    <n v="5.6"/>
    <n v="3.4"/>
    <n v="4.8"/>
    <s v="Yes"/>
    <s v="Yes"/>
    <n v="8.6"/>
    <n v="6.9"/>
    <n v="4.2"/>
    <n v="4.2"/>
    <n v="9"/>
    <n v="7.3"/>
    <n v="2.4"/>
    <n v="2.1"/>
    <n v="2.9"/>
    <n v="2.1"/>
    <n v="6.2"/>
    <s v="High"/>
    <x v="1"/>
  </r>
  <r>
    <x v="1305"/>
    <n v="39"/>
    <x v="0"/>
    <x v="1"/>
    <s v="Single"/>
    <x v="1"/>
    <m/>
    <n v="4"/>
    <n v="5"/>
    <s v="No"/>
    <s v="Within 5 min"/>
    <n v="105"/>
    <n v="7.3"/>
    <n v="6.9"/>
    <n v="4.7"/>
    <n v="4.5999999999999996"/>
    <s v="Yes"/>
    <s v="No"/>
    <n v="3.8"/>
    <n v="7.3"/>
    <n v="5.6"/>
    <n v="7.1"/>
    <n v="6"/>
    <n v="3.8"/>
    <n v="4.0999999999999996"/>
    <n v="4.5999999999999996"/>
    <n v="2.2999999999999998"/>
    <n v="4.7"/>
    <n v="6.7"/>
    <s v="High"/>
    <x v="2"/>
  </r>
  <r>
    <x v="1306"/>
    <n v="44"/>
    <x v="1"/>
    <x v="3"/>
    <s v="In a Relationship"/>
    <x v="3"/>
    <n v="3.1"/>
    <n v="4"/>
    <n v="4"/>
    <s v="No"/>
    <s v="Within 5 min"/>
    <n v="40"/>
    <n v="5.2"/>
    <n v="6.9"/>
    <n v="4.7"/>
    <n v="6.9"/>
    <s v="No"/>
    <s v="No"/>
    <n v="5.0999999999999996"/>
    <n v="2.6"/>
    <n v="3.5"/>
    <n v="6.8"/>
    <n v="5"/>
    <n v="5.7"/>
    <n v="2.4"/>
    <n v="5.8"/>
    <n v="8.9"/>
    <n v="0.2"/>
    <n v="6.2"/>
    <s v="Moderate"/>
    <x v="2"/>
  </r>
  <r>
    <x v="1307"/>
    <n v="25"/>
    <x v="0"/>
    <x v="2"/>
    <s v="Single"/>
    <x v="1"/>
    <n v="1.3"/>
    <n v="5"/>
    <n v="4"/>
    <s v="Yes"/>
    <s v="Within 5 min"/>
    <n v="67"/>
    <n v="4.8"/>
    <n v="3.2"/>
    <n v="8.6999999999999993"/>
    <n v="5.9"/>
    <s v="Yes"/>
    <s v="No"/>
    <n v="6.9"/>
    <n v="4"/>
    <n v="0.7"/>
    <n v="2.9"/>
    <n v="9.1"/>
    <n v="6.2"/>
    <n v="8.4"/>
    <n v="5.7"/>
    <n v="3.3"/>
    <n v="5.0999999999999996"/>
    <n v="6.4"/>
    <s v="High"/>
    <x v="0"/>
  </r>
  <r>
    <x v="1308"/>
    <n v="30"/>
    <x v="1"/>
    <x v="1"/>
    <s v="In a Relationship"/>
    <x v="0"/>
    <n v="5.4"/>
    <n v="5"/>
    <n v="3"/>
    <s v="Yes"/>
    <s v="After 30 min"/>
    <n v="39"/>
    <n v="2.8"/>
    <n v="4.5999999999999996"/>
    <n v="4.8"/>
    <n v="8.1999999999999993"/>
    <s v="Yes"/>
    <s v="No"/>
    <n v="6.2"/>
    <n v="3.9"/>
    <n v="4.5999999999999996"/>
    <m/>
    <n v="4.4000000000000004"/>
    <n v="5.5"/>
    <n v="5.5"/>
    <n v="7.7"/>
    <n v="2.5"/>
    <n v="2.1"/>
    <n v="6.9"/>
    <s v="Low"/>
    <x v="0"/>
  </r>
  <r>
    <x v="1309"/>
    <n v="41"/>
    <x v="0"/>
    <x v="0"/>
    <s v="Married"/>
    <x v="0"/>
    <m/>
    <n v="3"/>
    <n v="7"/>
    <s v="Yes"/>
    <s v="Within 5 min"/>
    <n v="97"/>
    <n v="5.9"/>
    <n v="7.4"/>
    <n v="5.5"/>
    <n v="8"/>
    <s v="No"/>
    <s v="Yes"/>
    <n v="5"/>
    <n v="3.6"/>
    <n v="5.2"/>
    <n v="8.3000000000000007"/>
    <n v="4.0999999999999996"/>
    <n v="8.6"/>
    <n v="3.8"/>
    <n v="4.8"/>
    <n v="2.6"/>
    <n v="2.4"/>
    <n v="5"/>
    <s v="Severe"/>
    <x v="2"/>
  </r>
  <r>
    <x v="1310"/>
    <n v="30"/>
    <x v="0"/>
    <x v="1"/>
    <s v="Married"/>
    <x v="1"/>
    <n v="1.9"/>
    <n v="2"/>
    <n v="7"/>
    <s v="No"/>
    <s v="5-30 min"/>
    <n v="54"/>
    <n v="2.2000000000000002"/>
    <n v="5.4"/>
    <n v="1.8"/>
    <n v="5.9"/>
    <s v="Yes"/>
    <s v="Yes"/>
    <n v="3.7"/>
    <n v="5.6"/>
    <n v="6"/>
    <n v="5.7"/>
    <n v="5.0999999999999996"/>
    <n v="5.7"/>
    <n v="2.2999999999999998"/>
    <n v="6"/>
    <n v="3.9"/>
    <n v="4.7"/>
    <n v="8.5"/>
    <s v="Low"/>
    <x v="0"/>
  </r>
  <r>
    <x v="1311"/>
    <n v="40"/>
    <x v="1"/>
    <x v="0"/>
    <s v="In a Relationship"/>
    <x v="5"/>
    <n v="4.9000000000000004"/>
    <n v="3"/>
    <n v="6"/>
    <s v="Yes"/>
    <s v="After 30 min"/>
    <n v="72"/>
    <n v="5.5"/>
    <n v="8.5"/>
    <n v="7.3"/>
    <n v="4.9000000000000004"/>
    <s v="No"/>
    <s v="Yes"/>
    <n v="10"/>
    <n v="4.5999999999999996"/>
    <n v="7.4"/>
    <n v="5.8"/>
    <n v="4.9000000000000004"/>
    <n v="7.8"/>
    <n v="4.2"/>
    <n v="6.9"/>
    <n v="2.2000000000000002"/>
    <n v="1.1000000000000001"/>
    <n v="4.0999999999999996"/>
    <s v="Severe"/>
    <x v="2"/>
  </r>
  <r>
    <x v="1312"/>
    <n v="37"/>
    <x v="1"/>
    <x v="0"/>
    <s v="Single"/>
    <x v="1"/>
    <n v="5.4"/>
    <n v="2"/>
    <n v="3"/>
    <m/>
    <s v="Within 5 min"/>
    <n v="63"/>
    <n v="10"/>
    <n v="1.3"/>
    <n v="2.2999999999999998"/>
    <n v="5.4"/>
    <s v="No"/>
    <s v="Yes"/>
    <n v="5.4"/>
    <n v="2.2999999999999998"/>
    <n v="3.2"/>
    <m/>
    <n v="6.2"/>
    <n v="8.1999999999999993"/>
    <n v="6.1"/>
    <n v="3.6"/>
    <m/>
    <n v="2.2000000000000002"/>
    <n v="4.4000000000000004"/>
    <s v="Severe"/>
    <x v="2"/>
  </r>
  <r>
    <x v="1313"/>
    <n v="19"/>
    <x v="0"/>
    <x v="1"/>
    <s v="Single"/>
    <x v="0"/>
    <n v="5.9"/>
    <n v="4"/>
    <n v="3"/>
    <s v="No"/>
    <s v="Within 5 min"/>
    <n v="10"/>
    <n v="1.7"/>
    <n v="7.7"/>
    <n v="5.5"/>
    <n v="6"/>
    <s v="Yes"/>
    <s v="Yes"/>
    <n v="6"/>
    <n v="2.2999999999999998"/>
    <n v="8.1999999999999993"/>
    <n v="7.6"/>
    <n v="3.8"/>
    <n v="6.9"/>
    <m/>
    <n v="7"/>
    <n v="7.1"/>
    <n v="5"/>
    <n v="6.1"/>
    <s v="High"/>
    <x v="1"/>
  </r>
  <r>
    <x v="1314"/>
    <n v="37"/>
    <x v="1"/>
    <x v="2"/>
    <s v="Single"/>
    <x v="3"/>
    <n v="3.4"/>
    <n v="5"/>
    <n v="3"/>
    <s v="No"/>
    <s v="Within 5 min"/>
    <n v="41"/>
    <n v="5.4"/>
    <n v="3.5"/>
    <n v="8.8000000000000007"/>
    <n v="7.6"/>
    <s v="Yes"/>
    <s v="No"/>
    <n v="7"/>
    <n v="5.7"/>
    <n v="5.8"/>
    <n v="7"/>
    <n v="5.4"/>
    <n v="6.1"/>
    <n v="4.5"/>
    <n v="6.4"/>
    <n v="0"/>
    <n v="2.7"/>
    <n v="6"/>
    <s v="High"/>
    <x v="2"/>
  </r>
  <r>
    <x v="1315"/>
    <n v="19"/>
    <x v="1"/>
    <x v="1"/>
    <s v="Single"/>
    <x v="4"/>
    <n v="5.6"/>
    <n v="4"/>
    <n v="3"/>
    <s v="Yes"/>
    <s v="5-30 min"/>
    <n v="78"/>
    <n v="7.5"/>
    <n v="8.6"/>
    <n v="1.5"/>
    <n v="6.2"/>
    <s v="No"/>
    <s v="No"/>
    <n v="6.5"/>
    <n v="3.7"/>
    <n v="4.5999999999999996"/>
    <n v="2.2999999999999998"/>
    <n v="8.4"/>
    <n v="6.7"/>
    <n v="2.5"/>
    <n v="4.7"/>
    <n v="3.8"/>
    <n v="3.4"/>
    <n v="6.2"/>
    <s v="High"/>
    <x v="1"/>
  </r>
  <r>
    <x v="1316"/>
    <n v="20"/>
    <x v="1"/>
    <x v="0"/>
    <s v="Married"/>
    <x v="3"/>
    <m/>
    <n v="3"/>
    <n v="3"/>
    <s v="No"/>
    <s v="5-30 min"/>
    <n v="73"/>
    <n v="5.8"/>
    <n v="6.5"/>
    <n v="6.7"/>
    <n v="3.4"/>
    <s v="No"/>
    <s v="No"/>
    <n v="3.6"/>
    <n v="6.6"/>
    <n v="6.2"/>
    <n v="7.6"/>
    <n v="4.5999999999999996"/>
    <n v="5.0999999999999996"/>
    <n v="4.4000000000000004"/>
    <n v="5.7"/>
    <n v="2.5"/>
    <n v="1.8"/>
    <n v="7.1"/>
    <s v="Low"/>
    <x v="1"/>
  </r>
  <r>
    <x v="1317"/>
    <n v="38"/>
    <x v="0"/>
    <x v="1"/>
    <s v="Single"/>
    <x v="3"/>
    <n v="6.3"/>
    <n v="3"/>
    <n v="4"/>
    <m/>
    <s v="Within 5 min"/>
    <n v="110"/>
    <n v="8.4"/>
    <n v="5.4"/>
    <n v="6.4"/>
    <n v="3.8"/>
    <s v="No"/>
    <s v="No"/>
    <n v="7.2"/>
    <n v="2.7"/>
    <n v="2.9"/>
    <n v="3.5"/>
    <m/>
    <n v="6.7"/>
    <n v="7.6"/>
    <n v="5.8"/>
    <n v="3.5"/>
    <n v="1.9"/>
    <n v="4.5999999999999996"/>
    <s v="Severe"/>
    <x v="2"/>
  </r>
  <r>
    <x v="1318"/>
    <n v="43"/>
    <x v="1"/>
    <x v="1"/>
    <s v="Single"/>
    <x v="0"/>
    <n v="5"/>
    <n v="6"/>
    <n v="5"/>
    <s v="Yes"/>
    <s v="After 30 min"/>
    <n v="113"/>
    <n v="4.5"/>
    <n v="5.8"/>
    <n v="7.9"/>
    <n v="5.9"/>
    <s v="Yes"/>
    <s v="No"/>
    <n v="8"/>
    <n v="7"/>
    <n v="3.3"/>
    <n v="5.7"/>
    <n v="6.7"/>
    <n v="5.4"/>
    <n v="2.7"/>
    <n v="6.3"/>
    <n v="3"/>
    <n v="1.1000000000000001"/>
    <n v="6.2"/>
    <s v="Moderate"/>
    <x v="2"/>
  </r>
  <r>
    <x v="1319"/>
    <n v="19"/>
    <x v="2"/>
    <x v="3"/>
    <s v="In a Relationship"/>
    <x v="3"/>
    <n v="5.8"/>
    <n v="2"/>
    <n v="2"/>
    <s v="Yes"/>
    <s v="5-30 min"/>
    <n v="109"/>
    <n v="3.6"/>
    <n v="9.1999999999999993"/>
    <n v="3.8"/>
    <n v="2.2999999999999998"/>
    <s v="Yes"/>
    <s v="No"/>
    <n v="5.9"/>
    <n v="7.1"/>
    <n v="7.9"/>
    <n v="3.6"/>
    <n v="2"/>
    <n v="6.7"/>
    <n v="5.7"/>
    <n v="8.8000000000000007"/>
    <m/>
    <n v="1.8"/>
    <n v="5.2"/>
    <s v="Severe"/>
    <x v="1"/>
  </r>
  <r>
    <x v="1320"/>
    <n v="30"/>
    <x v="0"/>
    <x v="4"/>
    <s v="Single"/>
    <x v="3"/>
    <n v="4.5"/>
    <n v="6"/>
    <n v="1"/>
    <s v="Yes"/>
    <s v="5-30 min"/>
    <n v="5"/>
    <m/>
    <n v="10"/>
    <n v="2.6"/>
    <n v="5.3"/>
    <s v="Yes"/>
    <s v="No"/>
    <n v="7"/>
    <n v="4"/>
    <n v="2.1"/>
    <n v="4.7"/>
    <n v="8.6999999999999993"/>
    <n v="7.6"/>
    <n v="3.4"/>
    <n v="6.2"/>
    <n v="6.5"/>
    <n v="4.3"/>
    <n v="6.4"/>
    <s v="Moderate"/>
    <x v="0"/>
  </r>
  <r>
    <x v="1321"/>
    <n v="31"/>
    <x v="1"/>
    <x v="3"/>
    <s v="In a Relationship"/>
    <x v="0"/>
    <n v="3.9"/>
    <n v="4"/>
    <n v="1"/>
    <s v="Yes"/>
    <s v="5-30 min"/>
    <n v="53"/>
    <n v="3.6"/>
    <n v="2.2000000000000002"/>
    <n v="1.4"/>
    <n v="6.6"/>
    <s v="No"/>
    <s v="Yes"/>
    <n v="4"/>
    <n v="5.2"/>
    <n v="7.2"/>
    <n v="4.0999999999999996"/>
    <n v="8.6"/>
    <n v="4.2"/>
    <n v="0"/>
    <n v="5.5"/>
    <n v="0"/>
    <n v="1.9"/>
    <n v="7.7"/>
    <s v="Low"/>
    <x v="0"/>
  </r>
  <r>
    <x v="1322"/>
    <n v="28"/>
    <x v="0"/>
    <x v="3"/>
    <s v="Single"/>
    <x v="1"/>
    <m/>
    <n v="3"/>
    <n v="11"/>
    <s v="No"/>
    <s v="Within 5 min"/>
    <n v="129"/>
    <n v="5.4"/>
    <n v="7.1"/>
    <n v="6.2"/>
    <n v="4.9000000000000004"/>
    <s v="No"/>
    <s v="Yes"/>
    <n v="5.3"/>
    <n v="4.3"/>
    <n v="6.3"/>
    <n v="4.4000000000000004"/>
    <m/>
    <n v="8.6"/>
    <n v="2.2999999999999998"/>
    <n v="8.5"/>
    <n v="1.4"/>
    <n v="0.4"/>
    <n v="5.0999999999999996"/>
    <s v="High"/>
    <x v="0"/>
  </r>
  <r>
    <x v="1323"/>
    <n v="36"/>
    <x v="1"/>
    <x v="0"/>
    <s v="In a Relationship"/>
    <x v="5"/>
    <n v="6.4"/>
    <n v="1"/>
    <n v="4"/>
    <s v="Yes"/>
    <s v="5-30 min"/>
    <n v="10"/>
    <n v="9.6999999999999993"/>
    <n v="7.7"/>
    <n v="6"/>
    <n v="4.8"/>
    <s v="Yes"/>
    <s v="No"/>
    <n v="4.9000000000000004"/>
    <n v="8.6999999999999993"/>
    <n v="4.8"/>
    <n v="5.8"/>
    <n v="1.2"/>
    <n v="6.1"/>
    <n v="1.3"/>
    <n v="6.3"/>
    <n v="4.2"/>
    <n v="1.6"/>
    <n v="5.7"/>
    <s v="High"/>
    <x v="2"/>
  </r>
  <r>
    <x v="1324"/>
    <n v="17"/>
    <x v="0"/>
    <x v="1"/>
    <s v="Single"/>
    <x v="3"/>
    <n v="3.7"/>
    <n v="7"/>
    <n v="5"/>
    <m/>
    <s v="5-30 min"/>
    <n v="55"/>
    <n v="6.8"/>
    <n v="7.3"/>
    <n v="8.1"/>
    <n v="1.9"/>
    <s v="Yes"/>
    <s v="No"/>
    <n v="3.5"/>
    <n v="0"/>
    <n v="5.9"/>
    <n v="7.9"/>
    <n v="7.9"/>
    <n v="5.8"/>
    <n v="4.0999999999999996"/>
    <n v="3.5"/>
    <n v="0.8"/>
    <n v="3.6"/>
    <n v="6.4"/>
    <s v="High"/>
    <x v="3"/>
  </r>
  <r>
    <x v="1325"/>
    <n v="36"/>
    <x v="1"/>
    <x v="4"/>
    <s v="Married"/>
    <x v="3"/>
    <n v="5.3"/>
    <n v="3"/>
    <n v="4"/>
    <s v="No"/>
    <s v="After 30 min"/>
    <n v="63"/>
    <n v="2"/>
    <n v="5.4"/>
    <n v="6.1"/>
    <n v="7.8"/>
    <s v="No"/>
    <s v="No"/>
    <n v="6.2"/>
    <n v="6.7"/>
    <n v="10"/>
    <n v="4.2"/>
    <n v="2.5"/>
    <n v="8.4"/>
    <m/>
    <n v="7.1"/>
    <m/>
    <n v="5.3"/>
    <n v="6.2"/>
    <s v="Moderate"/>
    <x v="2"/>
  </r>
  <r>
    <x v="1326"/>
    <n v="44"/>
    <x v="1"/>
    <x v="2"/>
    <s v="Single"/>
    <x v="1"/>
    <n v="9.8000000000000007"/>
    <n v="1"/>
    <n v="4"/>
    <s v="Yes"/>
    <s v="5-30 min"/>
    <n v="29"/>
    <n v="3.4"/>
    <n v="6.3"/>
    <n v="4.9000000000000004"/>
    <n v="4.9000000000000004"/>
    <s v="Yes"/>
    <s v="No"/>
    <n v="5"/>
    <n v="0.7"/>
    <n v="6.2"/>
    <n v="5.4"/>
    <n v="5.7"/>
    <n v="7.1"/>
    <n v="2.8"/>
    <n v="5.2"/>
    <n v="4.5"/>
    <n v="3.6"/>
    <n v="6.5"/>
    <s v="Moderate"/>
    <x v="2"/>
  </r>
  <r>
    <x v="1327"/>
    <n v="19"/>
    <x v="2"/>
    <x v="1"/>
    <s v="Married"/>
    <x v="4"/>
    <n v="3.1"/>
    <n v="3"/>
    <n v="4"/>
    <s v="Yes"/>
    <s v="Within 5 min"/>
    <n v="65"/>
    <n v="5.2"/>
    <n v="5.4"/>
    <n v="4.7"/>
    <n v="5.8"/>
    <s v="Yes"/>
    <s v="No"/>
    <n v="6.8"/>
    <n v="7.5"/>
    <n v="2.1"/>
    <m/>
    <n v="2.6"/>
    <n v="6.2"/>
    <n v="4.3"/>
    <n v="4.0999999999999996"/>
    <n v="4.9000000000000004"/>
    <n v="1.8"/>
    <n v="7.6"/>
    <s v="Moderate"/>
    <x v="1"/>
  </r>
  <r>
    <x v="1328"/>
    <n v="29"/>
    <x v="1"/>
    <x v="1"/>
    <s v="Single"/>
    <x v="4"/>
    <n v="1.6"/>
    <n v="2"/>
    <n v="2"/>
    <s v="No"/>
    <s v="Within 5 min"/>
    <n v="44"/>
    <n v="5.7"/>
    <n v="5.4"/>
    <n v="4.0999999999999996"/>
    <n v="6.8"/>
    <s v="No"/>
    <s v="Yes"/>
    <n v="6.4"/>
    <n v="5"/>
    <n v="2.6"/>
    <n v="9.1999999999999993"/>
    <n v="7.8"/>
    <n v="5.5"/>
    <n v="7.3"/>
    <n v="6.6"/>
    <n v="4.7"/>
    <n v="1.2"/>
    <n v="6.9"/>
    <s v="Moderate"/>
    <x v="0"/>
  </r>
  <r>
    <x v="1329"/>
    <n v="36"/>
    <x v="2"/>
    <x v="3"/>
    <s v="Single"/>
    <x v="1"/>
    <n v="2.4"/>
    <n v="4"/>
    <n v="3"/>
    <s v="Yes"/>
    <s v="5-30 min"/>
    <n v="47"/>
    <n v="10"/>
    <n v="7.9"/>
    <n v="4.5"/>
    <n v="7.1"/>
    <s v="Yes"/>
    <s v="No"/>
    <n v="7"/>
    <n v="5.7"/>
    <n v="6.4"/>
    <n v="6.8"/>
    <m/>
    <n v="6.1"/>
    <n v="5.3"/>
    <n v="2.4"/>
    <n v="0.9"/>
    <n v="0"/>
    <n v="4"/>
    <s v="Severe"/>
    <x v="2"/>
  </r>
  <r>
    <x v="1330"/>
    <n v="43"/>
    <x v="2"/>
    <x v="0"/>
    <s v="Married"/>
    <x v="3"/>
    <n v="3.8"/>
    <n v="1"/>
    <n v="8"/>
    <s v="Yes"/>
    <s v="Within 5 min"/>
    <n v="5"/>
    <n v="10"/>
    <n v="4.7"/>
    <n v="4.2"/>
    <n v="3.2"/>
    <s v="No"/>
    <s v="Yes"/>
    <n v="3.1"/>
    <n v="7.9"/>
    <n v="7.2"/>
    <n v="5.4"/>
    <n v="6.1"/>
    <n v="7.7"/>
    <n v="2.5"/>
    <n v="2.5"/>
    <n v="4.0999999999999996"/>
    <n v="4.5999999999999996"/>
    <n v="5"/>
    <s v="High"/>
    <x v="2"/>
  </r>
  <r>
    <x v="1331"/>
    <n v="28"/>
    <x v="0"/>
    <x v="1"/>
    <s v="Single"/>
    <x v="4"/>
    <n v="4.5"/>
    <n v="5"/>
    <n v="3"/>
    <s v="Yes"/>
    <s v="5-30 min"/>
    <n v="41"/>
    <n v="6.2"/>
    <n v="6.4"/>
    <n v="6.2"/>
    <n v="7.4"/>
    <s v="Yes"/>
    <s v="No"/>
    <n v="6.5"/>
    <n v="5.4"/>
    <m/>
    <n v="3.3"/>
    <n v="6.6"/>
    <n v="7.2"/>
    <n v="6.3"/>
    <n v="1.1000000000000001"/>
    <n v="4.5"/>
    <n v="2"/>
    <n v="5.7"/>
    <s v="Severe"/>
    <x v="0"/>
  </r>
  <r>
    <x v="1332"/>
    <n v="32"/>
    <x v="1"/>
    <x v="1"/>
    <s v="In a Relationship"/>
    <x v="1"/>
    <n v="0.5"/>
    <n v="1"/>
    <n v="0"/>
    <s v="No"/>
    <s v="5-30 min"/>
    <n v="50"/>
    <n v="4.8"/>
    <n v="1.6"/>
    <n v="8.4"/>
    <n v="5.7"/>
    <s v="Yes"/>
    <s v="No"/>
    <n v="7.7"/>
    <n v="4.8"/>
    <n v="2.7"/>
    <n v="6.4"/>
    <n v="4.2"/>
    <n v="7"/>
    <n v="4.4000000000000004"/>
    <n v="5.6"/>
    <n v="1.4"/>
    <n v="1.9"/>
    <n v="7.3"/>
    <s v="Low"/>
    <x v="0"/>
  </r>
  <r>
    <x v="1333"/>
    <n v="22"/>
    <x v="2"/>
    <x v="0"/>
    <s v="Single"/>
    <x v="1"/>
    <n v="0.5"/>
    <n v="4"/>
    <n v="4"/>
    <s v="No"/>
    <s v="Within 5 min"/>
    <n v="26"/>
    <n v="4.8"/>
    <n v="4.5999999999999996"/>
    <n v="6.7"/>
    <n v="5.2"/>
    <s v="No"/>
    <s v="No"/>
    <n v="4.3"/>
    <n v="5.2"/>
    <n v="4.8"/>
    <n v="2.8"/>
    <n v="8.3000000000000007"/>
    <n v="6.2"/>
    <n v="6.5"/>
    <n v="5.3"/>
    <n v="1.2"/>
    <n v="5.0999999999999996"/>
    <n v="7.3"/>
    <s v="Low"/>
    <x v="1"/>
  </r>
  <r>
    <x v="1334"/>
    <n v="35"/>
    <x v="0"/>
    <x v="2"/>
    <s v="Married"/>
    <x v="1"/>
    <m/>
    <n v="3"/>
    <n v="4"/>
    <s v="Yes"/>
    <s v="Within 5 min"/>
    <n v="36"/>
    <n v="6.7"/>
    <n v="3.3"/>
    <n v="2.2999999999999998"/>
    <n v="3.2"/>
    <s v="No"/>
    <s v="No"/>
    <n v="4.4000000000000004"/>
    <n v="1.8"/>
    <n v="3.5"/>
    <n v="4.9000000000000004"/>
    <n v="4.4000000000000004"/>
    <n v="6.5"/>
    <n v="5.8"/>
    <n v="8.3000000000000007"/>
    <n v="2.2000000000000002"/>
    <m/>
    <n v="6.5"/>
    <s v="Moderate"/>
    <x v="4"/>
  </r>
  <r>
    <x v="1335"/>
    <n v="35"/>
    <x v="1"/>
    <x v="1"/>
    <s v="In a Relationship"/>
    <x v="3"/>
    <n v="1.4"/>
    <n v="3"/>
    <n v="2"/>
    <s v="Yes"/>
    <s v="Within 5 min"/>
    <n v="34"/>
    <n v="2.6"/>
    <n v="5.4"/>
    <n v="6.5"/>
    <n v="7.4"/>
    <s v="Yes"/>
    <s v="No"/>
    <n v="6.6"/>
    <n v="9.3000000000000007"/>
    <n v="1.3"/>
    <n v="5.4"/>
    <m/>
    <n v="8.3000000000000007"/>
    <n v="2.2000000000000002"/>
    <n v="4.5999999999999996"/>
    <n v="6.3"/>
    <n v="6.2"/>
    <n v="6.5"/>
    <s v="Moderate"/>
    <x v="4"/>
  </r>
  <r>
    <x v="1336"/>
    <n v="35"/>
    <x v="1"/>
    <x v="0"/>
    <s v="Married"/>
    <x v="0"/>
    <n v="6"/>
    <n v="2"/>
    <n v="2"/>
    <s v="No"/>
    <s v="Within 5 min"/>
    <n v="103"/>
    <m/>
    <n v="6.1"/>
    <n v="0"/>
    <n v="8.3000000000000007"/>
    <s v="Yes"/>
    <s v="Yes"/>
    <n v="8.1"/>
    <n v="7"/>
    <n v="7.2"/>
    <n v="3.1"/>
    <n v="8.1"/>
    <n v="5.3"/>
    <n v="6.3"/>
    <n v="3.7"/>
    <n v="4.4000000000000004"/>
    <n v="3.3"/>
    <n v="5"/>
    <s v="Severe"/>
    <x v="4"/>
  </r>
  <r>
    <x v="1337"/>
    <n v="29"/>
    <x v="0"/>
    <x v="1"/>
    <s v="In a Relationship"/>
    <x v="2"/>
    <m/>
    <n v="2"/>
    <n v="8"/>
    <s v="Yes"/>
    <s v="5-30 min"/>
    <n v="113"/>
    <n v="4.7"/>
    <n v="5.9"/>
    <n v="2.4"/>
    <n v="5.9"/>
    <s v="No"/>
    <s v="No"/>
    <n v="4.7"/>
    <n v="4.5999999999999996"/>
    <n v="6.7"/>
    <n v="4.9000000000000004"/>
    <n v="5.2"/>
    <n v="7.5"/>
    <n v="3.2"/>
    <n v="2.2000000000000002"/>
    <n v="0"/>
    <n v="3.4"/>
    <n v="6.1"/>
    <s v="Moderate"/>
    <x v="0"/>
  </r>
  <r>
    <x v="1338"/>
    <n v="29"/>
    <x v="1"/>
    <x v="0"/>
    <s v="Single"/>
    <x v="5"/>
    <n v="0.5"/>
    <n v="6"/>
    <n v="4"/>
    <s v="No"/>
    <s v="After 30 min"/>
    <n v="63"/>
    <n v="3.1"/>
    <n v="10"/>
    <n v="10"/>
    <n v="2.9"/>
    <s v="Yes"/>
    <s v="No"/>
    <n v="5.3"/>
    <n v="4.5999999999999996"/>
    <n v="4.5999999999999996"/>
    <n v="5.0999999999999996"/>
    <n v="4.0999999999999996"/>
    <n v="7.3"/>
    <n v="2.2999999999999998"/>
    <n v="2"/>
    <n v="0"/>
    <n v="2.2000000000000002"/>
    <n v="7.3"/>
    <s v="Moderate"/>
    <x v="0"/>
  </r>
  <r>
    <x v="1339"/>
    <n v="17"/>
    <x v="1"/>
    <x v="0"/>
    <s v="In a Relationship"/>
    <x v="5"/>
    <n v="5.7"/>
    <n v="3"/>
    <n v="3"/>
    <s v="Yes"/>
    <s v="Within 5 min"/>
    <n v="49"/>
    <n v="5.6"/>
    <n v="10"/>
    <m/>
    <n v="2.2000000000000002"/>
    <s v="No"/>
    <s v="Yes"/>
    <n v="5.6"/>
    <n v="2.5"/>
    <n v="2.5"/>
    <n v="2.6"/>
    <n v="3.4"/>
    <n v="5.8"/>
    <n v="6.7"/>
    <n v="6.7"/>
    <n v="4"/>
    <n v="2.1"/>
    <n v="3.8"/>
    <s v="Severe"/>
    <x v="3"/>
  </r>
  <r>
    <x v="1340"/>
    <n v="30"/>
    <x v="1"/>
    <x v="0"/>
    <s v="Single"/>
    <x v="1"/>
    <n v="4.5999999999999996"/>
    <n v="3"/>
    <n v="6"/>
    <s v="Yes"/>
    <s v="Within 5 min"/>
    <n v="85"/>
    <n v="9"/>
    <n v="4.8"/>
    <n v="4.5999999999999996"/>
    <n v="3.3"/>
    <s v="No"/>
    <s v="Yes"/>
    <n v="5"/>
    <n v="5.6"/>
    <n v="3.8"/>
    <n v="9.1"/>
    <n v="6.9"/>
    <n v="4.3"/>
    <n v="3.7"/>
    <n v="6.3"/>
    <n v="1.9"/>
    <n v="1.9"/>
    <n v="5.8"/>
    <s v="Severe"/>
    <x v="0"/>
  </r>
  <r>
    <x v="1341"/>
    <n v="23"/>
    <x v="0"/>
    <x v="1"/>
    <s v="In a Relationship"/>
    <x v="1"/>
    <n v="3.7"/>
    <n v="4"/>
    <n v="3"/>
    <s v="No"/>
    <s v="After 30 min"/>
    <n v="139"/>
    <n v="6.1"/>
    <n v="8"/>
    <n v="5.9"/>
    <n v="4.5"/>
    <s v="No"/>
    <s v="Yes"/>
    <n v="9"/>
    <n v="6"/>
    <n v="4.2"/>
    <n v="2.5"/>
    <n v="7.3"/>
    <n v="7.4"/>
    <n v="8.1"/>
    <n v="5.5"/>
    <n v="4"/>
    <n v="1.4"/>
    <n v="5.9"/>
    <s v="High"/>
    <x v="1"/>
  </r>
  <r>
    <x v="1342"/>
    <n v="22"/>
    <x v="2"/>
    <x v="3"/>
    <s v="In a Relationship"/>
    <x v="3"/>
    <n v="5.3"/>
    <n v="2"/>
    <n v="1"/>
    <s v="Yes"/>
    <s v="5-30 min"/>
    <n v="43"/>
    <n v="4.5999999999999996"/>
    <n v="5.2"/>
    <n v="3.4"/>
    <n v="4"/>
    <s v="Yes"/>
    <s v="No"/>
    <n v="7.8"/>
    <n v="5.2"/>
    <n v="2.2999999999999998"/>
    <n v="6.2"/>
    <n v="7.3"/>
    <m/>
    <n v="4.8"/>
    <n v="9.5"/>
    <n v="3.7"/>
    <n v="3.8"/>
    <n v="7"/>
    <s v="Low"/>
    <x v="1"/>
  </r>
  <r>
    <x v="1343"/>
    <n v="37"/>
    <x v="0"/>
    <x v="2"/>
    <s v="Single"/>
    <x v="4"/>
    <n v="4.3"/>
    <n v="5"/>
    <n v="5"/>
    <s v="No"/>
    <s v="Within 5 min"/>
    <n v="64"/>
    <n v="4.4000000000000004"/>
    <n v="6.7"/>
    <n v="4.2"/>
    <n v="6.7"/>
    <s v="Yes"/>
    <s v="No"/>
    <n v="6.6"/>
    <n v="5.3"/>
    <n v="2.2000000000000002"/>
    <n v="5.6"/>
    <n v="6.2"/>
    <n v="8.5"/>
    <n v="7.3"/>
    <n v="7.8"/>
    <n v="2.2999999999999998"/>
    <n v="3.1"/>
    <n v="7.1"/>
    <s v="Moderate"/>
    <x v="2"/>
  </r>
  <r>
    <x v="1344"/>
    <n v="21"/>
    <x v="1"/>
    <x v="0"/>
    <s v="Single"/>
    <x v="5"/>
    <n v="5.7"/>
    <n v="5"/>
    <n v="2"/>
    <s v="Yes"/>
    <s v="5-30 min"/>
    <n v="41"/>
    <n v="4.5999999999999996"/>
    <n v="9.1"/>
    <n v="1.5"/>
    <n v="4.8"/>
    <s v="Yes"/>
    <s v="Yes"/>
    <n v="8.4"/>
    <n v="3.7"/>
    <n v="3.6"/>
    <n v="7"/>
    <n v="4"/>
    <n v="4.5999999999999996"/>
    <n v="6.2"/>
    <n v="5.8"/>
    <n v="2.8"/>
    <n v="3"/>
    <n v="5.4"/>
    <s v="High"/>
    <x v="1"/>
  </r>
  <r>
    <x v="1345"/>
    <n v="28"/>
    <x v="0"/>
    <x v="0"/>
    <s v="Single"/>
    <x v="2"/>
    <n v="8.5"/>
    <n v="4"/>
    <n v="4"/>
    <s v="Yes"/>
    <s v="Within 5 min"/>
    <n v="16"/>
    <n v="8.1"/>
    <n v="2.5"/>
    <n v="2.2999999999999998"/>
    <n v="3.5"/>
    <s v="Yes"/>
    <s v="Yes"/>
    <n v="3.5"/>
    <n v="4.3"/>
    <n v="6"/>
    <n v="3.5"/>
    <n v="3.4"/>
    <n v="6.4"/>
    <n v="3.5"/>
    <n v="5.4"/>
    <n v="4"/>
    <n v="3.9"/>
    <n v="6"/>
    <s v="High"/>
    <x v="0"/>
  </r>
  <r>
    <x v="1346"/>
    <n v="28"/>
    <x v="1"/>
    <x v="3"/>
    <s v="Single"/>
    <x v="0"/>
    <n v="5.0999999999999996"/>
    <n v="5"/>
    <n v="3"/>
    <s v="No"/>
    <s v="Within 5 min"/>
    <n v="42"/>
    <n v="10"/>
    <n v="5.4"/>
    <n v="2.8"/>
    <n v="4.8"/>
    <s v="No"/>
    <s v="No"/>
    <n v="5.0999999999999996"/>
    <n v="4.4000000000000004"/>
    <n v="2.1"/>
    <n v="4.7"/>
    <n v="4.4000000000000004"/>
    <n v="7.3"/>
    <n v="9"/>
    <n v="3.6"/>
    <n v="5.8"/>
    <n v="2.2000000000000002"/>
    <n v="6.5"/>
    <s v="High"/>
    <x v="0"/>
  </r>
  <r>
    <x v="1347"/>
    <n v="39"/>
    <x v="0"/>
    <x v="4"/>
    <s v="Married"/>
    <x v="0"/>
    <n v="1.8"/>
    <n v="1"/>
    <n v="5"/>
    <s v="Yes"/>
    <s v="Within 5 min"/>
    <n v="89"/>
    <n v="2.2999999999999998"/>
    <n v="2.1"/>
    <n v="2.9"/>
    <n v="5.8"/>
    <s v="No"/>
    <s v="Yes"/>
    <n v="5.2"/>
    <n v="2"/>
    <n v="3.1"/>
    <n v="6.9"/>
    <n v="8.1"/>
    <n v="5.7"/>
    <n v="6"/>
    <n v="4.5999999999999996"/>
    <n v="3.4"/>
    <n v="4.5"/>
    <n v="7.4"/>
    <s v="Moderate"/>
    <x v="2"/>
  </r>
  <r>
    <x v="1348"/>
    <n v="29"/>
    <x v="1"/>
    <x v="4"/>
    <s v="Single"/>
    <x v="3"/>
    <n v="7.5"/>
    <n v="3"/>
    <n v="3"/>
    <s v="No"/>
    <s v="Within 5 min"/>
    <n v="53"/>
    <n v="1.2"/>
    <n v="10"/>
    <n v="6.5"/>
    <n v="0.6"/>
    <s v="Yes"/>
    <s v="No"/>
    <n v="5.2"/>
    <n v="2.8"/>
    <n v="4.5"/>
    <n v="8"/>
    <n v="4.5999999999999996"/>
    <m/>
    <n v="4.9000000000000004"/>
    <n v="6.7"/>
    <n v="2.6"/>
    <n v="0.1"/>
    <n v="6.4"/>
    <s v="Moderate"/>
    <x v="0"/>
  </r>
  <r>
    <x v="1349"/>
    <n v="31"/>
    <x v="1"/>
    <x v="0"/>
    <s v="Single"/>
    <x v="1"/>
    <n v="6.9"/>
    <n v="1"/>
    <n v="3"/>
    <s v="Yes"/>
    <s v="After 30 min"/>
    <n v="36"/>
    <n v="6.7"/>
    <n v="5.5"/>
    <n v="3.9"/>
    <n v="7.2"/>
    <s v="No"/>
    <s v="No"/>
    <n v="4.9000000000000004"/>
    <n v="3.6"/>
    <n v="3.9"/>
    <n v="6.9"/>
    <n v="7.8"/>
    <n v="8.5"/>
    <n v="8.1"/>
    <n v="6.7"/>
    <n v="3.8"/>
    <n v="2.8"/>
    <n v="6.9"/>
    <s v="Moderate"/>
    <x v="0"/>
  </r>
  <r>
    <x v="1350"/>
    <n v="21"/>
    <x v="0"/>
    <x v="0"/>
    <s v="Married"/>
    <x v="5"/>
    <n v="7.6"/>
    <n v="1"/>
    <n v="5"/>
    <m/>
    <s v="Within 5 min"/>
    <n v="87"/>
    <m/>
    <n v="4.3"/>
    <n v="5.4"/>
    <n v="5.6"/>
    <s v="Yes"/>
    <s v="No"/>
    <n v="5.2"/>
    <n v="5.8"/>
    <n v="5.9"/>
    <n v="8.1"/>
    <n v="4.3"/>
    <n v="9.6"/>
    <n v="1.6"/>
    <n v="2.6"/>
    <n v="5.6"/>
    <n v="4"/>
    <n v="6"/>
    <s v="High"/>
    <x v="1"/>
  </r>
  <r>
    <x v="1351"/>
    <n v="43"/>
    <x v="1"/>
    <x v="0"/>
    <s v="Single"/>
    <x v="1"/>
    <n v="5.3"/>
    <n v="2"/>
    <n v="3"/>
    <s v="No"/>
    <s v="Within 5 min"/>
    <n v="143"/>
    <n v="6.7"/>
    <n v="8"/>
    <n v="8.1"/>
    <n v="7.4"/>
    <s v="Yes"/>
    <s v="No"/>
    <n v="6"/>
    <n v="10"/>
    <m/>
    <n v="6.8"/>
    <n v="6"/>
    <n v="6.3"/>
    <n v="4.9000000000000004"/>
    <n v="6.7"/>
    <n v="3.9"/>
    <n v="0.9"/>
    <n v="5.3"/>
    <s v="Severe"/>
    <x v="2"/>
  </r>
  <r>
    <x v="1352"/>
    <n v="33"/>
    <x v="1"/>
    <x v="1"/>
    <m/>
    <x v="3"/>
    <n v="6.4"/>
    <n v="1"/>
    <n v="3"/>
    <s v="Yes"/>
    <s v="After 30 min"/>
    <n v="102"/>
    <n v="1.6"/>
    <n v="2.8"/>
    <n v="7.7"/>
    <n v="8.4"/>
    <s v="Yes"/>
    <s v="No"/>
    <n v="5"/>
    <n v="5.8"/>
    <n v="0"/>
    <n v="7"/>
    <n v="4.5999999999999996"/>
    <n v="6.5"/>
    <n v="3.7"/>
    <n v="5.4"/>
    <n v="2.7"/>
    <n v="2.8"/>
    <n v="7.9"/>
    <s v="Low"/>
    <x v="0"/>
  </r>
  <r>
    <x v="1353"/>
    <n v="21"/>
    <x v="0"/>
    <x v="3"/>
    <m/>
    <x v="5"/>
    <n v="8.8000000000000007"/>
    <n v="2"/>
    <n v="1"/>
    <s v="Yes"/>
    <s v="Within 5 min"/>
    <n v="93"/>
    <n v="8.3000000000000007"/>
    <n v="3.9"/>
    <n v="2.8"/>
    <n v="6.4"/>
    <s v="Yes"/>
    <s v="No"/>
    <n v="4.4000000000000004"/>
    <n v="2.2000000000000002"/>
    <n v="4.3"/>
    <n v="4.0999999999999996"/>
    <n v="5.8"/>
    <n v="9.4"/>
    <n v="4.3"/>
    <n v="6.8"/>
    <n v="0"/>
    <n v="3"/>
    <n v="6.6"/>
    <s v="High"/>
    <x v="1"/>
  </r>
  <r>
    <x v="1354"/>
    <n v="39"/>
    <x v="0"/>
    <x v="0"/>
    <s v="In a Relationship"/>
    <x v="1"/>
    <n v="4.3"/>
    <n v="8"/>
    <n v="1"/>
    <s v="Yes"/>
    <s v="After 30 min"/>
    <n v="100"/>
    <n v="3.7"/>
    <n v="5.8"/>
    <n v="4.5999999999999996"/>
    <n v="3.9"/>
    <s v="No"/>
    <s v="Yes"/>
    <m/>
    <n v="2.4"/>
    <n v="3.5"/>
    <n v="0"/>
    <n v="3.5"/>
    <n v="7.5"/>
    <n v="1.2"/>
    <n v="7.3"/>
    <n v="3.6"/>
    <m/>
    <n v="6.2"/>
    <s v="Moderate"/>
    <x v="2"/>
  </r>
  <r>
    <x v="1355"/>
    <n v="19"/>
    <x v="0"/>
    <x v="1"/>
    <s v="Married"/>
    <x v="0"/>
    <n v="3.1"/>
    <n v="3"/>
    <n v="3"/>
    <s v="No"/>
    <s v="Within 5 min"/>
    <n v="34"/>
    <n v="2.9"/>
    <n v="6"/>
    <m/>
    <n v="5.7"/>
    <s v="No"/>
    <s v="No"/>
    <m/>
    <n v="6.7"/>
    <n v="5.0999999999999996"/>
    <m/>
    <n v="4.5"/>
    <n v="7.2"/>
    <n v="5.0999999999999996"/>
    <n v="2.8"/>
    <n v="3.3"/>
    <m/>
    <n v="6.7"/>
    <s v="Moderate"/>
    <x v="1"/>
  </r>
  <r>
    <x v="1356"/>
    <n v="30"/>
    <x v="0"/>
    <x v="0"/>
    <s v="In a Relationship"/>
    <x v="5"/>
    <n v="7.7"/>
    <n v="4"/>
    <n v="4"/>
    <s v="No"/>
    <s v="Within 5 min"/>
    <n v="46"/>
    <n v="7.1"/>
    <n v="5"/>
    <n v="6.1"/>
    <n v="4.4000000000000004"/>
    <s v="Yes"/>
    <s v="No"/>
    <n v="7.4"/>
    <n v="4.7"/>
    <n v="5.7"/>
    <m/>
    <n v="3.7"/>
    <n v="7.3"/>
    <n v="5.5"/>
    <n v="7.7"/>
    <n v="0.5"/>
    <n v="1.9"/>
    <n v="5.8"/>
    <s v="High"/>
    <x v="0"/>
  </r>
  <r>
    <x v="1357"/>
    <n v="29"/>
    <x v="2"/>
    <x v="2"/>
    <s v="In a Relationship"/>
    <x v="3"/>
    <n v="3.8"/>
    <n v="5"/>
    <n v="7"/>
    <s v="No"/>
    <s v="5-30 min"/>
    <n v="142"/>
    <n v="2.4"/>
    <n v="5.6"/>
    <n v="4.5"/>
    <n v="4.5999999999999996"/>
    <s v="No"/>
    <s v="Yes"/>
    <n v="8.1999999999999993"/>
    <n v="1.2"/>
    <n v="5.4"/>
    <n v="6"/>
    <n v="5.8"/>
    <n v="7"/>
    <n v="5.6"/>
    <n v="5"/>
    <n v="3.5"/>
    <n v="0"/>
    <n v="5.6"/>
    <s v="High"/>
    <x v="0"/>
  </r>
  <r>
    <x v="1358"/>
    <n v="22"/>
    <x v="0"/>
    <x v="1"/>
    <s v="Married"/>
    <x v="1"/>
    <m/>
    <n v="1"/>
    <n v="3"/>
    <s v="No"/>
    <s v="Within 5 min"/>
    <n v="5"/>
    <n v="10"/>
    <n v="1.9"/>
    <n v="4.0999999999999996"/>
    <n v="3.4"/>
    <s v="Yes"/>
    <s v="No"/>
    <n v="3"/>
    <n v="5.9"/>
    <n v="4.9000000000000004"/>
    <n v="4.3"/>
    <n v="8.8000000000000007"/>
    <n v="4.8"/>
    <n v="3.3"/>
    <n v="4.7"/>
    <n v="2.9"/>
    <n v="3.4"/>
    <n v="8.6"/>
    <s v="Low"/>
    <x v="1"/>
  </r>
  <r>
    <x v="1359"/>
    <n v="39"/>
    <x v="1"/>
    <x v="2"/>
    <s v="In a Relationship"/>
    <x v="1"/>
    <n v="3.4"/>
    <n v="3"/>
    <n v="8"/>
    <s v="Yes"/>
    <s v="Within 5 min"/>
    <n v="51"/>
    <n v="8"/>
    <n v="4.2"/>
    <n v="6.9"/>
    <n v="9.6999999999999993"/>
    <s v="No"/>
    <s v="Yes"/>
    <n v="5"/>
    <n v="7.2"/>
    <n v="7.2"/>
    <n v="4.0999999999999996"/>
    <n v="2.1"/>
    <n v="5.3"/>
    <n v="4.0999999999999996"/>
    <m/>
    <n v="5.5"/>
    <n v="0"/>
    <n v="4.0999999999999996"/>
    <s v="Severe"/>
    <x v="2"/>
  </r>
  <r>
    <x v="1360"/>
    <n v="25"/>
    <x v="1"/>
    <x v="2"/>
    <s v="Single"/>
    <x v="1"/>
    <n v="3.5"/>
    <n v="2"/>
    <n v="4"/>
    <s v="Yes"/>
    <s v="Within 5 min"/>
    <n v="11"/>
    <n v="4.4000000000000004"/>
    <n v="6.3"/>
    <n v="9.1999999999999993"/>
    <n v="7"/>
    <s v="No"/>
    <s v="Yes"/>
    <n v="5.2"/>
    <n v="5.5"/>
    <n v="5.5"/>
    <n v="4.0999999999999996"/>
    <n v="6.7"/>
    <n v="8.9"/>
    <n v="2.9"/>
    <n v="2.4"/>
    <n v="1.8"/>
    <n v="4.7"/>
    <n v="4.7"/>
    <s v="Severe"/>
    <x v="0"/>
  </r>
  <r>
    <x v="1361"/>
    <n v="18"/>
    <x v="1"/>
    <x v="3"/>
    <s v="Married"/>
    <x v="5"/>
    <n v="5.2"/>
    <n v="4"/>
    <n v="4"/>
    <s v="Yes"/>
    <s v="5-30 min"/>
    <n v="93"/>
    <n v="8.8000000000000007"/>
    <n v="5.4"/>
    <n v="8.9"/>
    <n v="4.8"/>
    <m/>
    <s v="Yes"/>
    <n v="8.1999999999999993"/>
    <n v="3.1"/>
    <n v="6.3"/>
    <n v="3.9"/>
    <n v="7.2"/>
    <n v="7.8"/>
    <n v="5.2"/>
    <n v="4.5"/>
    <n v="1.1000000000000001"/>
    <n v="1.4"/>
    <n v="3.8"/>
    <s v="Severe"/>
    <x v="1"/>
  </r>
  <r>
    <x v="1362"/>
    <n v="34"/>
    <x v="1"/>
    <x v="0"/>
    <s v="Single"/>
    <x v="3"/>
    <n v="5.2"/>
    <n v="3"/>
    <n v="4"/>
    <s v="Yes"/>
    <s v="Within 5 min"/>
    <n v="54"/>
    <n v="5.7"/>
    <n v="7.6"/>
    <n v="6.3"/>
    <n v="2.5"/>
    <s v="Yes"/>
    <s v="Yes"/>
    <n v="4.0999999999999996"/>
    <n v="7.7"/>
    <n v="8.5"/>
    <n v="7.9"/>
    <n v="7.7"/>
    <m/>
    <n v="3"/>
    <n v="8.4"/>
    <n v="2.2000000000000002"/>
    <n v="0"/>
    <n v="5.3"/>
    <s v="High"/>
    <x v="0"/>
  </r>
  <r>
    <x v="1363"/>
    <n v="26"/>
    <x v="0"/>
    <x v="0"/>
    <s v="Single"/>
    <x v="1"/>
    <n v="2.9"/>
    <n v="2"/>
    <n v="3"/>
    <s v="Yes"/>
    <s v="Within 5 min"/>
    <n v="126"/>
    <n v="4.9000000000000004"/>
    <n v="3.7"/>
    <n v="1.5"/>
    <n v="3.9"/>
    <s v="Yes"/>
    <s v="No"/>
    <n v="6"/>
    <n v="6"/>
    <n v="6.1"/>
    <n v="6.4"/>
    <n v="8.6"/>
    <n v="5.5"/>
    <n v="10"/>
    <n v="3.6"/>
    <n v="0"/>
    <n v="3.2"/>
    <n v="6.5"/>
    <s v="High"/>
    <x v="0"/>
  </r>
  <r>
    <x v="1364"/>
    <n v="19"/>
    <x v="1"/>
    <x v="1"/>
    <s v="Single"/>
    <x v="1"/>
    <n v="8.1"/>
    <n v="1"/>
    <n v="2"/>
    <s v="Yes"/>
    <s v="5-30 min"/>
    <n v="88"/>
    <n v="0"/>
    <n v="7.4"/>
    <n v="4.2"/>
    <n v="9.6999999999999993"/>
    <s v="Yes"/>
    <s v="Yes"/>
    <m/>
    <n v="8.1"/>
    <n v="5.2"/>
    <m/>
    <n v="6.3"/>
    <n v="5.6"/>
    <n v="5.5"/>
    <n v="2.7"/>
    <n v="1.4"/>
    <n v="1.6"/>
    <n v="5.4"/>
    <s v="High"/>
    <x v="1"/>
  </r>
  <r>
    <x v="1365"/>
    <n v="31"/>
    <x v="0"/>
    <x v="3"/>
    <s v="Single"/>
    <x v="4"/>
    <n v="3.6"/>
    <n v="4"/>
    <n v="3"/>
    <s v="Yes"/>
    <s v="After 30 min"/>
    <n v="69"/>
    <n v="3.5"/>
    <n v="5.3"/>
    <n v="5.4"/>
    <n v="3.1"/>
    <s v="No"/>
    <s v="No"/>
    <n v="2.5"/>
    <n v="2.8"/>
    <n v="1.7"/>
    <n v="8.5"/>
    <n v="5.3"/>
    <n v="9.1999999999999993"/>
    <n v="5.9"/>
    <n v="6.2"/>
    <n v="4.9000000000000004"/>
    <n v="5.4"/>
    <n v="9.1"/>
    <s v="Low"/>
    <x v="0"/>
  </r>
  <r>
    <x v="1366"/>
    <n v="44"/>
    <x v="2"/>
    <x v="1"/>
    <s v="In a Relationship"/>
    <x v="4"/>
    <m/>
    <n v="4"/>
    <n v="7"/>
    <m/>
    <s v="After 30 min"/>
    <n v="5"/>
    <n v="8.1999999999999993"/>
    <n v="4.7"/>
    <n v="3.8"/>
    <n v="8.1"/>
    <s v="No"/>
    <s v="Yes"/>
    <n v="7.8"/>
    <m/>
    <n v="2.6"/>
    <n v="2.5"/>
    <n v="7.3"/>
    <m/>
    <n v="7.6"/>
    <n v="7.7"/>
    <n v="3"/>
    <n v="2.2000000000000002"/>
    <n v="5.8"/>
    <s v="High"/>
    <x v="2"/>
  </r>
  <r>
    <x v="1367"/>
    <n v="17"/>
    <x v="0"/>
    <x v="0"/>
    <s v="Single"/>
    <x v="5"/>
    <n v="2.6"/>
    <n v="1"/>
    <n v="7"/>
    <s v="Yes"/>
    <s v="5-30 min"/>
    <n v="41"/>
    <n v="5.3"/>
    <n v="10"/>
    <n v="4.5"/>
    <n v="4.5999999999999996"/>
    <s v="Yes"/>
    <s v="No"/>
    <n v="0.6"/>
    <n v="3.7"/>
    <n v="6.2"/>
    <n v="6.2"/>
    <n v="6.4"/>
    <n v="6.9"/>
    <n v="1"/>
    <n v="3.7"/>
    <n v="1.5"/>
    <n v="4.0999999999999996"/>
    <n v="7.6"/>
    <s v="Low"/>
    <x v="3"/>
  </r>
  <r>
    <x v="1368"/>
    <n v="25"/>
    <x v="0"/>
    <x v="0"/>
    <s v="Married"/>
    <x v="1"/>
    <n v="3.2"/>
    <n v="7"/>
    <n v="4"/>
    <s v="Yes"/>
    <s v="Within 5 min"/>
    <n v="59"/>
    <n v="5.3"/>
    <n v="4.2"/>
    <n v="6"/>
    <n v="3.2"/>
    <s v="No"/>
    <s v="No"/>
    <n v="5.0999999999999996"/>
    <n v="7.4"/>
    <n v="6.2"/>
    <n v="5.8"/>
    <n v="6.4"/>
    <n v="5.5"/>
    <n v="3.2"/>
    <n v="4.7"/>
    <n v="2.9"/>
    <n v="2.5"/>
    <n v="5.6"/>
    <s v="High"/>
    <x v="0"/>
  </r>
  <r>
    <x v="1369"/>
    <n v="23"/>
    <x v="0"/>
    <x v="2"/>
    <s v="Single"/>
    <x v="3"/>
    <n v="3.3"/>
    <n v="5"/>
    <n v="4"/>
    <s v="Yes"/>
    <s v="After 30 min"/>
    <n v="83"/>
    <n v="3.1"/>
    <n v="5.7"/>
    <n v="5.3"/>
    <n v="10"/>
    <m/>
    <s v="Yes"/>
    <n v="7.4"/>
    <m/>
    <n v="6.3"/>
    <n v="5.2"/>
    <n v="5.8"/>
    <n v="8.3000000000000007"/>
    <n v="4.5"/>
    <n v="4.5"/>
    <m/>
    <n v="2.9"/>
    <n v="6.2"/>
    <s v="High"/>
    <x v="1"/>
  </r>
  <r>
    <x v="1370"/>
    <n v="28"/>
    <x v="1"/>
    <x v="3"/>
    <s v="Married"/>
    <x v="1"/>
    <n v="4.9000000000000004"/>
    <n v="2"/>
    <n v="4"/>
    <s v="No"/>
    <s v="5-30 min"/>
    <n v="134"/>
    <n v="1.5"/>
    <n v="4"/>
    <n v="1.2"/>
    <n v="1.2"/>
    <s v="No"/>
    <s v="Yes"/>
    <n v="1.2"/>
    <n v="3.9"/>
    <n v="7"/>
    <n v="2.9"/>
    <n v="6.7"/>
    <n v="9.1999999999999993"/>
    <n v="3.6"/>
    <n v="6.2"/>
    <n v="2.7"/>
    <n v="3.6"/>
    <n v="8.6"/>
    <s v="Low"/>
    <x v="0"/>
  </r>
  <r>
    <x v="1371"/>
    <n v="23"/>
    <x v="0"/>
    <x v="0"/>
    <s v="Married"/>
    <x v="1"/>
    <n v="4.9000000000000004"/>
    <n v="1"/>
    <n v="1"/>
    <s v="No"/>
    <s v="After 30 min"/>
    <n v="76"/>
    <n v="8.9"/>
    <n v="4.0999999999999996"/>
    <n v="7"/>
    <n v="6.5"/>
    <s v="Yes"/>
    <s v="No"/>
    <n v="1.5"/>
    <m/>
    <n v="2.4"/>
    <n v="6.9"/>
    <n v="9.1"/>
    <n v="8.9"/>
    <n v="3.8"/>
    <n v="4.0999999999999996"/>
    <n v="2.2000000000000002"/>
    <n v="4.7"/>
    <n v="7.9"/>
    <s v="Low"/>
    <x v="1"/>
  </r>
  <r>
    <x v="1372"/>
    <n v="17"/>
    <x v="0"/>
    <x v="0"/>
    <s v="Married"/>
    <x v="1"/>
    <n v="5"/>
    <n v="1"/>
    <n v="4"/>
    <s v="No"/>
    <s v="Within 5 min"/>
    <n v="39"/>
    <n v="5.7"/>
    <n v="7.1"/>
    <n v="5.3"/>
    <n v="2.2999999999999998"/>
    <s v="Yes"/>
    <s v="No"/>
    <n v="4.7"/>
    <n v="2.4"/>
    <n v="4.4000000000000004"/>
    <n v="5.5"/>
    <n v="6.7"/>
    <n v="6.8"/>
    <n v="4.8"/>
    <n v="6.8"/>
    <n v="3.9"/>
    <n v="2.2999999999999998"/>
    <n v="8.1999999999999993"/>
    <s v="Low"/>
    <x v="3"/>
  </r>
  <r>
    <x v="1373"/>
    <n v="26"/>
    <x v="1"/>
    <x v="0"/>
    <s v="Married"/>
    <x v="1"/>
    <n v="4.5999999999999996"/>
    <n v="4"/>
    <n v="5"/>
    <m/>
    <s v="After 30 min"/>
    <n v="51"/>
    <n v="9.3000000000000007"/>
    <n v="5.4"/>
    <n v="4.5999999999999996"/>
    <n v="5.2"/>
    <s v="Yes"/>
    <s v="No"/>
    <n v="5.2"/>
    <n v="4.8"/>
    <n v="5.0999999999999996"/>
    <n v="6.1"/>
    <n v="6.4"/>
    <n v="7.2"/>
    <n v="4.5"/>
    <n v="3.5"/>
    <n v="4.3"/>
    <n v="4"/>
    <n v="6.1"/>
    <s v="Moderate"/>
    <x v="0"/>
  </r>
  <r>
    <x v="1374"/>
    <n v="20"/>
    <x v="1"/>
    <x v="0"/>
    <s v="Single"/>
    <x v="5"/>
    <n v="6.5"/>
    <n v="1"/>
    <n v="4"/>
    <s v="Yes"/>
    <s v="Within 5 min"/>
    <n v="99"/>
    <n v="2.7"/>
    <n v="8.1999999999999993"/>
    <n v="4.7"/>
    <n v="4.8"/>
    <m/>
    <s v="No"/>
    <n v="7.2"/>
    <n v="3.9"/>
    <n v="8.6"/>
    <n v="4.5999999999999996"/>
    <n v="2.5"/>
    <n v="8.4"/>
    <n v="4.5999999999999996"/>
    <n v="8.1"/>
    <n v="2.6"/>
    <n v="0.8"/>
    <n v="5.0999999999999996"/>
    <s v="Severe"/>
    <x v="1"/>
  </r>
  <r>
    <x v="1375"/>
    <n v="21"/>
    <x v="0"/>
    <x v="1"/>
    <s v="Single"/>
    <x v="3"/>
    <n v="6.5"/>
    <n v="4"/>
    <n v="5"/>
    <s v="No"/>
    <s v="Within 5 min"/>
    <n v="92"/>
    <n v="5.8"/>
    <n v="3.4"/>
    <n v="3.8"/>
    <n v="2.2000000000000002"/>
    <s v="No"/>
    <s v="Yes"/>
    <n v="6.9"/>
    <n v="2"/>
    <n v="3.2"/>
    <n v="7.8"/>
    <n v="3.9"/>
    <n v="6.1"/>
    <n v="3.8"/>
    <n v="8.8000000000000007"/>
    <n v="4"/>
    <n v="2.2999999999999998"/>
    <n v="6.6"/>
    <s v="High"/>
    <x v="1"/>
  </r>
  <r>
    <x v="1376"/>
    <n v="23"/>
    <x v="2"/>
    <x v="4"/>
    <s v="Single"/>
    <x v="4"/>
    <n v="3.6"/>
    <n v="1"/>
    <n v="2"/>
    <s v="No"/>
    <s v="Within 5 min"/>
    <n v="70"/>
    <n v="6.5"/>
    <n v="8.8000000000000007"/>
    <n v="2.7"/>
    <n v="6.3"/>
    <s v="No"/>
    <s v="Yes"/>
    <n v="7.3"/>
    <n v="7.2"/>
    <n v="6.5"/>
    <n v="5.9"/>
    <n v="3.1"/>
    <n v="7.4"/>
    <n v="7.1"/>
    <n v="3.2"/>
    <n v="2.2000000000000002"/>
    <n v="4.2"/>
    <n v="4.7"/>
    <s v="Severe"/>
    <x v="1"/>
  </r>
  <r>
    <x v="1377"/>
    <n v="15"/>
    <x v="1"/>
    <x v="4"/>
    <s v="In a Relationship"/>
    <x v="3"/>
    <n v="4.9000000000000004"/>
    <n v="6"/>
    <n v="6"/>
    <s v="No"/>
    <s v="Within 5 min"/>
    <n v="36"/>
    <n v="8"/>
    <n v="3.8"/>
    <n v="3.6"/>
    <n v="8.3000000000000007"/>
    <s v="No"/>
    <s v="No"/>
    <n v="6.9"/>
    <n v="5.6"/>
    <n v="5.5"/>
    <n v="6.6"/>
    <n v="4.5999999999999996"/>
    <n v="7.9"/>
    <n v="7.6"/>
    <n v="3.8"/>
    <n v="3.6"/>
    <n v="1.7"/>
    <n v="5.5"/>
    <s v="High"/>
    <x v="3"/>
  </r>
  <r>
    <x v="1378"/>
    <n v="22"/>
    <x v="0"/>
    <x v="0"/>
    <s v="Single"/>
    <x v="1"/>
    <m/>
    <n v="2"/>
    <n v="3"/>
    <s v="No"/>
    <s v="Within 5 min"/>
    <n v="52"/>
    <n v="5.7"/>
    <n v="4.9000000000000004"/>
    <n v="7.7"/>
    <n v="7.4"/>
    <s v="Yes"/>
    <s v="No"/>
    <n v="7.5"/>
    <n v="4.2"/>
    <n v="0.4"/>
    <n v="2.2000000000000002"/>
    <n v="5.0999999999999996"/>
    <n v="7.1"/>
    <n v="7.7"/>
    <n v="8"/>
    <n v="5.4"/>
    <n v="0"/>
    <n v="5.9"/>
    <s v="High"/>
    <x v="1"/>
  </r>
  <r>
    <x v="1379"/>
    <n v="34"/>
    <x v="1"/>
    <x v="1"/>
    <s v="In a Relationship"/>
    <x v="3"/>
    <n v="6.1"/>
    <n v="3"/>
    <n v="4"/>
    <s v="No"/>
    <s v="After 30 min"/>
    <n v="64"/>
    <n v="4.5"/>
    <n v="6.1"/>
    <n v="4.7"/>
    <n v="5.4"/>
    <s v="No"/>
    <s v="No"/>
    <n v="8.1999999999999993"/>
    <n v="3.7"/>
    <n v="1.7"/>
    <n v="7.2"/>
    <n v="5.7"/>
    <n v="5.4"/>
    <n v="4.2"/>
    <n v="2.1"/>
    <n v="1.5"/>
    <n v="3.3"/>
    <n v="8.3000000000000007"/>
    <s v="Low"/>
    <x v="0"/>
  </r>
  <r>
    <x v="1380"/>
    <n v="22"/>
    <x v="0"/>
    <x v="1"/>
    <s v="In a Relationship"/>
    <x v="0"/>
    <n v="5.7"/>
    <n v="7"/>
    <n v="2"/>
    <s v="Yes"/>
    <s v="Within 5 min"/>
    <n v="70"/>
    <n v="9.1999999999999993"/>
    <n v="5.3"/>
    <n v="6.6"/>
    <n v="6.3"/>
    <s v="Yes"/>
    <s v="Yes"/>
    <n v="1.7"/>
    <m/>
    <n v="8.9"/>
    <n v="3.4"/>
    <n v="3.1"/>
    <m/>
    <n v="0"/>
    <n v="5.4"/>
    <n v="5.3"/>
    <n v="5.4"/>
    <n v="4.3"/>
    <s v="Severe"/>
    <x v="1"/>
  </r>
  <r>
    <x v="1381"/>
    <n v="39"/>
    <x v="1"/>
    <x v="1"/>
    <s v="Single"/>
    <x v="4"/>
    <n v="3.8"/>
    <n v="3"/>
    <n v="1"/>
    <s v="No"/>
    <s v="5-30 min"/>
    <n v="48"/>
    <n v="3.3"/>
    <n v="3.9"/>
    <n v="5.6"/>
    <n v="2.2999999999999998"/>
    <s v="Yes"/>
    <s v="Yes"/>
    <n v="8.1999999999999993"/>
    <n v="4.8"/>
    <n v="4.4000000000000004"/>
    <n v="5.3"/>
    <n v="4.8"/>
    <n v="8.9"/>
    <n v="4.8"/>
    <n v="7"/>
    <n v="2.2000000000000002"/>
    <n v="0"/>
    <n v="7.3"/>
    <s v="Moderate"/>
    <x v="2"/>
  </r>
  <r>
    <x v="1382"/>
    <n v="26"/>
    <x v="0"/>
    <x v="0"/>
    <s v="Single"/>
    <x v="0"/>
    <n v="3.8"/>
    <n v="2"/>
    <n v="4"/>
    <s v="Yes"/>
    <s v="5-30 min"/>
    <n v="59"/>
    <n v="4.4000000000000004"/>
    <n v="4.3"/>
    <n v="3.2"/>
    <n v="3.2"/>
    <s v="Yes"/>
    <s v="Yes"/>
    <n v="4.0999999999999996"/>
    <n v="6.1"/>
    <n v="1.2"/>
    <n v="5.4"/>
    <n v="6.2"/>
    <n v="7.9"/>
    <m/>
    <n v="9.3000000000000007"/>
    <n v="3.3"/>
    <n v="4.8"/>
    <n v="7.9"/>
    <s v="Low"/>
    <x v="0"/>
  </r>
  <r>
    <x v="1383"/>
    <n v="20"/>
    <x v="2"/>
    <x v="1"/>
    <s v="In a Relationship"/>
    <x v="0"/>
    <n v="4.7"/>
    <n v="7"/>
    <n v="2"/>
    <s v="No"/>
    <s v="5-30 min"/>
    <n v="90"/>
    <m/>
    <n v="4.4000000000000004"/>
    <n v="6.1"/>
    <n v="4.8"/>
    <s v="No"/>
    <s v="Yes"/>
    <n v="7.7"/>
    <n v="2.8"/>
    <m/>
    <n v="5.8"/>
    <n v="9.6"/>
    <n v="5.5"/>
    <n v="4.8"/>
    <n v="7.6"/>
    <n v="2.5"/>
    <n v="3.5"/>
    <n v="6.6"/>
    <s v="Moderate"/>
    <x v="1"/>
  </r>
  <r>
    <x v="1384"/>
    <n v="43"/>
    <x v="0"/>
    <x v="1"/>
    <s v="Married"/>
    <x v="1"/>
    <n v="5.6"/>
    <n v="1"/>
    <n v="3"/>
    <s v="Yes"/>
    <s v="Within 5 min"/>
    <n v="78"/>
    <n v="2.6"/>
    <n v="3.4"/>
    <n v="3.8"/>
    <n v="7.3"/>
    <s v="Yes"/>
    <s v="Yes"/>
    <n v="7.7"/>
    <n v="6.1"/>
    <n v="0.9"/>
    <n v="4.0999999999999996"/>
    <m/>
    <n v="5.6"/>
    <n v="5.2"/>
    <n v="4.2"/>
    <n v="4.4000000000000004"/>
    <n v="4.8"/>
    <n v="5.5"/>
    <s v="High"/>
    <x v="2"/>
  </r>
  <r>
    <x v="1385"/>
    <n v="36"/>
    <x v="0"/>
    <x v="0"/>
    <s v="Single"/>
    <x v="3"/>
    <n v="2.2999999999999998"/>
    <n v="1"/>
    <n v="3"/>
    <s v="Yes"/>
    <s v="Within 5 min"/>
    <n v="48"/>
    <n v="6.9"/>
    <n v="7.4"/>
    <n v="4"/>
    <n v="7.1"/>
    <s v="Yes"/>
    <s v="No"/>
    <n v="10"/>
    <n v="5.6"/>
    <n v="3.7"/>
    <n v="7.1"/>
    <n v="4.5999999999999996"/>
    <m/>
    <n v="4.4000000000000004"/>
    <n v="7.3"/>
    <n v="0"/>
    <n v="3.9"/>
    <n v="5.2"/>
    <s v="Severe"/>
    <x v="2"/>
  </r>
  <r>
    <x v="1386"/>
    <n v="31"/>
    <x v="0"/>
    <x v="1"/>
    <s v="Married"/>
    <x v="3"/>
    <n v="2.4"/>
    <n v="3"/>
    <n v="8"/>
    <s v="No"/>
    <s v="Within 5 min"/>
    <n v="42"/>
    <n v="7.3"/>
    <n v="4.4000000000000004"/>
    <n v="5.5"/>
    <n v="5.0999999999999996"/>
    <s v="Yes"/>
    <s v="Yes"/>
    <n v="3.6"/>
    <n v="8.5"/>
    <n v="4.5"/>
    <n v="4.9000000000000004"/>
    <n v="3.9"/>
    <n v="4.5"/>
    <n v="4.8"/>
    <n v="5.4"/>
    <n v="6.9"/>
    <n v="6.8"/>
    <n v="5.9"/>
    <s v="Moderate"/>
    <x v="0"/>
  </r>
  <r>
    <x v="1387"/>
    <n v="37"/>
    <x v="1"/>
    <x v="0"/>
    <s v="In a Relationship"/>
    <x v="0"/>
    <n v="3.7"/>
    <n v="6"/>
    <n v="1"/>
    <s v="No"/>
    <s v="Within 5 min"/>
    <n v="5"/>
    <n v="4.0999999999999996"/>
    <n v="6.6"/>
    <n v="7.2"/>
    <n v="3.9"/>
    <m/>
    <s v="Yes"/>
    <n v="4.4000000000000004"/>
    <n v="3.3"/>
    <n v="5.5"/>
    <n v="6.5"/>
    <n v="5.5"/>
    <n v="4.2"/>
    <n v="4.5"/>
    <n v="6.1"/>
    <n v="0.2"/>
    <n v="0.9"/>
    <n v="6.4"/>
    <s v="Moderate"/>
    <x v="2"/>
  </r>
  <r>
    <x v="1388"/>
    <n v="35"/>
    <x v="3"/>
    <x v="0"/>
    <m/>
    <x v="5"/>
    <n v="4.7"/>
    <n v="3"/>
    <n v="3"/>
    <s v="No"/>
    <s v="Within 5 min"/>
    <n v="58"/>
    <n v="6.1"/>
    <n v="4.5999999999999996"/>
    <n v="3.6"/>
    <n v="6.9"/>
    <s v="No"/>
    <s v="Yes"/>
    <n v="9"/>
    <n v="8.4"/>
    <n v="4.2"/>
    <n v="5.3"/>
    <n v="7.3"/>
    <n v="7.6"/>
    <n v="2.6"/>
    <n v="8.4"/>
    <n v="3.8"/>
    <n v="2.5"/>
    <n v="6.5"/>
    <s v="Moderate"/>
    <x v="4"/>
  </r>
  <r>
    <x v="1389"/>
    <n v="42"/>
    <x v="1"/>
    <x v="1"/>
    <s v="In a Relationship"/>
    <x v="1"/>
    <n v="3.1"/>
    <n v="6"/>
    <n v="5"/>
    <s v="Yes"/>
    <s v="5-30 min"/>
    <n v="19"/>
    <n v="3.8"/>
    <n v="7.7"/>
    <n v="8.6999999999999993"/>
    <n v="4.3"/>
    <s v="No"/>
    <s v="No"/>
    <n v="5.4"/>
    <n v="4.5999999999999996"/>
    <n v="4.4000000000000004"/>
    <n v="7.4"/>
    <n v="5.2"/>
    <n v="8.9"/>
    <n v="7.6"/>
    <n v="4.7"/>
    <n v="4.4000000000000004"/>
    <n v="1.3"/>
    <n v="7.2"/>
    <s v="Moderate"/>
    <x v="2"/>
  </r>
  <r>
    <x v="1390"/>
    <n v="16"/>
    <x v="1"/>
    <x v="0"/>
    <s v="Single"/>
    <x v="4"/>
    <n v="3.6"/>
    <n v="4"/>
    <n v="2"/>
    <s v="No"/>
    <s v="After 30 min"/>
    <n v="96"/>
    <n v="6"/>
    <n v="4"/>
    <n v="5.4"/>
    <n v="2.6"/>
    <s v="No"/>
    <s v="No"/>
    <n v="8.6"/>
    <n v="0.3"/>
    <n v="4.3"/>
    <n v="5.3"/>
    <n v="7"/>
    <n v="5.3"/>
    <n v="9.1"/>
    <n v="7.6"/>
    <n v="4.9000000000000004"/>
    <n v="2.6"/>
    <n v="8.5"/>
    <s v="Low"/>
    <x v="3"/>
  </r>
  <r>
    <x v="1391"/>
    <n v="44"/>
    <x v="1"/>
    <x v="0"/>
    <s v="Married"/>
    <x v="3"/>
    <n v="2.8"/>
    <n v="5"/>
    <n v="5"/>
    <s v="Yes"/>
    <s v="Within 5 min"/>
    <n v="95"/>
    <n v="5.7"/>
    <n v="6.1"/>
    <n v="5.3"/>
    <n v="3.4"/>
    <s v="No"/>
    <s v="Yes"/>
    <n v="8.5"/>
    <n v="7.7"/>
    <n v="4.7"/>
    <n v="8.9"/>
    <n v="4.3"/>
    <n v="5.2"/>
    <n v="6.1"/>
    <n v="8.1999999999999993"/>
    <n v="2.2999999999999998"/>
    <n v="4.0999999999999996"/>
    <n v="4.3"/>
    <s v="Severe"/>
    <x v="2"/>
  </r>
  <r>
    <x v="1392"/>
    <n v="25"/>
    <x v="0"/>
    <x v="3"/>
    <s v="In a Relationship"/>
    <x v="4"/>
    <n v="5.7"/>
    <n v="2"/>
    <n v="2"/>
    <s v="No"/>
    <s v="After 30 min"/>
    <n v="5"/>
    <n v="2.4"/>
    <n v="6.9"/>
    <n v="3.5"/>
    <n v="9.6"/>
    <s v="Yes"/>
    <s v="Yes"/>
    <n v="6.7"/>
    <n v="0.9"/>
    <n v="5.9"/>
    <n v="5.8"/>
    <n v="4.4000000000000004"/>
    <m/>
    <n v="6.1"/>
    <n v="5.6"/>
    <n v="0"/>
    <n v="4"/>
    <n v="6.6"/>
    <s v="Moderate"/>
    <x v="0"/>
  </r>
  <r>
    <x v="1393"/>
    <n v="41"/>
    <x v="0"/>
    <x v="2"/>
    <s v="Married"/>
    <x v="1"/>
    <m/>
    <n v="3"/>
    <n v="6"/>
    <s v="Yes"/>
    <s v="Within 5 min"/>
    <n v="74"/>
    <n v="9.8000000000000007"/>
    <n v="6.1"/>
    <n v="5.3"/>
    <n v="5.8"/>
    <s v="Yes"/>
    <s v="Yes"/>
    <n v="9"/>
    <n v="4.3"/>
    <n v="3"/>
    <n v="3.8"/>
    <n v="7.6"/>
    <n v="7.3"/>
    <n v="6.7"/>
    <n v="3.5"/>
    <n v="1.6"/>
    <n v="0"/>
    <n v="4"/>
    <s v="Severe"/>
    <x v="2"/>
  </r>
  <r>
    <x v="1394"/>
    <n v="39"/>
    <x v="0"/>
    <x v="0"/>
    <s v="Single"/>
    <x v="0"/>
    <n v="4.5"/>
    <n v="4"/>
    <n v="3"/>
    <s v="Yes"/>
    <s v="Within 5 min"/>
    <n v="111"/>
    <n v="6.2"/>
    <n v="6.7"/>
    <n v="2.4"/>
    <n v="9.6999999999999993"/>
    <s v="No"/>
    <s v="No"/>
    <n v="1.7"/>
    <n v="4.8"/>
    <n v="5"/>
    <n v="2.8"/>
    <n v="5.6"/>
    <n v="8"/>
    <n v="4.2"/>
    <n v="4.3"/>
    <n v="4.5"/>
    <n v="2.9"/>
    <n v="5.4"/>
    <s v="High"/>
    <x v="2"/>
  </r>
  <r>
    <x v="1395"/>
    <n v="34"/>
    <x v="0"/>
    <x v="1"/>
    <s v="Single"/>
    <x v="3"/>
    <n v="3.1"/>
    <n v="4"/>
    <n v="4"/>
    <s v="Yes"/>
    <s v="5-30 min"/>
    <n v="105"/>
    <n v="4.5999999999999996"/>
    <n v="9.5"/>
    <n v="3.3"/>
    <n v="3.1"/>
    <s v="Yes"/>
    <s v="Yes"/>
    <n v="3.5"/>
    <m/>
    <n v="7.5"/>
    <n v="5.9"/>
    <n v="4.5"/>
    <n v="7.2"/>
    <n v="1.9"/>
    <n v="6.7"/>
    <n v="0.4"/>
    <n v="6.2"/>
    <n v="5.9"/>
    <s v="High"/>
    <x v="0"/>
  </r>
  <r>
    <x v="1396"/>
    <n v="40"/>
    <x v="1"/>
    <x v="0"/>
    <s v="Married"/>
    <x v="5"/>
    <n v="4.5999999999999996"/>
    <n v="2"/>
    <n v="6"/>
    <s v="No"/>
    <s v="Within 5 min"/>
    <n v="50"/>
    <n v="0.4"/>
    <n v="7.5"/>
    <n v="1.9"/>
    <n v="2.7"/>
    <s v="Yes"/>
    <s v="No"/>
    <n v="4.4000000000000004"/>
    <n v="2.1"/>
    <n v="5.3"/>
    <n v="7.5"/>
    <n v="6.6"/>
    <n v="4.3"/>
    <n v="4.4000000000000004"/>
    <n v="5.0999999999999996"/>
    <n v="3.5"/>
    <n v="1.4"/>
    <n v="8.3000000000000007"/>
    <s v="Low"/>
    <x v="2"/>
  </r>
  <r>
    <x v="1397"/>
    <n v="36"/>
    <x v="2"/>
    <x v="1"/>
    <s v="Single"/>
    <x v="1"/>
    <n v="4.9000000000000004"/>
    <n v="4"/>
    <n v="4"/>
    <s v="Yes"/>
    <s v="After 30 min"/>
    <n v="128"/>
    <n v="4.9000000000000004"/>
    <n v="1.9"/>
    <n v="2.6"/>
    <n v="5.9"/>
    <s v="Yes"/>
    <s v="No"/>
    <n v="4.5999999999999996"/>
    <n v="5.5"/>
    <n v="7.1"/>
    <n v="5.9"/>
    <n v="7.7"/>
    <n v="6.2"/>
    <n v="2.6"/>
    <m/>
    <n v="3.6"/>
    <n v="1.7"/>
    <n v="7.8"/>
    <s v="Low"/>
    <x v="2"/>
  </r>
  <r>
    <x v="1398"/>
    <n v="42"/>
    <x v="3"/>
    <x v="0"/>
    <s v="Single"/>
    <x v="2"/>
    <n v="0.5"/>
    <n v="1"/>
    <n v="3"/>
    <s v="Yes"/>
    <s v="After 30 min"/>
    <n v="17"/>
    <n v="7.6"/>
    <n v="6.5"/>
    <n v="3"/>
    <n v="3"/>
    <s v="Yes"/>
    <s v="No"/>
    <n v="5.4"/>
    <n v="5.5"/>
    <n v="6"/>
    <n v="6.3"/>
    <n v="4.3"/>
    <n v="8.1"/>
    <n v="4.9000000000000004"/>
    <n v="8.4"/>
    <n v="0"/>
    <n v="4.7"/>
    <n v="7.5"/>
    <s v="Low"/>
    <x v="2"/>
  </r>
  <r>
    <x v="1399"/>
    <n v="35"/>
    <x v="2"/>
    <x v="1"/>
    <s v="Married"/>
    <x v="1"/>
    <n v="7"/>
    <n v="2"/>
    <n v="2"/>
    <s v="No"/>
    <s v="Within 5 min"/>
    <n v="31"/>
    <n v="6.6"/>
    <n v="6.5"/>
    <n v="0"/>
    <n v="4.4000000000000004"/>
    <s v="No"/>
    <s v="No"/>
    <n v="4.8"/>
    <n v="2"/>
    <n v="3.3"/>
    <n v="5.7"/>
    <n v="4.7"/>
    <m/>
    <n v="5.7"/>
    <n v="4.5"/>
    <n v="0.9"/>
    <n v="1.5"/>
    <n v="6"/>
    <s v="High"/>
    <x v="4"/>
  </r>
  <r>
    <x v="1400"/>
    <n v="29"/>
    <x v="0"/>
    <x v="1"/>
    <s v="Married"/>
    <x v="5"/>
    <n v="6.1"/>
    <n v="1"/>
    <n v="3"/>
    <s v="No"/>
    <s v="5-30 min"/>
    <n v="51"/>
    <n v="5.8"/>
    <n v="4.3"/>
    <n v="6.2"/>
    <n v="4.8"/>
    <s v="Yes"/>
    <s v="No"/>
    <n v="6.9"/>
    <n v="2.4"/>
    <n v="8.5"/>
    <n v="6.2"/>
    <n v="3.1"/>
    <n v="5.4"/>
    <n v="2.6"/>
    <n v="4.5"/>
    <n v="0.2"/>
    <n v="2.1"/>
    <n v="7.5"/>
    <s v="Moderate"/>
    <x v="0"/>
  </r>
  <r>
    <x v="1401"/>
    <n v="38"/>
    <x v="1"/>
    <x v="4"/>
    <s v="Married"/>
    <x v="3"/>
    <n v="7.9"/>
    <n v="2"/>
    <n v="6"/>
    <s v="Yes"/>
    <s v="5-30 min"/>
    <n v="25"/>
    <n v="7.5"/>
    <n v="6.2"/>
    <n v="4.5999999999999996"/>
    <n v="6.2"/>
    <s v="No"/>
    <s v="No"/>
    <n v="2.6"/>
    <n v="6.7"/>
    <n v="1"/>
    <n v="6"/>
    <n v="8.6999999999999993"/>
    <n v="5.5"/>
    <n v="3.9"/>
    <n v="3.1"/>
    <n v="2.6"/>
    <n v="3.2"/>
    <n v="6.3"/>
    <s v="Moderate"/>
    <x v="2"/>
  </r>
  <r>
    <x v="1402"/>
    <n v="18"/>
    <x v="0"/>
    <x v="0"/>
    <m/>
    <x v="0"/>
    <n v="6.2"/>
    <n v="3"/>
    <n v="4"/>
    <s v="Yes"/>
    <s v="After 30 min"/>
    <n v="51"/>
    <n v="5.8"/>
    <n v="2.5"/>
    <n v="0"/>
    <n v="7.5"/>
    <s v="Yes"/>
    <s v="Yes"/>
    <n v="9.4"/>
    <n v="1.3"/>
    <n v="4.7"/>
    <n v="5.6"/>
    <n v="5.7"/>
    <n v="5.7"/>
    <n v="9"/>
    <n v="3.1"/>
    <n v="4.5999999999999996"/>
    <n v="1.3"/>
    <n v="6.2"/>
    <s v="High"/>
    <x v="1"/>
  </r>
  <r>
    <x v="1403"/>
    <n v="41"/>
    <x v="1"/>
    <x v="0"/>
    <s v="In a Relationship"/>
    <x v="1"/>
    <n v="6.5"/>
    <n v="1"/>
    <n v="2"/>
    <s v="No"/>
    <s v="Within 5 min"/>
    <n v="42"/>
    <n v="3.5"/>
    <n v="9.1999999999999993"/>
    <n v="0"/>
    <n v="5.2"/>
    <s v="No"/>
    <s v="No"/>
    <n v="4.2"/>
    <n v="3.2"/>
    <n v="1.9"/>
    <n v="6.9"/>
    <n v="7.5"/>
    <n v="7.5"/>
    <n v="6.2"/>
    <n v="3.8"/>
    <n v="5.4"/>
    <n v="2.2000000000000002"/>
    <n v="8.1"/>
    <s v="Low"/>
    <x v="2"/>
  </r>
  <r>
    <x v="1404"/>
    <n v="24"/>
    <x v="1"/>
    <x v="2"/>
    <m/>
    <x v="5"/>
    <n v="5.7"/>
    <n v="5"/>
    <n v="2"/>
    <s v="No"/>
    <s v="5-30 min"/>
    <n v="76"/>
    <n v="8.3000000000000007"/>
    <n v="4.9000000000000004"/>
    <n v="9.3000000000000007"/>
    <n v="5.9"/>
    <s v="Yes"/>
    <s v="No"/>
    <n v="6.3"/>
    <n v="4.4000000000000004"/>
    <n v="6.4"/>
    <n v="4.5"/>
    <m/>
    <n v="6"/>
    <n v="2.1"/>
    <n v="5"/>
    <n v="2.8"/>
    <n v="2.5"/>
    <n v="5.7"/>
    <s v="Severe"/>
    <x v="1"/>
  </r>
  <r>
    <x v="1405"/>
    <n v="37"/>
    <x v="1"/>
    <x v="1"/>
    <s v="Single"/>
    <x v="5"/>
    <n v="8"/>
    <n v="4"/>
    <n v="4"/>
    <s v="Yes"/>
    <s v="Within 5 min"/>
    <n v="75"/>
    <n v="2.2000000000000002"/>
    <n v="5.5"/>
    <n v="2.4"/>
    <n v="5.5"/>
    <s v="No"/>
    <s v="Yes"/>
    <n v="6.5"/>
    <n v="5.8"/>
    <n v="7.2"/>
    <n v="6.4"/>
    <n v="1.3"/>
    <n v="4.9000000000000004"/>
    <n v="5.6"/>
    <n v="9.8000000000000007"/>
    <n v="3.7"/>
    <n v="2.4"/>
    <n v="4.8"/>
    <s v="Severe"/>
    <x v="2"/>
  </r>
  <r>
    <x v="1406"/>
    <n v="21"/>
    <x v="2"/>
    <x v="1"/>
    <s v="Single"/>
    <x v="1"/>
    <n v="1.7"/>
    <n v="2"/>
    <n v="3"/>
    <s v="Yes"/>
    <s v="After 30 min"/>
    <n v="75"/>
    <n v="7.7"/>
    <n v="4.2"/>
    <n v="0.5"/>
    <n v="8.1999999999999993"/>
    <s v="No"/>
    <s v="Yes"/>
    <n v="0"/>
    <n v="3.1"/>
    <n v="2.2999999999999998"/>
    <n v="6.2"/>
    <n v="3.5"/>
    <n v="8.1"/>
    <n v="2.9"/>
    <n v="4.5999999999999996"/>
    <n v="5"/>
    <n v="3.5"/>
    <n v="7.8"/>
    <s v="Low"/>
    <x v="1"/>
  </r>
  <r>
    <x v="1407"/>
    <n v="44"/>
    <x v="1"/>
    <x v="0"/>
    <s v="Married"/>
    <x v="2"/>
    <n v="4.3"/>
    <n v="5"/>
    <n v="2"/>
    <s v="No"/>
    <s v="Within 5 min"/>
    <n v="55"/>
    <n v="7.8"/>
    <n v="0"/>
    <n v="6"/>
    <n v="5.4"/>
    <s v="Yes"/>
    <s v="No"/>
    <n v="1.4"/>
    <n v="0.3"/>
    <n v="9.6"/>
    <n v="7.3"/>
    <n v="8.1"/>
    <n v="7.4"/>
    <n v="5.8"/>
    <m/>
    <n v="2.6"/>
    <n v="4"/>
    <n v="7"/>
    <s v="Low"/>
    <x v="2"/>
  </r>
  <r>
    <x v="1408"/>
    <n v="41"/>
    <x v="1"/>
    <x v="0"/>
    <s v="In a Relationship"/>
    <x v="3"/>
    <n v="2.5"/>
    <n v="6"/>
    <n v="4"/>
    <s v="Yes"/>
    <s v="5-30 min"/>
    <n v="54"/>
    <n v="6.7"/>
    <n v="3.5"/>
    <n v="7.3"/>
    <n v="0.7"/>
    <s v="Yes"/>
    <s v="No"/>
    <n v="8"/>
    <n v="3.6"/>
    <n v="4.9000000000000004"/>
    <n v="8.5"/>
    <n v="6.1"/>
    <n v="4.9000000000000004"/>
    <n v="3.1"/>
    <n v="6.4"/>
    <n v="0.8"/>
    <n v="1.6"/>
    <n v="7.2"/>
    <s v="Low"/>
    <x v="2"/>
  </r>
  <r>
    <x v="1409"/>
    <n v="36"/>
    <x v="3"/>
    <x v="0"/>
    <s v="Single"/>
    <x v="5"/>
    <n v="6.4"/>
    <n v="1"/>
    <n v="5"/>
    <s v="Yes"/>
    <s v="5-30 min"/>
    <n v="66"/>
    <n v="6.9"/>
    <n v="3.4"/>
    <n v="6.9"/>
    <n v="5.3"/>
    <s v="Yes"/>
    <s v="Yes"/>
    <n v="7.2"/>
    <n v="0.5"/>
    <n v="4"/>
    <n v="4.8"/>
    <n v="2.5"/>
    <n v="5.2"/>
    <n v="6.8"/>
    <n v="7.4"/>
    <n v="1.8"/>
    <n v="4.7"/>
    <n v="4.9000000000000004"/>
    <s v="Severe"/>
    <x v="2"/>
  </r>
  <r>
    <x v="1410"/>
    <n v="24"/>
    <x v="1"/>
    <x v="1"/>
    <s v="Single"/>
    <x v="1"/>
    <n v="5.0999999999999996"/>
    <n v="4"/>
    <n v="7"/>
    <s v="Yes"/>
    <s v="Within 5 min"/>
    <n v="63"/>
    <n v="6.7"/>
    <n v="6.3"/>
    <n v="2.6"/>
    <n v="5.8"/>
    <s v="Yes"/>
    <s v="Yes"/>
    <n v="4"/>
    <n v="1.2"/>
    <n v="1.4"/>
    <n v="6.4"/>
    <n v="2.9"/>
    <n v="6"/>
    <n v="5"/>
    <m/>
    <n v="4.7"/>
    <n v="3.9"/>
    <n v="5.8"/>
    <s v="High"/>
    <x v="1"/>
  </r>
  <r>
    <x v="1411"/>
    <n v="42"/>
    <x v="1"/>
    <x v="0"/>
    <s v="Single"/>
    <x v="4"/>
    <n v="8.1"/>
    <n v="6"/>
    <n v="3"/>
    <s v="Yes"/>
    <s v="Within 5 min"/>
    <n v="29"/>
    <n v="9.8000000000000007"/>
    <n v="1.1000000000000001"/>
    <n v="5.4"/>
    <n v="5.2"/>
    <s v="Yes"/>
    <s v="No"/>
    <n v="3.4"/>
    <n v="5.6"/>
    <n v="7.2"/>
    <n v="6.9"/>
    <n v="3.3"/>
    <n v="8.4"/>
    <n v="6.8"/>
    <n v="7.1"/>
    <n v="2.4"/>
    <n v="6.4"/>
    <n v="6"/>
    <s v="High"/>
    <x v="2"/>
  </r>
  <r>
    <x v="1412"/>
    <n v="17"/>
    <x v="1"/>
    <x v="1"/>
    <s v="Single"/>
    <x v="1"/>
    <n v="4.9000000000000004"/>
    <n v="3"/>
    <n v="7"/>
    <s v="Yes"/>
    <s v="Within 5 min"/>
    <n v="5"/>
    <n v="4.5999999999999996"/>
    <n v="7.2"/>
    <n v="6.8"/>
    <n v="5.5"/>
    <s v="No"/>
    <s v="Yes"/>
    <n v="7.8"/>
    <n v="4.2"/>
    <n v="3.9"/>
    <n v="5.2"/>
    <n v="6.7"/>
    <n v="8.6"/>
    <n v="4.9000000000000004"/>
    <n v="2"/>
    <n v="3.4"/>
    <n v="0"/>
    <n v="4.7"/>
    <s v="Severe"/>
    <x v="3"/>
  </r>
  <r>
    <x v="1413"/>
    <n v="22"/>
    <x v="0"/>
    <x v="1"/>
    <s v="Single"/>
    <x v="3"/>
    <n v="4.2"/>
    <n v="6"/>
    <n v="3"/>
    <s v="No"/>
    <s v="Within 5 min"/>
    <n v="56"/>
    <n v="7.5"/>
    <n v="3.3"/>
    <n v="7.1"/>
    <n v="6.9"/>
    <s v="Yes"/>
    <s v="Yes"/>
    <n v="1.8"/>
    <n v="4.5"/>
    <m/>
    <n v="4.5999999999999996"/>
    <n v="4.5999999999999996"/>
    <n v="9.6"/>
    <n v="8.1999999999999993"/>
    <n v="4.8"/>
    <n v="3.3"/>
    <n v="3.4"/>
    <n v="3.9"/>
    <s v="Severe"/>
    <x v="1"/>
  </r>
  <r>
    <x v="1414"/>
    <n v="38"/>
    <x v="1"/>
    <x v="1"/>
    <s v="Single"/>
    <x v="2"/>
    <n v="4.2"/>
    <n v="7"/>
    <n v="6"/>
    <s v="No"/>
    <s v="5-30 min"/>
    <n v="142"/>
    <n v="4.4000000000000004"/>
    <n v="5.4"/>
    <n v="4.8"/>
    <n v="10"/>
    <s v="Yes"/>
    <s v="Yes"/>
    <n v="4.4000000000000004"/>
    <n v="3.4"/>
    <n v="3.7"/>
    <n v="3.5"/>
    <n v="4"/>
    <n v="6.7"/>
    <n v="4.2"/>
    <n v="7.9"/>
    <n v="0.5"/>
    <n v="0.6"/>
    <n v="5.3"/>
    <s v="High"/>
    <x v="2"/>
  </r>
  <r>
    <x v="1415"/>
    <n v="37"/>
    <x v="0"/>
    <x v="0"/>
    <s v="Single"/>
    <x v="1"/>
    <n v="2.9"/>
    <n v="4"/>
    <n v="4"/>
    <s v="Yes"/>
    <s v="Within 5 min"/>
    <n v="5"/>
    <n v="5.0999999999999996"/>
    <n v="5.5"/>
    <m/>
    <n v="4.8"/>
    <m/>
    <s v="No"/>
    <n v="3.9"/>
    <n v="1.6"/>
    <n v="5.0999999999999996"/>
    <n v="7.2"/>
    <n v="7.8"/>
    <n v="4.5999999999999996"/>
    <n v="6"/>
    <n v="4.3"/>
    <n v="2.7"/>
    <n v="1.3"/>
    <n v="6.9"/>
    <s v="Low"/>
    <x v="2"/>
  </r>
  <r>
    <x v="1416"/>
    <n v="26"/>
    <x v="1"/>
    <x v="1"/>
    <m/>
    <x v="3"/>
    <n v="0.5"/>
    <n v="4"/>
    <n v="5"/>
    <s v="No"/>
    <s v="Within 5 min"/>
    <n v="72"/>
    <n v="9"/>
    <n v="2.2999999999999998"/>
    <n v="7.4"/>
    <n v="2.7"/>
    <s v="No"/>
    <s v="No"/>
    <n v="4.5"/>
    <n v="4.4000000000000004"/>
    <n v="4.5999999999999996"/>
    <n v="6.6"/>
    <n v="6.8"/>
    <n v="8.1999999999999993"/>
    <n v="1.7"/>
    <n v="6.5"/>
    <n v="0"/>
    <n v="3"/>
    <n v="7.4"/>
    <s v="Low"/>
    <x v="0"/>
  </r>
  <r>
    <x v="1417"/>
    <n v="18"/>
    <x v="0"/>
    <x v="2"/>
    <s v="Married"/>
    <x v="5"/>
    <n v="4.5"/>
    <n v="4"/>
    <n v="2"/>
    <m/>
    <s v="Within 5 min"/>
    <n v="79"/>
    <n v="5.5"/>
    <n v="6.2"/>
    <n v="3.5"/>
    <n v="1.8"/>
    <s v="Yes"/>
    <s v="Yes"/>
    <n v="6.1"/>
    <n v="7.4"/>
    <n v="8.1"/>
    <n v="3.3"/>
    <n v="3.7"/>
    <n v="9"/>
    <n v="1.1000000000000001"/>
    <n v="6.3"/>
    <n v="4.5"/>
    <n v="6.2"/>
    <n v="6.3"/>
    <s v="Moderate"/>
    <x v="1"/>
  </r>
  <r>
    <x v="1418"/>
    <n v="29"/>
    <x v="0"/>
    <x v="1"/>
    <s v="Single"/>
    <x v="4"/>
    <n v="3.6"/>
    <n v="3"/>
    <n v="5"/>
    <s v="Yes"/>
    <s v="Within 5 min"/>
    <n v="79"/>
    <n v="5.8"/>
    <n v="5"/>
    <n v="5.5"/>
    <n v="4.5"/>
    <s v="No"/>
    <s v="Yes"/>
    <n v="6.9"/>
    <n v="7.4"/>
    <n v="6.1"/>
    <n v="7.1"/>
    <n v="5.9"/>
    <n v="3.7"/>
    <n v="1.3"/>
    <n v="6.9"/>
    <n v="1.9"/>
    <n v="2.1"/>
    <n v="6.2"/>
    <s v="Moderate"/>
    <x v="0"/>
  </r>
  <r>
    <x v="1419"/>
    <n v="33"/>
    <x v="0"/>
    <x v="1"/>
    <s v="Single"/>
    <x v="3"/>
    <n v="3.6"/>
    <n v="2"/>
    <n v="3"/>
    <s v="Yes"/>
    <s v="Within 5 min"/>
    <n v="120"/>
    <n v="10"/>
    <n v="5.3"/>
    <n v="7.5"/>
    <n v="5.8"/>
    <s v="No"/>
    <s v="Yes"/>
    <n v="8"/>
    <n v="7.4"/>
    <n v="5"/>
    <n v="5.4"/>
    <m/>
    <n v="5.6"/>
    <n v="5.5"/>
    <n v="6.1"/>
    <n v="3.6"/>
    <n v="0.7"/>
    <n v="3.2"/>
    <s v="Severe"/>
    <x v="0"/>
  </r>
  <r>
    <x v="1420"/>
    <n v="15"/>
    <x v="1"/>
    <x v="1"/>
    <s v="Single"/>
    <x v="1"/>
    <n v="2.1"/>
    <n v="3"/>
    <n v="6"/>
    <s v="Yes"/>
    <s v="5-30 min"/>
    <n v="107"/>
    <n v="6.2"/>
    <n v="5.7"/>
    <n v="4.5999999999999996"/>
    <n v="3.1"/>
    <s v="Yes"/>
    <s v="No"/>
    <n v="6"/>
    <m/>
    <n v="3.3"/>
    <n v="6.8"/>
    <n v="5.6"/>
    <n v="8.1999999999999993"/>
    <n v="5"/>
    <m/>
    <n v="0.6"/>
    <n v="1.7"/>
    <n v="6.7"/>
    <s v="Moderate"/>
    <x v="3"/>
  </r>
  <r>
    <x v="1421"/>
    <n v="30"/>
    <x v="2"/>
    <x v="0"/>
    <s v="Single"/>
    <x v="1"/>
    <n v="4.7"/>
    <n v="7"/>
    <n v="4"/>
    <s v="No"/>
    <s v="5-30 min"/>
    <n v="79"/>
    <n v="8"/>
    <n v="5.9"/>
    <n v="5.7"/>
    <n v="5.0999999999999996"/>
    <s v="No"/>
    <s v="Yes"/>
    <n v="4.9000000000000004"/>
    <n v="7.1"/>
    <n v="0.2"/>
    <n v="4.7"/>
    <n v="6.7"/>
    <n v="8.5"/>
    <n v="7.5"/>
    <n v="1.8"/>
    <n v="6.4"/>
    <n v="3"/>
    <n v="5.7"/>
    <s v="High"/>
    <x v="0"/>
  </r>
  <r>
    <x v="1422"/>
    <n v="43"/>
    <x v="0"/>
    <x v="1"/>
    <m/>
    <x v="1"/>
    <n v="2.2999999999999998"/>
    <n v="2"/>
    <n v="2"/>
    <s v="No"/>
    <s v="5-30 min"/>
    <n v="26"/>
    <n v="4.5999999999999996"/>
    <n v="8.8000000000000007"/>
    <n v="4.0999999999999996"/>
    <n v="6.4"/>
    <s v="Yes"/>
    <s v="Yes"/>
    <n v="9.5"/>
    <n v="5.5"/>
    <n v="5.2"/>
    <n v="9.4"/>
    <n v="6.9"/>
    <n v="5.8"/>
    <n v="4.9000000000000004"/>
    <n v="6.8"/>
    <n v="4.9000000000000004"/>
    <n v="4.2"/>
    <n v="6.7"/>
    <s v="Moderate"/>
    <x v="2"/>
  </r>
  <r>
    <x v="1423"/>
    <n v="27"/>
    <x v="0"/>
    <x v="0"/>
    <s v="Single"/>
    <x v="0"/>
    <n v="5.0999999999999996"/>
    <n v="5"/>
    <n v="8"/>
    <s v="Yes"/>
    <s v="After 30 min"/>
    <n v="44"/>
    <n v="4.5"/>
    <n v="4.5"/>
    <n v="6.9"/>
    <n v="3.8"/>
    <s v="Yes"/>
    <s v="No"/>
    <n v="7.1"/>
    <n v="4.3"/>
    <n v="4.2"/>
    <n v="8.4"/>
    <n v="4"/>
    <n v="7.4"/>
    <n v="7.3"/>
    <n v="5.5"/>
    <n v="5.5"/>
    <n v="1.9"/>
    <n v="7.6"/>
    <s v="Low"/>
    <x v="0"/>
  </r>
  <r>
    <x v="1424"/>
    <n v="25"/>
    <x v="3"/>
    <x v="0"/>
    <s v="Married"/>
    <x v="4"/>
    <n v="4"/>
    <n v="3"/>
    <n v="5"/>
    <m/>
    <s v="Within 5 min"/>
    <n v="22"/>
    <n v="5.7"/>
    <n v="6.7"/>
    <n v="5.5"/>
    <n v="9.6"/>
    <s v="No"/>
    <s v="Yes"/>
    <n v="5.8"/>
    <n v="2.5"/>
    <n v="1"/>
    <n v="9.6"/>
    <n v="8.6"/>
    <n v="7.3"/>
    <n v="6.6"/>
    <n v="4.3"/>
    <n v="4.2"/>
    <n v="2"/>
    <n v="6"/>
    <s v="High"/>
    <x v="0"/>
  </r>
  <r>
    <x v="1425"/>
    <n v="19"/>
    <x v="0"/>
    <x v="0"/>
    <s v="In a Relationship"/>
    <x v="1"/>
    <n v="3.8"/>
    <n v="4"/>
    <n v="4"/>
    <s v="Yes"/>
    <s v="Within 5 min"/>
    <n v="69"/>
    <n v="6.6"/>
    <n v="8.1"/>
    <n v="4.0999999999999996"/>
    <n v="4.5999999999999996"/>
    <s v="No"/>
    <s v="Yes"/>
    <n v="1.7"/>
    <n v="7.3"/>
    <n v="4.2"/>
    <n v="10"/>
    <n v="4.9000000000000004"/>
    <n v="7.1"/>
    <n v="8.3000000000000007"/>
    <n v="3.7"/>
    <n v="1.7"/>
    <n v="3"/>
    <n v="5.4"/>
    <s v="Severe"/>
    <x v="1"/>
  </r>
  <r>
    <x v="1426"/>
    <n v="30"/>
    <x v="0"/>
    <x v="3"/>
    <s v="Single"/>
    <x v="1"/>
    <n v="1.1000000000000001"/>
    <n v="5"/>
    <n v="3"/>
    <s v="No"/>
    <s v="5-30 min"/>
    <n v="65"/>
    <n v="6.9"/>
    <n v="7.8"/>
    <n v="3.9"/>
    <n v="5.2"/>
    <s v="No"/>
    <s v="No"/>
    <n v="3.7"/>
    <n v="6.7"/>
    <n v="7.6"/>
    <n v="4.7"/>
    <n v="7.8"/>
    <n v="5.0999999999999996"/>
    <n v="4.8"/>
    <n v="4.3"/>
    <n v="4.5"/>
    <n v="1.6"/>
    <n v="7.1"/>
    <s v="Low"/>
    <x v="0"/>
  </r>
  <r>
    <x v="1427"/>
    <n v="30"/>
    <x v="1"/>
    <x v="0"/>
    <s v="In a Relationship"/>
    <x v="0"/>
    <n v="5.2"/>
    <n v="1"/>
    <n v="1"/>
    <s v="Yes"/>
    <s v="After 30 min"/>
    <n v="46"/>
    <n v="4.3"/>
    <n v="7"/>
    <n v="6.5"/>
    <n v="6.6"/>
    <s v="Yes"/>
    <s v="No"/>
    <n v="0.2"/>
    <n v="7.1"/>
    <n v="2.2999999999999998"/>
    <n v="6.5"/>
    <n v="3.1"/>
    <n v="5.6"/>
    <n v="4.8"/>
    <n v="5.6"/>
    <n v="0.5"/>
    <n v="3.9"/>
    <n v="7.9"/>
    <s v="Low"/>
    <x v="0"/>
  </r>
  <r>
    <x v="1428"/>
    <n v="26"/>
    <x v="0"/>
    <x v="1"/>
    <s v="Married"/>
    <x v="2"/>
    <n v="6.4"/>
    <n v="4"/>
    <n v="5"/>
    <s v="Yes"/>
    <s v="5-30 min"/>
    <n v="109"/>
    <n v="5.9"/>
    <n v="3.9"/>
    <n v="6.9"/>
    <n v="9.3000000000000007"/>
    <s v="Yes"/>
    <s v="No"/>
    <n v="7.4"/>
    <n v="5.3"/>
    <n v="2.4"/>
    <n v="4.3"/>
    <n v="7.2"/>
    <n v="7.3"/>
    <n v="6.6"/>
    <n v="9"/>
    <n v="1.8"/>
    <n v="2.6"/>
    <n v="5.7"/>
    <s v="High"/>
    <x v="0"/>
  </r>
  <r>
    <x v="1429"/>
    <n v="24"/>
    <x v="2"/>
    <x v="1"/>
    <s v="In a Relationship"/>
    <x v="3"/>
    <n v="4.2"/>
    <n v="6"/>
    <n v="2"/>
    <s v="Yes"/>
    <s v="After 30 min"/>
    <n v="52"/>
    <n v="10"/>
    <n v="4.7"/>
    <n v="4.9000000000000004"/>
    <n v="9.8000000000000007"/>
    <s v="No"/>
    <s v="Yes"/>
    <n v="5.7"/>
    <n v="4.7"/>
    <n v="7.7"/>
    <n v="0.8"/>
    <n v="6.7"/>
    <n v="6.7"/>
    <n v="2.7"/>
    <n v="2.5"/>
    <n v="2.7"/>
    <n v="3.8"/>
    <n v="3.4"/>
    <s v="Severe"/>
    <x v="1"/>
  </r>
  <r>
    <x v="1430"/>
    <n v="18"/>
    <x v="0"/>
    <x v="0"/>
    <s v="Single"/>
    <x v="2"/>
    <n v="3.3"/>
    <n v="4"/>
    <n v="6"/>
    <s v="Yes"/>
    <s v="After 30 min"/>
    <n v="70"/>
    <n v="7.1"/>
    <n v="5.7"/>
    <n v="6.1"/>
    <n v="1.1000000000000001"/>
    <s v="Yes"/>
    <s v="No"/>
    <n v="2.4"/>
    <n v="2"/>
    <n v="4"/>
    <n v="10"/>
    <n v="7.8"/>
    <n v="4"/>
    <n v="8.1"/>
    <n v="2.8"/>
    <n v="2.5"/>
    <n v="2.7"/>
    <n v="7.2"/>
    <s v="Low"/>
    <x v="1"/>
  </r>
  <r>
    <x v="1431"/>
    <n v="31"/>
    <x v="1"/>
    <x v="1"/>
    <s v="Married"/>
    <x v="1"/>
    <n v="5.9"/>
    <n v="1"/>
    <n v="5"/>
    <s v="Yes"/>
    <s v="Within 5 min"/>
    <n v="55"/>
    <n v="10"/>
    <n v="8.5"/>
    <n v="3.8"/>
    <n v="6.7"/>
    <s v="Yes"/>
    <s v="No"/>
    <n v="2.6"/>
    <n v="1.4"/>
    <n v="2.2000000000000002"/>
    <n v="5.6"/>
    <n v="7.3"/>
    <n v="6.2"/>
    <n v="6.6"/>
    <n v="5.4"/>
    <n v="0.2"/>
    <n v="5.9"/>
    <n v="5.0999999999999996"/>
    <s v="High"/>
    <x v="0"/>
  </r>
  <r>
    <x v="1432"/>
    <n v="32"/>
    <x v="0"/>
    <x v="1"/>
    <s v="In a Relationship"/>
    <x v="2"/>
    <n v="6.2"/>
    <n v="3"/>
    <n v="6"/>
    <s v="No"/>
    <s v="After 30 min"/>
    <n v="9"/>
    <n v="1.3"/>
    <n v="6.3"/>
    <n v="2.2999999999999998"/>
    <n v="9.3000000000000007"/>
    <s v="Yes"/>
    <s v="No"/>
    <n v="6.4"/>
    <n v="5.6"/>
    <n v="5.2"/>
    <m/>
    <n v="6.3"/>
    <n v="7.1"/>
    <n v="6.1"/>
    <n v="5.6"/>
    <n v="2.8"/>
    <n v="5.8"/>
    <n v="8.9"/>
    <s v="Low"/>
    <x v="0"/>
  </r>
  <r>
    <x v="1433"/>
    <n v="15"/>
    <x v="2"/>
    <x v="0"/>
    <m/>
    <x v="0"/>
    <n v="3.6"/>
    <n v="3"/>
    <n v="6"/>
    <s v="No"/>
    <s v="5-30 min"/>
    <n v="5"/>
    <n v="6.8"/>
    <n v="8.6"/>
    <n v="1.4"/>
    <n v="6"/>
    <s v="Yes"/>
    <s v="No"/>
    <n v="4.2"/>
    <n v="1.7"/>
    <m/>
    <n v="5.6"/>
    <n v="8.3000000000000007"/>
    <n v="9.1"/>
    <n v="7.3"/>
    <n v="3.6"/>
    <n v="0.8"/>
    <n v="3"/>
    <n v="6.6"/>
    <s v="Moderate"/>
    <x v="3"/>
  </r>
  <r>
    <x v="1434"/>
    <n v="27"/>
    <x v="0"/>
    <x v="3"/>
    <s v="In a Relationship"/>
    <x v="0"/>
    <n v="10.5"/>
    <n v="3"/>
    <n v="7"/>
    <s v="Yes"/>
    <s v="5-30 min"/>
    <n v="66"/>
    <n v="5.9"/>
    <n v="3.9"/>
    <n v="7.4"/>
    <n v="1.8"/>
    <s v="Yes"/>
    <s v="No"/>
    <n v="3.9"/>
    <n v="4"/>
    <n v="4.7"/>
    <n v="3.3"/>
    <n v="6.4"/>
    <m/>
    <n v="1.2"/>
    <m/>
    <n v="4.4000000000000004"/>
    <n v="0.5"/>
    <n v="7.7"/>
    <s v="Moderate"/>
    <x v="0"/>
  </r>
  <r>
    <x v="1435"/>
    <n v="29"/>
    <x v="1"/>
    <x v="0"/>
    <s v="Single"/>
    <x v="0"/>
    <n v="7.2"/>
    <n v="3"/>
    <n v="2"/>
    <s v="No"/>
    <s v="Within 5 min"/>
    <n v="24"/>
    <n v="5.6"/>
    <n v="2.4"/>
    <n v="2.8"/>
    <n v="5"/>
    <s v="No"/>
    <s v="Yes"/>
    <n v="2.1"/>
    <n v="4.5999999999999996"/>
    <n v="3.4"/>
    <n v="8.1999999999999993"/>
    <n v="6.9"/>
    <n v="6.5"/>
    <n v="3.3"/>
    <n v="7.7"/>
    <n v="4"/>
    <n v="3.4"/>
    <n v="8.1999999999999993"/>
    <s v="Low"/>
    <x v="0"/>
  </r>
  <r>
    <x v="1436"/>
    <n v="26"/>
    <x v="0"/>
    <x v="3"/>
    <s v="Single"/>
    <x v="3"/>
    <n v="7.8"/>
    <n v="3"/>
    <n v="3"/>
    <s v="No"/>
    <s v="5-30 min"/>
    <n v="14"/>
    <n v="2.5"/>
    <n v="7.5"/>
    <n v="5.0999999999999996"/>
    <n v="1.4"/>
    <s v="Yes"/>
    <s v="No"/>
    <n v="3.2"/>
    <n v="5.4"/>
    <n v="4.0999999999999996"/>
    <n v="5.9"/>
    <n v="8.8000000000000007"/>
    <n v="4.3"/>
    <n v="5.9"/>
    <n v="4.3"/>
    <n v="6"/>
    <n v="0"/>
    <n v="8.6999999999999993"/>
    <s v="Low"/>
    <x v="0"/>
  </r>
  <r>
    <x v="1437"/>
    <n v="44"/>
    <x v="0"/>
    <x v="4"/>
    <s v="Single"/>
    <x v="1"/>
    <n v="5.4"/>
    <n v="1"/>
    <n v="2"/>
    <s v="No"/>
    <s v="Within 5 min"/>
    <n v="50"/>
    <n v="2.1"/>
    <n v="3.8"/>
    <n v="3.1"/>
    <n v="4.3"/>
    <s v="No"/>
    <s v="No"/>
    <n v="6.5"/>
    <n v="5.9"/>
    <n v="5.4"/>
    <n v="6"/>
    <m/>
    <n v="4.7"/>
    <n v="8.3000000000000007"/>
    <n v="5"/>
    <n v="6"/>
    <n v="4.3"/>
    <n v="7.1"/>
    <s v="Moderate"/>
    <x v="2"/>
  </r>
  <r>
    <x v="1438"/>
    <n v="18"/>
    <x v="0"/>
    <x v="1"/>
    <s v="Single"/>
    <x v="1"/>
    <n v="5.4"/>
    <n v="3"/>
    <n v="4"/>
    <s v="Yes"/>
    <s v="After 30 min"/>
    <n v="22"/>
    <n v="4.5"/>
    <n v="5.3"/>
    <n v="0.6"/>
    <n v="3.7"/>
    <s v="Yes"/>
    <s v="No"/>
    <n v="4.9000000000000004"/>
    <n v="3"/>
    <n v="4.8"/>
    <n v="6.8"/>
    <n v="6.2"/>
    <n v="6.6"/>
    <n v="6.9"/>
    <n v="3.6"/>
    <n v="1.2"/>
    <n v="1.5"/>
    <n v="7.3"/>
    <s v="Low"/>
    <x v="1"/>
  </r>
  <r>
    <x v="1439"/>
    <n v="33"/>
    <x v="0"/>
    <x v="2"/>
    <s v="Single"/>
    <x v="1"/>
    <n v="2.4"/>
    <n v="3"/>
    <n v="3"/>
    <s v="No"/>
    <s v="After 30 min"/>
    <n v="69"/>
    <n v="5.8"/>
    <n v="2.2999999999999998"/>
    <n v="6.5"/>
    <n v="5.5"/>
    <s v="Yes"/>
    <s v="Yes"/>
    <n v="5.9"/>
    <n v="4.9000000000000004"/>
    <n v="6.7"/>
    <n v="10"/>
    <n v="3.7"/>
    <n v="5.0999999999999996"/>
    <n v="7.1"/>
    <n v="6.6"/>
    <n v="2.6"/>
    <n v="0.4"/>
    <n v="7.4"/>
    <s v="Low"/>
    <x v="0"/>
  </r>
  <r>
    <x v="1440"/>
    <n v="31"/>
    <x v="0"/>
    <x v="1"/>
    <s v="Married"/>
    <x v="1"/>
    <n v="4"/>
    <n v="1"/>
    <n v="5"/>
    <s v="Yes"/>
    <s v="Within 5 min"/>
    <n v="22"/>
    <n v="3.9"/>
    <n v="5"/>
    <n v="1.4"/>
    <n v="8"/>
    <s v="No"/>
    <s v="Yes"/>
    <n v="3.8"/>
    <n v="3.7"/>
    <n v="2.8"/>
    <n v="6.5"/>
    <n v="4.7"/>
    <n v="4.9000000000000004"/>
    <n v="2.8"/>
    <n v="7"/>
    <n v="1.4"/>
    <n v="5.3"/>
    <n v="5.7"/>
    <s v="Moderate"/>
    <x v="0"/>
  </r>
  <r>
    <x v="1441"/>
    <n v="28"/>
    <x v="1"/>
    <x v="1"/>
    <s v="In a Relationship"/>
    <x v="0"/>
    <n v="4.5999999999999996"/>
    <n v="2"/>
    <n v="5"/>
    <s v="Yes"/>
    <s v="5-30 min"/>
    <n v="43"/>
    <n v="4.2"/>
    <n v="7.8"/>
    <n v="0"/>
    <n v="4.3"/>
    <s v="Yes"/>
    <s v="Yes"/>
    <n v="0"/>
    <n v="5.6"/>
    <n v="3"/>
    <n v="4.8"/>
    <n v="7.2"/>
    <n v="7"/>
    <n v="4.3"/>
    <n v="1.4"/>
    <n v="0.1"/>
    <m/>
    <n v="8"/>
    <s v="Low"/>
    <x v="0"/>
  </r>
  <r>
    <x v="1442"/>
    <n v="36"/>
    <x v="1"/>
    <x v="1"/>
    <s v="Single"/>
    <x v="5"/>
    <n v="6"/>
    <n v="2"/>
    <n v="7"/>
    <s v="Yes"/>
    <s v="Within 5 min"/>
    <n v="129"/>
    <n v="8.4"/>
    <n v="4.7"/>
    <n v="3.5"/>
    <n v="8.1999999999999993"/>
    <s v="Yes"/>
    <s v="Yes"/>
    <n v="3.6"/>
    <n v="2.9"/>
    <n v="6.2"/>
    <n v="4.4000000000000004"/>
    <n v="5.8"/>
    <m/>
    <n v="7.8"/>
    <n v="4"/>
    <n v="2.2000000000000002"/>
    <n v="4.4000000000000004"/>
    <n v="3.9"/>
    <s v="Severe"/>
    <x v="2"/>
  </r>
  <r>
    <x v="1443"/>
    <n v="39"/>
    <x v="0"/>
    <x v="0"/>
    <s v="Single"/>
    <x v="1"/>
    <n v="3.4"/>
    <n v="8"/>
    <n v="4"/>
    <s v="Yes"/>
    <s v="5-30 min"/>
    <n v="11"/>
    <n v="6.6"/>
    <n v="2.1"/>
    <n v="8.9"/>
    <n v="4.3"/>
    <s v="Yes"/>
    <s v="Yes"/>
    <n v="2.9"/>
    <n v="7.2"/>
    <n v="4.5999999999999996"/>
    <n v="7.5"/>
    <n v="2.9"/>
    <n v="7.3"/>
    <n v="6.6"/>
    <n v="7.3"/>
    <n v="3.7"/>
    <n v="1.7"/>
    <n v="7.7"/>
    <s v="Moderate"/>
    <x v="2"/>
  </r>
  <r>
    <x v="1444"/>
    <n v="34"/>
    <x v="1"/>
    <x v="0"/>
    <s v="In a Relationship"/>
    <x v="1"/>
    <n v="2.7"/>
    <n v="2"/>
    <n v="6"/>
    <s v="Yes"/>
    <s v="After 30 min"/>
    <n v="56"/>
    <n v="7.8"/>
    <n v="8"/>
    <n v="3.3"/>
    <n v="3.9"/>
    <s v="No"/>
    <s v="Yes"/>
    <n v="4.3"/>
    <n v="1.4"/>
    <n v="4.4000000000000004"/>
    <n v="4.5999999999999996"/>
    <n v="4.3"/>
    <n v="4.8"/>
    <n v="8.1"/>
    <n v="3.1"/>
    <n v="1.4"/>
    <n v="3.4"/>
    <n v="6.4"/>
    <s v="Moderate"/>
    <x v="0"/>
  </r>
  <r>
    <x v="1445"/>
    <n v="40"/>
    <x v="0"/>
    <x v="4"/>
    <s v="Single"/>
    <x v="4"/>
    <n v="7.1"/>
    <n v="1"/>
    <n v="4"/>
    <s v="Yes"/>
    <s v="Within 5 min"/>
    <n v="80"/>
    <n v="5.0999999999999996"/>
    <n v="2.9"/>
    <n v="4.8"/>
    <n v="5.8"/>
    <s v="Yes"/>
    <s v="No"/>
    <n v="8.5"/>
    <n v="3.3"/>
    <n v="1.5"/>
    <n v="6.4"/>
    <n v="2.7"/>
    <n v="8.1"/>
    <n v="7.3"/>
    <n v="6.2"/>
    <n v="4.0999999999999996"/>
    <n v="1.9"/>
    <n v="6.8"/>
    <s v="Moderate"/>
    <x v="2"/>
  </r>
  <r>
    <x v="1446"/>
    <n v="17"/>
    <x v="1"/>
    <x v="2"/>
    <s v="Single"/>
    <x v="1"/>
    <n v="4.8"/>
    <n v="1"/>
    <n v="2"/>
    <s v="No"/>
    <s v="Within 5 min"/>
    <n v="27"/>
    <n v="4.5"/>
    <n v="4.9000000000000004"/>
    <m/>
    <n v="4.5999999999999996"/>
    <s v="Yes"/>
    <s v="No"/>
    <n v="9.1999999999999993"/>
    <n v="2.9"/>
    <n v="0.1"/>
    <n v="5"/>
    <n v="3.1"/>
    <n v="6.5"/>
    <n v="6.2"/>
    <n v="4.7"/>
    <n v="2.1"/>
    <n v="0"/>
    <n v="5.8"/>
    <s v="Moderate"/>
    <x v="3"/>
  </r>
  <r>
    <x v="1447"/>
    <n v="35"/>
    <x v="1"/>
    <x v="1"/>
    <s v="Married"/>
    <x v="0"/>
    <n v="6.6"/>
    <n v="5"/>
    <n v="2"/>
    <s v="Yes"/>
    <s v="5-30 min"/>
    <n v="61"/>
    <n v="4.5999999999999996"/>
    <n v="6.3"/>
    <n v="6.7"/>
    <n v="5.8"/>
    <s v="Yes"/>
    <s v="Yes"/>
    <n v="7.7"/>
    <n v="2.6"/>
    <n v="6.2"/>
    <n v="4.5"/>
    <n v="6.4"/>
    <n v="9.3000000000000007"/>
    <n v="7.9"/>
    <n v="5.7"/>
    <n v="3"/>
    <n v="1.1000000000000001"/>
    <n v="4.4000000000000004"/>
    <s v="Severe"/>
    <x v="4"/>
  </r>
  <r>
    <x v="1448"/>
    <n v="25"/>
    <x v="1"/>
    <x v="2"/>
    <s v="Single"/>
    <x v="5"/>
    <n v="4.8"/>
    <n v="6"/>
    <n v="4"/>
    <s v="Yes"/>
    <s v="Within 5 min"/>
    <n v="5"/>
    <n v="7.6"/>
    <n v="6.9"/>
    <n v="7.6"/>
    <n v="6"/>
    <s v="Yes"/>
    <s v="Yes"/>
    <n v="5.4"/>
    <n v="5.8"/>
    <n v="5.6"/>
    <n v="3.1"/>
    <n v="6.8"/>
    <n v="8.1"/>
    <n v="1.2"/>
    <n v="6.1"/>
    <n v="3.7"/>
    <n v="2.4"/>
    <n v="4.4000000000000004"/>
    <s v="Severe"/>
    <x v="0"/>
  </r>
  <r>
    <x v="1449"/>
    <n v="42"/>
    <x v="0"/>
    <x v="3"/>
    <s v="Married"/>
    <x v="0"/>
    <n v="3.2"/>
    <n v="4"/>
    <n v="5"/>
    <s v="Yes"/>
    <s v="Within 5 min"/>
    <n v="32"/>
    <n v="6.2"/>
    <n v="5.6"/>
    <n v="5.9"/>
    <n v="2.4"/>
    <m/>
    <s v="No"/>
    <n v="3.9"/>
    <n v="3.5"/>
    <n v="4.9000000000000004"/>
    <n v="7.7"/>
    <n v="4.9000000000000004"/>
    <n v="8.4"/>
    <n v="5.0999999999999996"/>
    <n v="5.8"/>
    <n v="8.6"/>
    <n v="7.3"/>
    <n v="7.6"/>
    <s v="Moderate"/>
    <x v="2"/>
  </r>
  <r>
    <x v="1450"/>
    <n v="40"/>
    <x v="0"/>
    <x v="1"/>
    <s v="In a Relationship"/>
    <x v="0"/>
    <n v="4.5"/>
    <n v="1"/>
    <n v="3"/>
    <s v="Yes"/>
    <s v="Within 5 min"/>
    <n v="76"/>
    <n v="6.5"/>
    <n v="5.3"/>
    <n v="5.8"/>
    <n v="7.2"/>
    <m/>
    <s v="No"/>
    <n v="5.2"/>
    <n v="5"/>
    <n v="8.3000000000000007"/>
    <n v="4.4000000000000004"/>
    <m/>
    <n v="8.3000000000000007"/>
    <m/>
    <n v="3.8"/>
    <n v="3.8"/>
    <n v="4.4000000000000004"/>
    <n v="5.7"/>
    <s v="High"/>
    <x v="2"/>
  </r>
  <r>
    <x v="1451"/>
    <n v="36"/>
    <x v="0"/>
    <x v="1"/>
    <m/>
    <x v="2"/>
    <n v="0.5"/>
    <n v="5"/>
    <n v="2"/>
    <s v="No"/>
    <s v="After 30 min"/>
    <n v="75"/>
    <n v="6.8"/>
    <n v="4.9000000000000004"/>
    <n v="8.1"/>
    <n v="4.5999999999999996"/>
    <s v="Yes"/>
    <s v="No"/>
    <n v="1.4"/>
    <n v="6.1"/>
    <n v="3.8"/>
    <n v="4.9000000000000004"/>
    <n v="7.4"/>
    <n v="4.2"/>
    <n v="2.8"/>
    <n v="7.2"/>
    <n v="3.9"/>
    <n v="2.2999999999999998"/>
    <n v="8.6"/>
    <s v="Low"/>
    <x v="2"/>
  </r>
  <r>
    <x v="1452"/>
    <n v="32"/>
    <x v="0"/>
    <x v="1"/>
    <s v="Single"/>
    <x v="1"/>
    <n v="6.7"/>
    <n v="2"/>
    <n v="2"/>
    <s v="No"/>
    <s v="5-30 min"/>
    <n v="53"/>
    <n v="7"/>
    <n v="3.9"/>
    <n v="4.5999999999999996"/>
    <n v="7.1"/>
    <s v="No"/>
    <s v="No"/>
    <n v="7.6"/>
    <n v="3.8"/>
    <n v="2.4"/>
    <n v="6.5"/>
    <n v="6.6"/>
    <n v="7.3"/>
    <n v="7.4"/>
    <n v="5.6"/>
    <n v="2"/>
    <n v="2.2000000000000002"/>
    <n v="6.6"/>
    <s v="Moderate"/>
    <x v="0"/>
  </r>
  <r>
    <x v="1453"/>
    <n v="22"/>
    <x v="1"/>
    <x v="0"/>
    <s v="Married"/>
    <x v="5"/>
    <n v="5.7"/>
    <n v="2"/>
    <n v="10"/>
    <s v="Yes"/>
    <s v="Within 5 min"/>
    <n v="74"/>
    <n v="7.4"/>
    <n v="8.4"/>
    <n v="7.4"/>
    <n v="6.5"/>
    <s v="No"/>
    <s v="Yes"/>
    <n v="6.4"/>
    <n v="5.8"/>
    <n v="2.2999999999999998"/>
    <m/>
    <n v="8.6"/>
    <n v="8.1999999999999993"/>
    <n v="5.5"/>
    <n v="5.8"/>
    <n v="0"/>
    <n v="2.2999999999999998"/>
    <n v="3"/>
    <s v="Severe"/>
    <x v="1"/>
  </r>
  <r>
    <x v="1454"/>
    <n v="37"/>
    <x v="2"/>
    <x v="1"/>
    <s v="In a Relationship"/>
    <x v="3"/>
    <n v="7.1"/>
    <n v="2"/>
    <n v="2"/>
    <s v="No"/>
    <s v="Within 5 min"/>
    <n v="51"/>
    <n v="10"/>
    <n v="7.4"/>
    <n v="3.1"/>
    <n v="4.3"/>
    <s v="Yes"/>
    <s v="Yes"/>
    <n v="2.4"/>
    <n v="3.6"/>
    <n v="4.7"/>
    <n v="4.7"/>
    <n v="4.3"/>
    <n v="3.7"/>
    <n v="5.8"/>
    <n v="4.0999999999999996"/>
    <n v="3.6"/>
    <n v="5.3"/>
    <n v="4.9000000000000004"/>
    <s v="Severe"/>
    <x v="2"/>
  </r>
  <r>
    <x v="1455"/>
    <n v="21"/>
    <x v="0"/>
    <x v="2"/>
    <s v="Single"/>
    <x v="5"/>
    <n v="4"/>
    <n v="6"/>
    <n v="6"/>
    <s v="No"/>
    <s v="Within 5 min"/>
    <n v="5"/>
    <n v="1.6"/>
    <n v="2.9"/>
    <n v="4.5"/>
    <n v="2.2999999999999998"/>
    <s v="No"/>
    <s v="No"/>
    <n v="4.3"/>
    <n v="5.4"/>
    <n v="5"/>
    <n v="5.8"/>
    <n v="5.9"/>
    <n v="6.6"/>
    <n v="2.9"/>
    <m/>
    <n v="1.3"/>
    <n v="1.6"/>
    <n v="8.9"/>
    <s v="Low"/>
    <x v="1"/>
  </r>
  <r>
    <x v="1456"/>
    <n v="30"/>
    <x v="1"/>
    <x v="1"/>
    <s v="Single"/>
    <x v="4"/>
    <n v="8.8000000000000007"/>
    <n v="6"/>
    <n v="5"/>
    <s v="No"/>
    <s v="Within 5 min"/>
    <n v="80"/>
    <n v="4.8"/>
    <n v="5.6"/>
    <m/>
    <n v="7.6"/>
    <s v="Yes"/>
    <s v="Yes"/>
    <n v="2"/>
    <n v="3.5"/>
    <n v="6.8"/>
    <n v="7.8"/>
    <n v="2.9"/>
    <n v="5"/>
    <n v="3.5"/>
    <n v="6.5"/>
    <n v="1.3"/>
    <n v="3.3"/>
    <n v="4.2"/>
    <s v="Severe"/>
    <x v="0"/>
  </r>
  <r>
    <x v="1457"/>
    <n v="43"/>
    <x v="0"/>
    <x v="3"/>
    <s v="In a Relationship"/>
    <x v="0"/>
    <n v="7.2"/>
    <n v="6"/>
    <n v="3"/>
    <s v="Yes"/>
    <s v="After 30 min"/>
    <n v="96"/>
    <n v="5.6"/>
    <n v="4.7"/>
    <n v="4.7"/>
    <n v="4"/>
    <s v="No"/>
    <s v="Yes"/>
    <n v="5.0999999999999996"/>
    <n v="4.4000000000000004"/>
    <n v="4.0999999999999996"/>
    <m/>
    <n v="5.8"/>
    <n v="6.6"/>
    <n v="6.1"/>
    <n v="6.6"/>
    <n v="1.3"/>
    <n v="1.1000000000000001"/>
    <n v="6.3"/>
    <s v="Moderate"/>
    <x v="2"/>
  </r>
  <r>
    <x v="1458"/>
    <n v="42"/>
    <x v="2"/>
    <x v="1"/>
    <s v="Single"/>
    <x v="3"/>
    <n v="0.7"/>
    <n v="2"/>
    <n v="2"/>
    <s v="No"/>
    <s v="Within 5 min"/>
    <n v="54"/>
    <n v="4.8"/>
    <n v="4.2"/>
    <n v="3.7"/>
    <n v="0"/>
    <s v="No"/>
    <s v="Yes"/>
    <n v="0.3"/>
    <n v="3.2"/>
    <n v="2.7"/>
    <n v="5.9"/>
    <n v="4.0999999999999996"/>
    <n v="7.6"/>
    <n v="8.9"/>
    <n v="1.2"/>
    <n v="1.2"/>
    <n v="3.2"/>
    <n v="7.2"/>
    <s v="Low"/>
    <x v="2"/>
  </r>
  <r>
    <x v="1459"/>
    <n v="18"/>
    <x v="0"/>
    <x v="1"/>
    <s v="Single"/>
    <x v="1"/>
    <n v="0.7"/>
    <n v="3"/>
    <n v="7"/>
    <s v="No"/>
    <s v="5-30 min"/>
    <n v="98"/>
    <n v="5.8"/>
    <n v="5.0999999999999996"/>
    <n v="6.4"/>
    <n v="7.2"/>
    <s v="Yes"/>
    <s v="No"/>
    <n v="7.2"/>
    <n v="8"/>
    <n v="4.8"/>
    <n v="3.9"/>
    <n v="6.6"/>
    <n v="5.6"/>
    <n v="5.2"/>
    <n v="7.9"/>
    <m/>
    <n v="4"/>
    <n v="7.3"/>
    <s v="Low"/>
    <x v="1"/>
  </r>
  <r>
    <x v="1460"/>
    <n v="28"/>
    <x v="0"/>
    <x v="0"/>
    <s v="In a Relationship"/>
    <x v="5"/>
    <n v="5.0999999999999996"/>
    <n v="5"/>
    <n v="0"/>
    <s v="No"/>
    <s v="5-30 min"/>
    <n v="19"/>
    <n v="7"/>
    <n v="5.4"/>
    <n v="4.4000000000000004"/>
    <n v="4"/>
    <s v="No"/>
    <s v="Yes"/>
    <n v="4"/>
    <n v="2.4"/>
    <n v="6.4"/>
    <n v="1.6"/>
    <n v="4.5"/>
    <n v="5.2"/>
    <n v="1.6"/>
    <n v="4.0999999999999996"/>
    <n v="6.3"/>
    <n v="3.7"/>
    <n v="6.2"/>
    <s v="Moderate"/>
    <x v="0"/>
  </r>
  <r>
    <x v="1461"/>
    <n v="24"/>
    <x v="0"/>
    <x v="0"/>
    <s v="Single"/>
    <x v="1"/>
    <n v="1.5"/>
    <n v="4"/>
    <n v="3"/>
    <s v="No"/>
    <s v="Within 5 min"/>
    <n v="67"/>
    <n v="7.6"/>
    <n v="5.9"/>
    <n v="5.5"/>
    <n v="6.5"/>
    <s v="No"/>
    <s v="No"/>
    <m/>
    <n v="0.4"/>
    <n v="7.8"/>
    <n v="9.5"/>
    <m/>
    <n v="3"/>
    <n v="0.8"/>
    <m/>
    <n v="4.4000000000000004"/>
    <n v="4.5999999999999996"/>
    <n v="6.4"/>
    <s v="Moderate"/>
    <x v="1"/>
  </r>
  <r>
    <x v="1462"/>
    <n v="40"/>
    <x v="0"/>
    <x v="1"/>
    <s v="In a Relationship"/>
    <x v="0"/>
    <n v="4.2"/>
    <n v="6"/>
    <n v="1"/>
    <s v="No"/>
    <s v="Within 5 min"/>
    <n v="48"/>
    <n v="6.8"/>
    <n v="9.1999999999999993"/>
    <n v="8.6999999999999993"/>
    <n v="5.0999999999999996"/>
    <s v="Yes"/>
    <s v="Yes"/>
    <n v="6.3"/>
    <n v="9.6"/>
    <n v="0"/>
    <n v="8.8000000000000007"/>
    <n v="4.7"/>
    <n v="7"/>
    <n v="1.2"/>
    <n v="5.3"/>
    <n v="1.1000000000000001"/>
    <n v="2.5"/>
    <n v="4.7"/>
    <s v="Severe"/>
    <x v="2"/>
  </r>
  <r>
    <x v="1463"/>
    <n v="29"/>
    <x v="0"/>
    <x v="1"/>
    <s v="In a Relationship"/>
    <x v="2"/>
    <n v="4.0999999999999996"/>
    <n v="3"/>
    <n v="2"/>
    <s v="No"/>
    <s v="Within 5 min"/>
    <n v="9"/>
    <n v="4"/>
    <n v="3.2"/>
    <n v="7.5"/>
    <n v="7.6"/>
    <s v="Yes"/>
    <s v="Yes"/>
    <n v="4.2"/>
    <n v="0.7"/>
    <n v="3.7"/>
    <n v="5.6"/>
    <n v="6.4"/>
    <n v="3.4"/>
    <n v="5.4"/>
    <n v="7"/>
    <n v="3.2"/>
    <n v="5.3"/>
    <n v="8"/>
    <s v="Low"/>
    <x v="0"/>
  </r>
  <r>
    <x v="1464"/>
    <n v="28"/>
    <x v="2"/>
    <x v="1"/>
    <s v="Married"/>
    <x v="1"/>
    <n v="3.8"/>
    <n v="4"/>
    <n v="1"/>
    <s v="No"/>
    <s v="After 30 min"/>
    <n v="45"/>
    <n v="9"/>
    <n v="8"/>
    <n v="7.2"/>
    <n v="3.8"/>
    <s v="Yes"/>
    <s v="No"/>
    <n v="4.5999999999999996"/>
    <n v="1.7"/>
    <n v="3.4"/>
    <n v="7.5"/>
    <n v="3.5"/>
    <n v="7"/>
    <m/>
    <n v="6.9"/>
    <n v="2.2999999999999998"/>
    <n v="3.6"/>
    <n v="7.6"/>
    <s v="Low"/>
    <x v="0"/>
  </r>
  <r>
    <x v="1465"/>
    <n v="24"/>
    <x v="3"/>
    <x v="1"/>
    <s v="In a Relationship"/>
    <x v="2"/>
    <n v="7.8"/>
    <n v="6"/>
    <n v="2"/>
    <s v="Yes"/>
    <s v="5-30 min"/>
    <n v="103"/>
    <n v="7.5"/>
    <n v="5.4"/>
    <n v="8.5"/>
    <n v="5.7"/>
    <s v="Yes"/>
    <s v="Yes"/>
    <n v="6.1"/>
    <n v="2.8"/>
    <n v="6.6"/>
    <n v="2"/>
    <n v="5.7"/>
    <n v="9"/>
    <n v="1.5"/>
    <n v="5"/>
    <n v="1.4"/>
    <n v="4.9000000000000004"/>
    <n v="4.4000000000000004"/>
    <s v="Severe"/>
    <x v="1"/>
  </r>
  <r>
    <x v="1466"/>
    <n v="23"/>
    <x v="0"/>
    <x v="0"/>
    <s v="In a Relationship"/>
    <x v="5"/>
    <n v="5.8"/>
    <n v="2"/>
    <n v="1"/>
    <s v="No"/>
    <s v="Within 5 min"/>
    <n v="98"/>
    <n v="3.7"/>
    <n v="5.5"/>
    <n v="1.3"/>
    <n v="7.1"/>
    <s v="Yes"/>
    <s v="No"/>
    <n v="6.7"/>
    <n v="4.0999999999999996"/>
    <n v="3.6"/>
    <n v="6.6"/>
    <m/>
    <n v="7.4"/>
    <n v="2.4"/>
    <n v="3.9"/>
    <m/>
    <n v="3.8"/>
    <n v="6.8"/>
    <s v="Moderate"/>
    <x v="1"/>
  </r>
  <r>
    <x v="1467"/>
    <n v="23"/>
    <x v="1"/>
    <x v="0"/>
    <s v="Single"/>
    <x v="0"/>
    <n v="5.9"/>
    <n v="4"/>
    <n v="6"/>
    <s v="Yes"/>
    <s v="After 30 min"/>
    <n v="63"/>
    <n v="6.6"/>
    <n v="5.2"/>
    <n v="7.5"/>
    <n v="6.1"/>
    <s v="No"/>
    <s v="Yes"/>
    <n v="7.7"/>
    <n v="6.3"/>
    <m/>
    <n v="6"/>
    <n v="5.3"/>
    <n v="5"/>
    <n v="6.8"/>
    <n v="7.3"/>
    <n v="2.7"/>
    <n v="3.3"/>
    <n v="5.8"/>
    <s v="High"/>
    <x v="1"/>
  </r>
  <r>
    <x v="1468"/>
    <n v="21"/>
    <x v="1"/>
    <x v="1"/>
    <s v="Single"/>
    <x v="2"/>
    <n v="5"/>
    <n v="3"/>
    <n v="3"/>
    <s v="Yes"/>
    <s v="5-30 min"/>
    <n v="5"/>
    <n v="8.6"/>
    <n v="2.9"/>
    <n v="4.3"/>
    <n v="8.3000000000000007"/>
    <s v="Yes"/>
    <s v="No"/>
    <n v="1.7"/>
    <n v="3.7"/>
    <n v="5.4"/>
    <n v="6.4"/>
    <n v="4.5999999999999996"/>
    <n v="5.0999999999999996"/>
    <n v="6.1"/>
    <n v="7.8"/>
    <n v="4.5999999999999996"/>
    <n v="5.2"/>
    <n v="7.5"/>
    <s v="Low"/>
    <x v="1"/>
  </r>
  <r>
    <x v="1469"/>
    <n v="35"/>
    <x v="0"/>
    <x v="1"/>
    <s v="Single"/>
    <x v="1"/>
    <n v="11"/>
    <n v="4"/>
    <n v="7"/>
    <s v="Yes"/>
    <s v="Within 5 min"/>
    <n v="18"/>
    <n v="5.6"/>
    <n v="8.1"/>
    <n v="3.7"/>
    <n v="2.5"/>
    <s v="No"/>
    <s v="No"/>
    <n v="9.9"/>
    <n v="2.1"/>
    <n v="7.2"/>
    <n v="5"/>
    <n v="7.7"/>
    <n v="8.8000000000000007"/>
    <n v="5"/>
    <n v="5.3"/>
    <n v="6.7"/>
    <n v="0"/>
    <n v="4.7"/>
    <s v="Severe"/>
    <x v="4"/>
  </r>
  <r>
    <x v="1470"/>
    <n v="22"/>
    <x v="2"/>
    <x v="2"/>
    <s v="In a Relationship"/>
    <x v="1"/>
    <n v="7.4"/>
    <n v="2"/>
    <n v="2"/>
    <s v="Yes"/>
    <s v="Within 5 min"/>
    <n v="43"/>
    <n v="6.8"/>
    <n v="6"/>
    <n v="2.6"/>
    <n v="3.7"/>
    <s v="Yes"/>
    <s v="Yes"/>
    <n v="7.5"/>
    <n v="4.2"/>
    <n v="4.0999999999999996"/>
    <n v="2"/>
    <n v="6.5"/>
    <n v="5"/>
    <n v="5"/>
    <n v="7.7"/>
    <n v="6.3"/>
    <n v="0"/>
    <n v="4.9000000000000004"/>
    <s v="Severe"/>
    <x v="1"/>
  </r>
  <r>
    <x v="1471"/>
    <n v="35"/>
    <x v="0"/>
    <x v="1"/>
    <s v="In a Relationship"/>
    <x v="0"/>
    <n v="3"/>
    <n v="2"/>
    <n v="3"/>
    <s v="Yes"/>
    <s v="Within 5 min"/>
    <n v="93"/>
    <n v="9.9"/>
    <n v="6.7"/>
    <n v="7.9"/>
    <n v="7"/>
    <s v="Yes"/>
    <s v="Yes"/>
    <n v="5.2"/>
    <n v="2.8"/>
    <n v="5.2"/>
    <n v="6.1"/>
    <n v="5.7"/>
    <n v="6.4"/>
    <n v="4.8"/>
    <n v="6.8"/>
    <n v="6.7"/>
    <n v="1.8"/>
    <n v="5.0999999999999996"/>
    <s v="Severe"/>
    <x v="4"/>
  </r>
  <r>
    <x v="1472"/>
    <n v="23"/>
    <x v="1"/>
    <x v="0"/>
    <s v="Single"/>
    <x v="0"/>
    <n v="5.7"/>
    <n v="7"/>
    <n v="2"/>
    <s v="Yes"/>
    <s v="Within 5 min"/>
    <n v="78"/>
    <n v="4.8"/>
    <n v="5.5"/>
    <n v="3.3"/>
    <n v="7"/>
    <s v="Yes"/>
    <s v="Yes"/>
    <n v="9.3000000000000007"/>
    <n v="2.7"/>
    <n v="5.2"/>
    <n v="7.7"/>
    <n v="6.2"/>
    <n v="6.9"/>
    <n v="9.5"/>
    <n v="9.3000000000000007"/>
    <n v="3.3"/>
    <n v="0.5"/>
    <n v="4.8"/>
    <s v="Severe"/>
    <x v="1"/>
  </r>
  <r>
    <x v="1473"/>
    <n v="31"/>
    <x v="0"/>
    <x v="1"/>
    <s v="Single"/>
    <x v="2"/>
    <n v="2.9"/>
    <n v="1"/>
    <n v="1"/>
    <s v="Yes"/>
    <s v="Within 5 min"/>
    <n v="34"/>
    <n v="5.8"/>
    <n v="7"/>
    <n v="5.8"/>
    <n v="4.2"/>
    <s v="Yes"/>
    <s v="No"/>
    <n v="7.1"/>
    <m/>
    <n v="7"/>
    <n v="3.5"/>
    <n v="9.5"/>
    <n v="5.5"/>
    <n v="7.5"/>
    <n v="4.8"/>
    <n v="2.1"/>
    <n v="4.2"/>
    <n v="7.3"/>
    <s v="Moderate"/>
    <x v="0"/>
  </r>
  <r>
    <x v="1474"/>
    <n v="15"/>
    <x v="1"/>
    <x v="1"/>
    <s v="In a Relationship"/>
    <x v="0"/>
    <n v="4.0999999999999996"/>
    <n v="4"/>
    <n v="3"/>
    <s v="No"/>
    <s v="After 30 min"/>
    <n v="111"/>
    <n v="2.5"/>
    <n v="5.2"/>
    <n v="5.2"/>
    <n v="5.0999999999999996"/>
    <s v="Yes"/>
    <s v="No"/>
    <n v="3.3"/>
    <n v="4.5999999999999996"/>
    <n v="4.4000000000000004"/>
    <n v="5.5"/>
    <n v="5.6"/>
    <n v="6.8"/>
    <m/>
    <n v="4.4000000000000004"/>
    <n v="1.9"/>
    <n v="0.8"/>
    <n v="8.1"/>
    <s v="Low"/>
    <x v="3"/>
  </r>
  <r>
    <x v="1475"/>
    <n v="40"/>
    <x v="2"/>
    <x v="0"/>
    <s v="Married"/>
    <x v="1"/>
    <n v="4.3"/>
    <n v="2"/>
    <n v="3"/>
    <s v="No"/>
    <s v="After 30 min"/>
    <n v="54"/>
    <n v="8.1"/>
    <n v="4.5999999999999996"/>
    <n v="7.4"/>
    <n v="7.3"/>
    <m/>
    <s v="Yes"/>
    <n v="6.3"/>
    <n v="8.9"/>
    <m/>
    <n v="4.7"/>
    <n v="7.7"/>
    <n v="7.8"/>
    <n v="7.9"/>
    <n v="4.0999999999999996"/>
    <n v="4"/>
    <n v="2.7"/>
    <n v="5.3"/>
    <s v="Severe"/>
    <x v="2"/>
  </r>
  <r>
    <x v="1476"/>
    <n v="18"/>
    <x v="1"/>
    <x v="1"/>
    <s v="Married"/>
    <x v="1"/>
    <n v="1.5"/>
    <n v="1"/>
    <n v="7"/>
    <s v="Yes"/>
    <s v="After 30 min"/>
    <n v="49"/>
    <n v="5.8"/>
    <n v="2.9"/>
    <n v="3.1"/>
    <n v="5"/>
    <s v="Yes"/>
    <s v="Yes"/>
    <n v="1.1000000000000001"/>
    <n v="0"/>
    <n v="3.1"/>
    <n v="9.6999999999999993"/>
    <n v="6.5"/>
    <n v="6.7"/>
    <n v="3.6"/>
    <n v="5.3"/>
    <n v="3.4"/>
    <n v="1.3"/>
    <n v="8.1999999999999993"/>
    <s v="Low"/>
    <x v="1"/>
  </r>
  <r>
    <x v="1477"/>
    <n v="36"/>
    <x v="0"/>
    <x v="0"/>
    <s v="In a Relationship"/>
    <x v="3"/>
    <n v="0.5"/>
    <n v="1"/>
    <n v="5"/>
    <s v="No"/>
    <s v="5-30 min"/>
    <n v="17"/>
    <n v="7"/>
    <n v="5.5"/>
    <n v="3.9"/>
    <n v="6.5"/>
    <s v="Yes"/>
    <s v="Yes"/>
    <n v="3.3"/>
    <n v="7.8"/>
    <n v="3.7"/>
    <n v="6"/>
    <n v="5.7"/>
    <n v="6.9"/>
    <n v="4.0999999999999996"/>
    <n v="9"/>
    <n v="3.3"/>
    <n v="5.9"/>
    <n v="8.9"/>
    <s v="Low"/>
    <x v="2"/>
  </r>
  <r>
    <x v="1478"/>
    <n v="20"/>
    <x v="1"/>
    <x v="1"/>
    <s v="Single"/>
    <x v="3"/>
    <n v="1.9"/>
    <n v="1"/>
    <n v="3"/>
    <s v="No"/>
    <s v="After 30 min"/>
    <n v="47"/>
    <n v="6"/>
    <n v="8.5"/>
    <n v="4.3"/>
    <n v="5.9"/>
    <s v="Yes"/>
    <s v="No"/>
    <n v="1.5"/>
    <n v="7.2"/>
    <n v="6.9"/>
    <n v="4.7"/>
    <m/>
    <n v="7.7"/>
    <n v="0.9"/>
    <n v="5.2"/>
    <n v="5.0999999999999996"/>
    <n v="3.8"/>
    <n v="6.5"/>
    <s v="Low"/>
    <x v="1"/>
  </r>
  <r>
    <x v="1479"/>
    <n v="38"/>
    <x v="1"/>
    <x v="1"/>
    <s v="Single"/>
    <x v="5"/>
    <n v="5.7"/>
    <n v="2"/>
    <n v="6"/>
    <s v="Yes"/>
    <s v="Within 5 min"/>
    <n v="28"/>
    <n v="0"/>
    <n v="9.9"/>
    <n v="5.5"/>
    <n v="6.9"/>
    <s v="No"/>
    <s v="No"/>
    <n v="3.8"/>
    <n v="2.8"/>
    <n v="6.1"/>
    <n v="6.5"/>
    <n v="4.3"/>
    <n v="5.7"/>
    <n v="0.8"/>
    <n v="10"/>
    <n v="0.1"/>
    <n v="2.1"/>
    <n v="6.2"/>
    <s v="Moderate"/>
    <x v="2"/>
  </r>
  <r>
    <x v="1480"/>
    <n v="16"/>
    <x v="0"/>
    <x v="0"/>
    <s v="In a Relationship"/>
    <x v="4"/>
    <n v="0.5"/>
    <n v="6"/>
    <n v="0"/>
    <s v="Yes"/>
    <s v="Within 5 min"/>
    <n v="76"/>
    <n v="8.3000000000000007"/>
    <n v="1.5"/>
    <n v="5.5"/>
    <n v="5.3"/>
    <s v="No"/>
    <s v="Yes"/>
    <n v="4.7"/>
    <n v="4.9000000000000004"/>
    <n v="7.5"/>
    <n v="6.8"/>
    <n v="6.8"/>
    <n v="3.9"/>
    <m/>
    <n v="5.9"/>
    <n v="4"/>
    <n v="5.3"/>
    <n v="6"/>
    <s v="High"/>
    <x v="3"/>
  </r>
  <r>
    <x v="1481"/>
    <n v="23"/>
    <x v="1"/>
    <x v="0"/>
    <s v="In a Relationship"/>
    <x v="5"/>
    <n v="5.8"/>
    <n v="3"/>
    <n v="5"/>
    <s v="Yes"/>
    <s v="After 30 min"/>
    <n v="72"/>
    <n v="6.8"/>
    <n v="5.2"/>
    <n v="5.8"/>
    <n v="1.3"/>
    <s v="Yes"/>
    <s v="No"/>
    <n v="5"/>
    <n v="2.6"/>
    <n v="6.2"/>
    <n v="4"/>
    <n v="6.8"/>
    <m/>
    <n v="4.5999999999999996"/>
    <n v="5.8"/>
    <n v="4.8"/>
    <n v="2.9"/>
    <n v="7.6"/>
    <s v="Low"/>
    <x v="1"/>
  </r>
  <r>
    <x v="1482"/>
    <n v="44"/>
    <x v="0"/>
    <x v="1"/>
    <s v="Single"/>
    <x v="0"/>
    <n v="0.5"/>
    <n v="5"/>
    <n v="3"/>
    <s v="No"/>
    <s v="After 30 min"/>
    <n v="14"/>
    <n v="4.8"/>
    <n v="5.4"/>
    <n v="6.4"/>
    <n v="5.7"/>
    <s v="No"/>
    <s v="No"/>
    <n v="6.4"/>
    <n v="6"/>
    <n v="6.4"/>
    <n v="7.4"/>
    <m/>
    <n v="5.6"/>
    <n v="5.3"/>
    <n v="5.4"/>
    <n v="1"/>
    <n v="2.8"/>
    <n v="7.6"/>
    <s v="Low"/>
    <x v="2"/>
  </r>
  <r>
    <x v="1483"/>
    <n v="28"/>
    <x v="1"/>
    <x v="0"/>
    <m/>
    <x v="3"/>
    <n v="2.8"/>
    <n v="5"/>
    <n v="2"/>
    <s v="Yes"/>
    <s v="5-30 min"/>
    <n v="30"/>
    <n v="6.9"/>
    <n v="5.8"/>
    <n v="5.0999999999999996"/>
    <n v="4"/>
    <s v="Yes"/>
    <s v="Yes"/>
    <n v="7.9"/>
    <n v="3.1"/>
    <n v="5.3"/>
    <n v="2.7"/>
    <n v="5.6"/>
    <n v="5.6"/>
    <n v="4.8"/>
    <m/>
    <m/>
    <n v="3.7"/>
    <n v="5.5"/>
    <s v="Severe"/>
    <x v="0"/>
  </r>
  <r>
    <x v="1484"/>
    <n v="30"/>
    <x v="0"/>
    <x v="4"/>
    <s v="Married"/>
    <x v="1"/>
    <n v="3.3"/>
    <n v="3"/>
    <n v="2"/>
    <s v="No"/>
    <s v="Within 5 min"/>
    <n v="40"/>
    <n v="3.9"/>
    <n v="6.2"/>
    <n v="6.8"/>
    <n v="7.9"/>
    <s v="Yes"/>
    <s v="Yes"/>
    <n v="5"/>
    <n v="2.7"/>
    <n v="3.2"/>
    <n v="3.8"/>
    <n v="3.2"/>
    <n v="5.8"/>
    <n v="3.1"/>
    <n v="3"/>
    <n v="2.5"/>
    <n v="4.5999999999999996"/>
    <n v="5.5"/>
    <s v="High"/>
    <x v="0"/>
  </r>
  <r>
    <x v="1485"/>
    <n v="39"/>
    <x v="3"/>
    <x v="3"/>
    <s v="Single"/>
    <x v="3"/>
    <n v="6.1"/>
    <n v="5"/>
    <n v="2"/>
    <s v="Yes"/>
    <s v="5-30 min"/>
    <n v="16"/>
    <n v="10"/>
    <n v="4.7"/>
    <n v="2.7"/>
    <n v="10"/>
    <s v="No"/>
    <s v="No"/>
    <n v="6.8"/>
    <n v="3.9"/>
    <n v="6.3"/>
    <m/>
    <n v="4.8"/>
    <n v="6.8"/>
    <n v="3.4"/>
    <n v="4.2"/>
    <n v="3.5"/>
    <n v="1.7"/>
    <n v="5.3"/>
    <s v="High"/>
    <x v="2"/>
  </r>
  <r>
    <x v="1486"/>
    <n v="29"/>
    <x v="1"/>
    <x v="0"/>
    <s v="In a Relationship"/>
    <x v="1"/>
    <n v="4.5"/>
    <n v="3"/>
    <n v="6"/>
    <s v="Yes"/>
    <s v="After 30 min"/>
    <n v="60"/>
    <n v="7.2"/>
    <n v="6"/>
    <n v="4.7"/>
    <n v="7.5"/>
    <s v="Yes"/>
    <s v="Yes"/>
    <n v="4.4000000000000004"/>
    <n v="0"/>
    <n v="4.8"/>
    <m/>
    <n v="5.8"/>
    <n v="4.2"/>
    <n v="3.7"/>
    <n v="4.4000000000000004"/>
    <n v="3.9"/>
    <n v="2"/>
    <n v="4.8"/>
    <s v="Severe"/>
    <x v="0"/>
  </r>
  <r>
    <x v="1487"/>
    <n v="31"/>
    <x v="0"/>
    <x v="3"/>
    <s v="Married"/>
    <x v="3"/>
    <n v="2.1"/>
    <n v="4"/>
    <n v="2"/>
    <s v="No"/>
    <s v="After 30 min"/>
    <n v="46"/>
    <n v="1.6"/>
    <n v="4.4000000000000004"/>
    <n v="2.5"/>
    <n v="4.7"/>
    <s v="Yes"/>
    <s v="Yes"/>
    <n v="5.8"/>
    <n v="9.5"/>
    <n v="5.8"/>
    <n v="6.2"/>
    <n v="4.8"/>
    <n v="7.6"/>
    <n v="6.5"/>
    <n v="0.9"/>
    <n v="5.9"/>
    <n v="1.4"/>
    <n v="8.5"/>
    <s v="Low"/>
    <x v="0"/>
  </r>
  <r>
    <x v="1488"/>
    <n v="22"/>
    <x v="1"/>
    <x v="1"/>
    <s v="Single"/>
    <x v="2"/>
    <n v="3.2"/>
    <n v="5"/>
    <n v="6"/>
    <s v="Yes"/>
    <s v="After 30 min"/>
    <n v="69"/>
    <n v="5.8"/>
    <n v="6.9"/>
    <n v="1.6"/>
    <n v="5.3"/>
    <s v="Yes"/>
    <s v="Yes"/>
    <n v="6.2"/>
    <n v="5.8"/>
    <n v="4.5"/>
    <n v="7.1"/>
    <n v="7.2"/>
    <n v="5.9"/>
    <n v="6.2"/>
    <n v="2.9"/>
    <n v="0.5"/>
    <n v="0.2"/>
    <n v="6.2"/>
    <s v="Moderate"/>
    <x v="1"/>
  </r>
  <r>
    <x v="1489"/>
    <n v="26"/>
    <x v="1"/>
    <x v="1"/>
    <s v="Married"/>
    <x v="5"/>
    <n v="5"/>
    <n v="2"/>
    <n v="5"/>
    <s v="No"/>
    <s v="After 30 min"/>
    <n v="56"/>
    <n v="9.1999999999999993"/>
    <n v="4.5"/>
    <n v="2.8"/>
    <n v="4.9000000000000004"/>
    <s v="Yes"/>
    <s v="No"/>
    <n v="6.3"/>
    <n v="6.7"/>
    <n v="6"/>
    <n v="2.5"/>
    <n v="8.4"/>
    <n v="5.5"/>
    <m/>
    <n v="3.6"/>
    <n v="5.9"/>
    <n v="5.3"/>
    <n v="7.3"/>
    <s v="Low"/>
    <x v="0"/>
  </r>
  <r>
    <x v="1490"/>
    <n v="31"/>
    <x v="1"/>
    <x v="1"/>
    <s v="Single"/>
    <x v="4"/>
    <n v="6.9"/>
    <n v="2"/>
    <n v="2"/>
    <s v="Yes"/>
    <s v="After 30 min"/>
    <n v="5"/>
    <n v="6.3"/>
    <n v="5.3"/>
    <n v="5.9"/>
    <n v="6"/>
    <s v="No"/>
    <s v="Yes"/>
    <n v="3.1"/>
    <n v="4.3"/>
    <n v="6"/>
    <n v="5.4"/>
    <n v="2.2000000000000002"/>
    <n v="5.6"/>
    <n v="5.2"/>
    <n v="6"/>
    <n v="2.2000000000000002"/>
    <n v="2.9"/>
    <n v="5.9"/>
    <s v="High"/>
    <x v="0"/>
  </r>
  <r>
    <x v="1491"/>
    <n v="21"/>
    <x v="2"/>
    <x v="1"/>
    <s v="Single"/>
    <x v="1"/>
    <n v="5.0999999999999996"/>
    <n v="3"/>
    <n v="3"/>
    <s v="No"/>
    <s v="Within 5 min"/>
    <n v="76"/>
    <n v="1.4"/>
    <n v="2.8"/>
    <n v="3.8"/>
    <n v="5.3"/>
    <s v="Yes"/>
    <s v="No"/>
    <n v="5.4"/>
    <n v="7.1"/>
    <n v="3.2"/>
    <n v="6.2"/>
    <n v="4.7"/>
    <n v="6.5"/>
    <n v="2.5"/>
    <n v="8.5"/>
    <n v="0.5"/>
    <n v="4.7"/>
    <n v="9.3000000000000007"/>
    <s v="Low"/>
    <x v="1"/>
  </r>
  <r>
    <x v="1492"/>
    <n v="44"/>
    <x v="0"/>
    <x v="0"/>
    <s v="Single"/>
    <x v="1"/>
    <n v="4.3"/>
    <n v="4"/>
    <n v="3"/>
    <s v="No"/>
    <s v="Within 5 min"/>
    <n v="67"/>
    <n v="3.5"/>
    <n v="0.9"/>
    <n v="3.2"/>
    <n v="2.9"/>
    <s v="Yes"/>
    <s v="Yes"/>
    <n v="7.3"/>
    <n v="5.4"/>
    <n v="7.3"/>
    <n v="7.5"/>
    <n v="7.1"/>
    <n v="5.6"/>
    <n v="4.7"/>
    <n v="7.2"/>
    <n v="1.7"/>
    <n v="2.5"/>
    <n v="6.9"/>
    <s v="Moderate"/>
    <x v="2"/>
  </r>
  <r>
    <x v="1493"/>
    <n v="16"/>
    <x v="0"/>
    <x v="1"/>
    <s v="Single"/>
    <x v="0"/>
    <n v="3.9"/>
    <n v="3"/>
    <n v="4"/>
    <s v="Yes"/>
    <s v="After 30 min"/>
    <n v="90"/>
    <n v="6.2"/>
    <n v="3.3"/>
    <n v="8.5"/>
    <n v="5"/>
    <s v="No"/>
    <s v="No"/>
    <n v="5.5"/>
    <n v="1.6"/>
    <n v="3.4"/>
    <n v="7.4"/>
    <n v="5.8"/>
    <n v="7.9"/>
    <n v="5.6"/>
    <n v="6.8"/>
    <n v="3.4"/>
    <n v="3.7"/>
    <n v="7.4"/>
    <s v="Moderate"/>
    <x v="3"/>
  </r>
  <r>
    <x v="1494"/>
    <n v="27"/>
    <x v="1"/>
    <x v="1"/>
    <s v="In a Relationship"/>
    <x v="1"/>
    <n v="7.9"/>
    <n v="2"/>
    <n v="8"/>
    <s v="Yes"/>
    <s v="After 30 min"/>
    <n v="101"/>
    <n v="1.5"/>
    <n v="8.8000000000000007"/>
    <n v="3.9"/>
    <n v="7"/>
    <s v="No"/>
    <s v="Yes"/>
    <n v="3.6"/>
    <n v="4.3"/>
    <n v="4.9000000000000004"/>
    <n v="2.6"/>
    <n v="8.1"/>
    <n v="4.9000000000000004"/>
    <n v="5.4"/>
    <n v="10"/>
    <n v="1.5"/>
    <n v="2"/>
    <n v="6.8"/>
    <s v="Moderate"/>
    <x v="0"/>
  </r>
  <r>
    <x v="1495"/>
    <n v="40"/>
    <x v="0"/>
    <x v="0"/>
    <s v="In a Relationship"/>
    <x v="3"/>
    <n v="2.7"/>
    <n v="2"/>
    <n v="4"/>
    <s v="No"/>
    <s v="5-30 min"/>
    <n v="61"/>
    <n v="8.8000000000000007"/>
    <n v="8.6"/>
    <n v="3.7"/>
    <n v="6.7"/>
    <s v="No"/>
    <s v="No"/>
    <n v="6.2"/>
    <n v="5.4"/>
    <n v="3.3"/>
    <n v="7.4"/>
    <n v="8.5"/>
    <n v="6.7"/>
    <n v="4.5"/>
    <n v="7.6"/>
    <n v="2.2999999999999998"/>
    <n v="2.2999999999999998"/>
    <n v="6.5"/>
    <s v="High"/>
    <x v="2"/>
  </r>
  <r>
    <x v="1496"/>
    <n v="23"/>
    <x v="2"/>
    <x v="1"/>
    <s v="Married"/>
    <x v="0"/>
    <n v="3.5"/>
    <n v="3"/>
    <n v="6"/>
    <s v="Yes"/>
    <s v="Within 5 min"/>
    <n v="75"/>
    <n v="3.3"/>
    <n v="6.5"/>
    <n v="2.9"/>
    <n v="5.9"/>
    <s v="Yes"/>
    <s v="No"/>
    <n v="2.7"/>
    <m/>
    <n v="4.2"/>
    <n v="1.9"/>
    <n v="7.2"/>
    <n v="6.9"/>
    <n v="7.2"/>
    <m/>
    <n v="2.8"/>
    <n v="2"/>
    <n v="6.4"/>
    <s v="Moderate"/>
    <x v="1"/>
  </r>
  <r>
    <x v="1497"/>
    <n v="39"/>
    <x v="1"/>
    <x v="1"/>
    <s v="Single"/>
    <x v="1"/>
    <n v="5.3"/>
    <n v="2"/>
    <n v="3"/>
    <s v="Yes"/>
    <s v="5-30 min"/>
    <n v="87"/>
    <n v="3.2"/>
    <n v="7.7"/>
    <n v="9.6"/>
    <n v="7.1"/>
    <s v="Yes"/>
    <s v="Yes"/>
    <n v="8.4"/>
    <n v="2.2999999999999998"/>
    <n v="0.4"/>
    <n v="2.4"/>
    <n v="5.0999999999999996"/>
    <m/>
    <n v="6.4"/>
    <n v="7.8"/>
    <n v="2.6"/>
    <n v="4.8"/>
    <n v="4.7"/>
    <s v="Severe"/>
    <x v="2"/>
  </r>
  <r>
    <x v="1498"/>
    <n v="26"/>
    <x v="1"/>
    <x v="3"/>
    <s v="Single"/>
    <x v="4"/>
    <n v="7.3"/>
    <n v="4"/>
    <n v="0"/>
    <s v="Yes"/>
    <s v="Within 5 min"/>
    <n v="90"/>
    <n v="3"/>
    <n v="7.3"/>
    <n v="3.1"/>
    <n v="1.2"/>
    <s v="Yes"/>
    <s v="Yes"/>
    <n v="5.8"/>
    <n v="8.8000000000000007"/>
    <n v="7.5"/>
    <n v="6.6"/>
    <n v="6.4"/>
    <n v="4.2"/>
    <n v="9.1"/>
    <n v="6.4"/>
    <n v="3.6"/>
    <n v="2.1"/>
    <n v="6.4"/>
    <s v="High"/>
    <x v="0"/>
  </r>
  <r>
    <x v="1499"/>
    <n v="16"/>
    <x v="1"/>
    <x v="0"/>
    <s v="In a Relationship"/>
    <x v="3"/>
    <n v="0.7"/>
    <n v="3"/>
    <n v="2"/>
    <s v="No"/>
    <s v="Within 5 min"/>
    <n v="68"/>
    <n v="8.4"/>
    <n v="6.9"/>
    <n v="8.3000000000000007"/>
    <n v="5.4"/>
    <s v="No"/>
    <s v="No"/>
    <n v="2.8"/>
    <n v="2"/>
    <n v="5.9"/>
    <n v="8.5"/>
    <n v="5.3"/>
    <n v="7.2"/>
    <n v="3.4"/>
    <n v="2.2999999999999998"/>
    <n v="3.9"/>
    <n v="3.1"/>
    <n v="6.1"/>
    <s v="Moderat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E0A319-1B44-4636-98C0-3818F364E26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6:C77" firstHeaderRow="0" firstDataRow="1" firstDataCol="1"/>
  <pivotFields count="31">
    <pivotField axis="axisRow" showAll="0" measureFilter="1" sortType="descending">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92"/>
    </i>
    <i>
      <x v="832"/>
    </i>
    <i>
      <x v="1004"/>
    </i>
    <i>
      <x v="142"/>
    </i>
    <i>
      <x v="1212"/>
    </i>
    <i>
      <x v="137"/>
    </i>
    <i>
      <x v="731"/>
    </i>
    <i>
      <x v="699"/>
    </i>
    <i>
      <x v="874"/>
    </i>
    <i>
      <x v="480"/>
    </i>
    <i t="grand">
      <x/>
    </i>
  </rowItems>
  <colFields count="1">
    <field x="-2"/>
  </colFields>
  <colItems count="2">
    <i>
      <x/>
    </i>
    <i i="1">
      <x v="1"/>
    </i>
  </colItems>
  <dataFields count="2">
    <dataField name="Sum of Notifications_Per_Day" fld="11" showDataAs="percentOfTotal" baseField="0" baseItem="0" numFmtId="10"/>
    <dataField name="Sum of Notifications_Per_Day2"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5484CA-C590-4785-9D85-8B9B82B363B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7:B62" firstHeaderRow="1" firstDataRow="1" firstDataCol="1"/>
  <pivotFields count="31">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Anxiety_Score" fld="18"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3E2F4-3661-4ED1-81A8-0D3B1D01E49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31">
    <pivotField dataField="1" showAll="0"/>
    <pivotField showAll="0"/>
    <pivotField showAll="0">
      <items count="5">
        <item h="1" x="1"/>
        <item h="1" x="0"/>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h="1" x="0"/>
        <item h="1" x="2"/>
        <item h="1" x="3"/>
        <item h="1" x="4"/>
        <item t="default"/>
      </items>
    </pivotField>
  </pivotFields>
  <rowItems count="1">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C64DA-8449-48F0-9D36-C7895D6A0693}" name="age group"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C44" firstHeaderRow="1" firstDataRow="2" firstDataCol="1"/>
  <pivotFields count="31">
    <pivotField showAll="0"/>
    <pivotField showAll="0"/>
    <pivotField axis="axisCol" showAll="0">
      <items count="5">
        <item h="1" x="1"/>
        <item h="1" x="0"/>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1"/>
        <item h="1" x="0"/>
        <item h="1" x="2"/>
        <item h="1" x="3"/>
        <item h="1" x="4"/>
        <item t="default"/>
      </items>
    </pivotField>
  </pivotFields>
  <rowFields count="1">
    <field x="30"/>
  </rowFields>
  <rowItems count="2">
    <i>
      <x/>
    </i>
    <i t="grand">
      <x/>
    </i>
  </rowItems>
  <colFields count="1">
    <field x="2"/>
  </colFields>
  <colItems count="2">
    <i>
      <x v="2"/>
    </i>
    <i t="grand">
      <x/>
    </i>
  </colItems>
  <dataFields count="1">
    <dataField name="Count of age group" fld="3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0"/>
          </reference>
        </references>
      </pivotArea>
    </chartFormat>
    <chartFormat chart="5" format="8" series="1">
      <pivotArea type="data" outline="0" fieldPosition="0">
        <references count="2">
          <reference field="4294967294" count="1" selected="0">
            <x v="0"/>
          </reference>
          <reference field="2" count="1" selected="0">
            <x v="1"/>
          </reference>
        </references>
      </pivotArea>
    </chartFormat>
    <chartFormat chart="5" format="9" series="1">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36BF30-D618-4924-A160-464AAA4290B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38" firstHeaderRow="1" firstDataRow="1" firstDataCol="1"/>
  <pivotFields count="31">
    <pivotField showAll="0"/>
    <pivotField showAll="0"/>
    <pivotField showAll="0"/>
    <pivotField showAll="0"/>
    <pivotField showAll="0"/>
    <pivotField axis="axisRow" showAll="0" sortType="ascending">
      <items count="8">
        <item x="2"/>
        <item x="1"/>
        <item x="5"/>
        <item x="3"/>
        <item x="4"/>
        <item x="0"/>
        <item m="1"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h="1" x="0"/>
        <item h="1" x="2"/>
        <item h="1" x="3"/>
        <item h="1" x="4"/>
        <item t="default"/>
      </items>
    </pivotField>
  </pivotFields>
  <rowFields count="1">
    <field x="5"/>
  </rowFields>
  <rowItems count="7">
    <i>
      <x v="2"/>
    </i>
    <i>
      <x/>
    </i>
    <i>
      <x v="4"/>
    </i>
    <i>
      <x v="3"/>
    </i>
    <i>
      <x v="5"/>
    </i>
    <i>
      <x v="1"/>
    </i>
    <i t="grand">
      <x/>
    </i>
  </rowItems>
  <colItems count="1">
    <i/>
  </colItems>
  <dataFields count="1">
    <dataField name="Sum of Platforms_Used_Count" fld="7"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0"/>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5"/>
          </reference>
        </references>
      </pivotArea>
    </chartFormat>
    <chartFormat chart="3" format="15">
      <pivotArea type="data" outline="0" fieldPosition="0">
        <references count="2">
          <reference field="4294967294" count="1" selected="0">
            <x v="0"/>
          </reference>
          <reference field="5" count="1" selected="0">
            <x v="3"/>
          </reference>
        </references>
      </pivotArea>
    </chartFormat>
    <chartFormat chart="3" format="16">
      <pivotArea type="data" outline="0" fieldPosition="0">
        <references count="2">
          <reference field="4294967294" count="1" selected="0">
            <x v="0"/>
          </reference>
          <reference field="5"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4"/>
          </reference>
        </references>
      </pivotArea>
    </chartFormat>
    <chartFormat chart="4" format="7">
      <pivotArea type="data" outline="0" fieldPosition="0">
        <references count="2">
          <reference field="4294967294" count="1" selected="0">
            <x v="0"/>
          </reference>
          <reference field="5" count="1" selected="0">
            <x v="5"/>
          </reference>
        </references>
      </pivotArea>
    </chartFormat>
    <chartFormat chart="4" format="8">
      <pivotArea type="data" outline="0" fieldPosition="0">
        <references count="2">
          <reference field="4294967294" count="1" selected="0">
            <x v="0"/>
          </reference>
          <reference field="5" count="1" selected="0">
            <x v="3"/>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2"/>
          </reference>
        </references>
      </pivotArea>
    </chartFormat>
    <chartFormat chart="5" format="12">
      <pivotArea type="data" outline="0" fieldPosition="0">
        <references count="2">
          <reference field="4294967294" count="1" selected="0">
            <x v="0"/>
          </reference>
          <reference field="5" count="1" selected="0">
            <x v="0"/>
          </reference>
        </references>
      </pivotArea>
    </chartFormat>
    <chartFormat chart="5" format="13">
      <pivotArea type="data" outline="0" fieldPosition="0">
        <references count="2">
          <reference field="4294967294" count="1" selected="0">
            <x v="0"/>
          </reference>
          <reference field="5" count="1" selected="0">
            <x v="4"/>
          </reference>
        </references>
      </pivotArea>
    </chartFormat>
    <chartFormat chart="5" format="14">
      <pivotArea type="data" outline="0" fieldPosition="0">
        <references count="2">
          <reference field="4294967294" count="1" selected="0">
            <x v="0"/>
          </reference>
          <reference field="5" count="1" selected="0">
            <x v="5"/>
          </reference>
        </references>
      </pivotArea>
    </chartFormat>
    <chartFormat chart="5" format="15">
      <pivotArea type="data" outline="0" fieldPosition="0">
        <references count="2">
          <reference field="4294967294" count="1" selected="0">
            <x v="0"/>
          </reference>
          <reference field="5" count="1" selected="0">
            <x v="3"/>
          </reference>
        </references>
      </pivotArea>
    </chartFormat>
    <chartFormat chart="5" format="16">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4"/>
          </reference>
        </references>
      </pivotArea>
    </chartFormat>
    <chartFormat chart="0" format="4">
      <pivotArea type="data" outline="0" fieldPosition="0">
        <references count="2">
          <reference field="4294967294" count="1" selected="0">
            <x v="0"/>
          </reference>
          <reference field="5" count="1" selected="0">
            <x v="5"/>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3EAEDA-6363-4449-83CE-7DD1F9B1014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7" firstHeaderRow="1" firstDataRow="1" firstDataCol="1"/>
  <pivotFields count="31">
    <pivotField showAll="0"/>
    <pivotField showAll="0"/>
    <pivotField showAll="0"/>
    <pivotField showAll="0"/>
    <pivotField showAll="0"/>
    <pivotField axis="axisRow" showAll="0">
      <items count="8">
        <item x="2"/>
        <item x="1"/>
        <item x="5"/>
        <item x="3"/>
        <item x="4"/>
        <item x="0"/>
        <item m="1"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h="1" x="0"/>
        <item h="1" x="2"/>
        <item h="1" x="3"/>
        <item h="1" x="4"/>
        <item t="default"/>
      </items>
    </pivotField>
  </pivotFields>
  <rowFields count="1">
    <field x="5"/>
  </rowFields>
  <rowItems count="7">
    <i>
      <x/>
    </i>
    <i>
      <x v="1"/>
    </i>
    <i>
      <x v="2"/>
    </i>
    <i>
      <x v="3"/>
    </i>
    <i>
      <x v="4"/>
    </i>
    <i>
      <x v="5"/>
    </i>
    <i t="grand">
      <x/>
    </i>
  </rowItems>
  <colItems count="1">
    <i/>
  </colItems>
  <dataFields count="1">
    <dataField name="Sum of Daily_Usage_Hour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C766F7-1DD1-4182-BC1E-A99F184C6029}" name="occupations us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occupation">
  <location ref="A12:B18" firstHeaderRow="1" firstDataRow="1" firstDataCol="1"/>
  <pivotFields count="31">
    <pivotField showAll="0"/>
    <pivotField showAll="0"/>
    <pivotField showAll="0">
      <items count="5">
        <item h="1" x="1"/>
        <item h="1" x="0"/>
        <item x="2"/>
        <item h="1" x="3"/>
        <item t="default"/>
      </items>
    </pivotField>
    <pivotField axis="axisRow" showAll="0">
      <items count="6">
        <item x="3"/>
        <item x="1"/>
        <item x="2"/>
        <item x="0"/>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h="1" x="0"/>
        <item h="1" x="2"/>
        <item h="1" x="3"/>
        <item h="1" x="4"/>
        <item t="default"/>
      </items>
    </pivotField>
  </pivotFields>
  <rowFields count="1">
    <field x="3"/>
  </rowFields>
  <rowItems count="6">
    <i>
      <x/>
    </i>
    <i>
      <x v="1"/>
    </i>
    <i>
      <x v="2"/>
    </i>
    <i>
      <x v="3"/>
    </i>
    <i>
      <x v="4"/>
    </i>
    <i t="grand">
      <x/>
    </i>
  </rowItems>
  <colItems count="1">
    <i/>
  </colItems>
  <dataFields count="1">
    <dataField name="Avg.Daily_Usage(hrs)" fld="6"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C6598E-8778-471A-BD8F-09DA60269469}" name="platform_usages"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rowHeaderCaption="Platforms">
  <location ref="A3:B9" firstHeaderRow="1" firstDataRow="1" firstDataCol="1"/>
  <pivotFields count="31">
    <pivotField showAll="0" defaultSubtotal="0"/>
    <pivotField showAll="0" defaultSubtotal="0"/>
    <pivotField showAll="0" defaultSubtotal="0">
      <items count="4">
        <item h="1" x="1"/>
        <item h="1" x="0"/>
        <item x="2"/>
        <item h="1" x="3"/>
      </items>
    </pivotField>
    <pivotField showAll="0" defaultSubtotal="0">
      <items count="5">
        <item x="3"/>
        <item x="1"/>
        <item x="2"/>
        <item x="0"/>
        <item x="4"/>
      </items>
    </pivotField>
    <pivotField showAll="0" defaultSubtotal="0"/>
    <pivotField axis="axisRow" showAll="0" sortType="descending" defaultSubtotal="0">
      <items count="7">
        <item x="2"/>
        <item x="1"/>
        <item x="5"/>
        <item x="3"/>
        <item x="4"/>
        <item x="0"/>
        <item m="1" x="6"/>
      </items>
      <autoSortScope>
        <pivotArea dataOnly="0" outline="0" fieldPosition="0">
          <references count="1">
            <reference field="4294967294" count="1" selected="0">
              <x v="0"/>
            </reference>
          </references>
        </pivotArea>
      </autoSortScope>
    </pivotField>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5">
        <item x="1"/>
        <item h="1" x="0"/>
        <item h="1" x="2"/>
        <item h="1" x="3"/>
        <item h="1" x="4"/>
      </items>
    </pivotField>
  </pivotFields>
  <rowFields count="1">
    <field x="5"/>
  </rowFields>
  <rowItems count="6">
    <i>
      <x v="5"/>
    </i>
    <i>
      <x v="1"/>
    </i>
    <i>
      <x v="3"/>
    </i>
    <i>
      <x v="4"/>
    </i>
    <i>
      <x/>
    </i>
    <i>
      <x v="2"/>
    </i>
  </rowItems>
  <colItems count="1">
    <i/>
  </colItems>
  <dataFields count="1">
    <dataField name="Counts" fld="7" baseField="5" baseItem="0"/>
  </dataFields>
  <chartFormats count="19">
    <chartFormat chart="0" format="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17" format="28" series="1">
      <pivotArea type="data" outline="0" fieldPosition="0">
        <references count="1">
          <reference field="4294967294" count="1" selected="0">
            <x v="0"/>
          </reference>
        </references>
      </pivotArea>
    </chartFormat>
    <chartFormat chart="17" format="29">
      <pivotArea type="data" outline="0" fieldPosition="0">
        <references count="2">
          <reference field="4294967294" count="1" selected="0">
            <x v="0"/>
          </reference>
          <reference field="5" count="1" selected="0">
            <x v="1"/>
          </reference>
        </references>
      </pivotArea>
    </chartFormat>
    <chartFormat chart="17" format="30">
      <pivotArea type="data" outline="0" fieldPosition="0">
        <references count="2">
          <reference field="4294967294" count="1" selected="0">
            <x v="0"/>
          </reference>
          <reference field="5" count="1" selected="0">
            <x v="3"/>
          </reference>
        </references>
      </pivotArea>
    </chartFormat>
    <chartFormat chart="17" format="31">
      <pivotArea type="data" outline="0" fieldPosition="0">
        <references count="2">
          <reference field="4294967294" count="1" selected="0">
            <x v="0"/>
          </reference>
          <reference field="5" count="1" selected="0">
            <x v="5"/>
          </reference>
        </references>
      </pivotArea>
    </chartFormat>
    <chartFormat chart="17" format="32">
      <pivotArea type="data" outline="0" fieldPosition="0">
        <references count="2">
          <reference field="4294967294" count="1" selected="0">
            <x v="0"/>
          </reference>
          <reference field="5" count="1" selected="0">
            <x v="4"/>
          </reference>
        </references>
      </pivotArea>
    </chartFormat>
    <chartFormat chart="17" format="33">
      <pivotArea type="data" outline="0" fieldPosition="0">
        <references count="2">
          <reference field="4294967294" count="1" selected="0">
            <x v="0"/>
          </reference>
          <reference field="5" count="1" selected="0">
            <x v="0"/>
          </reference>
        </references>
      </pivotArea>
    </chartFormat>
    <chartFormat chart="17" format="34">
      <pivotArea type="data" outline="0" fieldPosition="0">
        <references count="2">
          <reference field="4294967294" count="1" selected="0">
            <x v="0"/>
          </reference>
          <reference field="5" count="1" selected="0">
            <x v="2"/>
          </reference>
        </references>
      </pivotArea>
    </chartFormat>
    <chartFormat chart="22" format="42" series="1">
      <pivotArea type="data" outline="0" fieldPosition="0">
        <references count="1">
          <reference field="4294967294" count="1" selected="0">
            <x v="0"/>
          </reference>
        </references>
      </pivotArea>
    </chartFormat>
    <chartFormat chart="22" format="43">
      <pivotArea type="data" outline="0" fieldPosition="0">
        <references count="2">
          <reference field="4294967294" count="1" selected="0">
            <x v="0"/>
          </reference>
          <reference field="5" count="1" selected="0">
            <x v="1"/>
          </reference>
        </references>
      </pivotArea>
    </chartFormat>
    <chartFormat chart="22" format="44">
      <pivotArea type="data" outline="0" fieldPosition="0">
        <references count="2">
          <reference field="4294967294" count="1" selected="0">
            <x v="0"/>
          </reference>
          <reference field="5" count="1" selected="0">
            <x v="3"/>
          </reference>
        </references>
      </pivotArea>
    </chartFormat>
    <chartFormat chart="22" format="45">
      <pivotArea type="data" outline="0" fieldPosition="0">
        <references count="2">
          <reference field="4294967294" count="1" selected="0">
            <x v="0"/>
          </reference>
          <reference field="5" count="1" selected="0">
            <x v="5"/>
          </reference>
        </references>
      </pivotArea>
    </chartFormat>
    <chartFormat chart="22" format="46">
      <pivotArea type="data" outline="0" fieldPosition="0">
        <references count="2">
          <reference field="4294967294" count="1" selected="0">
            <x v="0"/>
          </reference>
          <reference field="5" count="1" selected="0">
            <x v="4"/>
          </reference>
        </references>
      </pivotArea>
    </chartFormat>
    <chartFormat chart="22" format="47">
      <pivotArea type="data" outline="0" fieldPosition="0">
        <references count="2">
          <reference field="4294967294" count="1" selected="0">
            <x v="0"/>
          </reference>
          <reference field="5" count="1" selected="0">
            <x v="0"/>
          </reference>
        </references>
      </pivotArea>
    </chartFormat>
    <chartFormat chart="22" format="48">
      <pivotArea type="data" outline="0" fieldPosition="0">
        <references count="2">
          <reference field="4294967294" count="1" selected="0">
            <x v="0"/>
          </reference>
          <reference field="5" count="1" selected="0">
            <x v="2"/>
          </reference>
        </references>
      </pivotArea>
    </chartFormat>
    <chartFormat chart="25" format="2"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94C476-6628-4878-ACEC-3B4BFAF4071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h="1" x="0"/>
        <item h="1" x="2"/>
        <item h="1" x="3"/>
        <item h="1" x="4"/>
        <item t="default"/>
      </items>
    </pivotField>
  </pivotFields>
  <rowItems count="1">
    <i/>
  </rowItems>
  <colItems count="1">
    <i/>
  </colItems>
  <dataFields count="1">
    <dataField name="Average of Notifications_Per_Day" fld="11"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EE751B-3F62-4DBD-B70F-4B82D8FB8F5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1"/>
        <item h="1" x="0"/>
        <item h="1" x="2"/>
        <item h="1" x="3"/>
        <item h="1" x="4"/>
        <item t="default"/>
      </items>
    </pivotField>
  </pivotFields>
  <rowItems count="1">
    <i/>
  </rowItems>
  <colItems count="1">
    <i/>
  </colItems>
  <dataFields count="1">
    <dataField name="Average of Sleep_Hours" fld="23"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BA07FE-EC95-4D36-89A3-95124963E56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1"/>
        <item h="1" x="0"/>
        <item h="1" x="2"/>
        <item h="1" x="3"/>
        <item h="1" x="4"/>
        <item t="default"/>
      </items>
    </pivotField>
  </pivotFields>
  <rowItems count="1">
    <i/>
  </rowItems>
  <colItems count="1">
    <i/>
  </colItems>
  <dataFields count="1">
    <dataField name="Average of Mental_Wellbeing_Score" fld="28"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493CBD-9DC6-4B12-8C72-51DB69214D8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31">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h="1" x="0"/>
        <item h="1" x="2"/>
        <item h="1" x="3"/>
        <item h="1" x="4"/>
        <item t="default"/>
      </items>
    </pivotField>
  </pivotFields>
  <rowItems count="1">
    <i/>
  </rowItems>
  <colItems count="1">
    <i/>
  </colItems>
  <dataFields count="1">
    <dataField name="Average of Daily_Usage_Hours" fld="6" subtotal="average"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9985CC-B784-4638-8620-30EE0045A7EA}" name="user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1">
    <pivotField dataField="1" showAll="0"/>
    <pivotField showAll="0"/>
    <pivotField showAll="0">
      <items count="5">
        <item h="1" x="1"/>
        <item h="1" x="0"/>
        <item x="2"/>
        <item h="1" x="3"/>
        <item t="default"/>
      </items>
    </pivotField>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h="1" x="0"/>
        <item h="1" x="2"/>
        <item h="1" x="3"/>
        <item h="1" x="4"/>
        <item t="default"/>
      </items>
    </pivotField>
  </pivotFields>
  <rowItems count="1">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79543E-B206-40B6-8B08-4747D2985C42}" sourceName="Gender">
  <pivotTables>
    <pivotTable tabId="3" name="platform_usages"/>
    <pivotTable tabId="3" name="occupations use"/>
    <pivotTable tabId="3" name="PivotTable4"/>
    <pivotTable tabId="3" name="age group"/>
    <pivotTable tabId="4" name="usercount"/>
  </pivotTables>
  <data>
    <tabular pivotCacheId="26437119">
      <items count="4">
        <i x="1"/>
        <i x="0"/>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04D2ED7-B957-4B33-8461-BFC082A2B3BD}" sourceName="Occupation">
  <pivotTables>
    <pivotTable tabId="3" name="platform_usages"/>
    <pivotTable tabId="4" name="usercount"/>
  </pivotTables>
  <data>
    <tabular pivotCacheId="26437119">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F8C792D-294E-436C-960C-32BA9756811C}" sourceName="age group">
  <pivotTables>
    <pivotTable tabId="3" name="age group"/>
    <pivotTable tabId="4" name="PivotTable2"/>
    <pivotTable tabId="4" name="PivotTable3"/>
    <pivotTable tabId="4" name="PivotTable4"/>
    <pivotTable tabId="4" name="PivotTable5"/>
    <pivotTable tabId="4" name="usercount"/>
    <pivotTable tabId="3" name="occupations use"/>
    <pivotTable tabId="3" name="PivotTable3"/>
    <pivotTable tabId="3" name="PivotTable4"/>
    <pivotTable tabId="3" name="PivotTable6"/>
    <pivotTable tabId="3" name="platform_usages"/>
  </pivotTables>
  <data>
    <tabular pivotCacheId="26437119">
      <items count="5">
        <i x="1" s="1"/>
        <i x="0"/>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0FF14D1-A30D-473F-B461-7212604CD822}" cache="Slicer_Gender" caption="Gender" rowHeight="241300"/>
  <slicer name="Occupation" xr10:uid="{F5D30FD8-2835-404A-900C-726B645715CF}" cache="Slicer_Occupation" caption="Occupation" rowHeight="241300"/>
  <slicer name="age group" xr10:uid="{6F67249E-0FF3-4084-A34F-FBB220D4368B}" cache="Slicer_age_group" caption="age group" columnCoun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29C853C-A526-4AAA-9DAE-4B40FB38BC8A}" cache="Slicer_Gender" caption="Gender" style="SlicerStyleLight2" rowHeight="144000"/>
  <slicer name="age group 1" xr10:uid="{835AC62D-4DD6-4252-8DC8-4C0C74F372F8}" cache="Slicer_age_group" caption="age group"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4CC32FA-99A6-4666-98AC-4D0476962CEA}" cache="Slicer_Gender" caption="Gender" rowHeight="241300"/>
  <slicer name="Occupation 1" xr10:uid="{28C50764-DED0-4534-AE9B-454E03A7AF4A}" cache="Slicer_Occupation" caption="Occup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F6B6-DC61-46FB-BA66-CA472A2121DA}" name="data" displayName="data" ref="A1:AF1501" totalsRowShown="0">
  <autoFilter ref="A1:AF1501" xr:uid="{5339F6B6-DC61-46FB-BA66-CA472A2121DA}"/>
  <tableColumns count="32">
    <tableColumn id="1" xr3:uid="{FE292216-BC5E-4F48-8636-D5BA11D48693}" name="User_ID"/>
    <tableColumn id="2" xr3:uid="{340E4B77-6584-476D-B249-A2C7BFCB56FF}" name="Age"/>
    <tableColumn id="3" xr3:uid="{DCA61E05-0E1E-47F6-8144-4A6CE99FA700}" name="Gender"/>
    <tableColumn id="4" xr3:uid="{9A738C53-1D3A-4939-A84E-B04C0B4B772B}" name="Occupation"/>
    <tableColumn id="5" xr3:uid="{F37371DA-4B28-4318-886B-4F3E5BCD762D}" name="Relationship_Status"/>
    <tableColumn id="6" xr3:uid="{ACFE72C9-7178-419C-8560-8B79ED9B63DD}" name="Primary_Platform"/>
    <tableColumn id="7" xr3:uid="{2FF2316A-0D29-4703-80E0-73DD40BEE5B6}" name="Daily_Usage_Hours"/>
    <tableColumn id="8" xr3:uid="{3A1C6A05-12E3-43C1-9575-3C12AAAD96B8}" name="Platforms_Used_Count"/>
    <tableColumn id="9" xr3:uid="{714CBDB2-EADE-4433-917E-315EA007419B}" name="Posts_Per_Week"/>
    <tableColumn id="10" xr3:uid="{9667146C-D6F4-40FD-A580-AA46214E3AC2}" name="Late_Night_Usage"/>
    <tableColumn id="11" xr3:uid="{4150F2FC-1634-48C9-AD2B-A434453F3442}" name="First_Check_Morning"/>
    <tableColumn id="12" xr3:uid="{062AFDC0-F786-4D5A-BEBC-54C2162D0662}" name="Notifications_Per_Day"/>
    <tableColumn id="13" xr3:uid="{2684CD84-A8CD-44CA-96BC-0B577B943371}" name="FOMO_Score"/>
    <tableColumn id="14" xr3:uid="{AB28F2CA-6949-472C-BE56-ED04DFC3E4B6}" name="Social_Comparison_Score"/>
    <tableColumn id="15" xr3:uid="{DD0BEB84-FF18-4F55-8A0C-9FB850AADAF3}" name="Validation_Seeking_Score"/>
    <tableColumn id="16" xr3:uid="{FFE6E09C-6DE3-4BFE-94A3-157329485DB3}" name="Scroll_Without_Purpose"/>
    <tableColumn id="17" xr3:uid="{33DE6017-BAE6-490B-90AB-9297E93374BD}" name="Tried_To_Cut_Back"/>
    <tableColumn id="18" xr3:uid="{34358866-E38C-4F26-BFE4-F5FA5B8E52F3}" name="Failed_To_Cut_Back"/>
    <tableColumn id="19" xr3:uid="{1C8F8056-3A1B-4A56-BDFC-296C8D6FC2F4}" name="Anxiety_Score"/>
    <tableColumn id="20" xr3:uid="{52C87B66-8372-4C03-BD77-CC6A4AF4DC62}" name="Depression_Score"/>
    <tableColumn id="21" xr3:uid="{97988887-40A2-4D0B-B2A5-5F10E7C3F397}" name="Loneliness_Score"/>
    <tableColumn id="22" xr3:uid="{03E679C5-DDA0-4A2B-8512-EAD54AE993E2}" name="Self_Esteem_Score"/>
    <tableColumn id="23" xr3:uid="{218E19B1-51C2-44B4-AC33-16B321615D3E}" name="Sleep_Quality_Score"/>
    <tableColumn id="24" xr3:uid="{394A37C4-EAA4-4380-B596-3330D1CA8BAD}" name="Sleep_Hours"/>
    <tableColumn id="25" xr3:uid="{23F5ED26-5FA3-455A-8F66-11A9392722AB}" name="Productivity_Loss_Score"/>
    <tableColumn id="26" xr3:uid="{53C48C78-4654-4B0F-BFDF-95C898489626}" name="Offline_Relationship_Quality"/>
    <tableColumn id="27" xr3:uid="{16AAE096-B346-4ED0-A125-ABE58D3691E2}" name="Physical_Activity_Hrs_Week"/>
    <tableColumn id="28" xr3:uid="{FC36EBC7-096F-44D9-9E7E-B05027DDAC5B}" name="Screen_Free_Time_Hrs"/>
    <tableColumn id="29" xr3:uid="{B700A1B3-E388-4A6C-A122-60AEA5148937}" name="Mental_Wellbeing_Score"/>
    <tableColumn id="30" xr3:uid="{E2DB0014-DC6A-4249-9C4E-21BBF813C566}" name="Addiction_Level"/>
    <tableColumn id="31" xr3:uid="{BBD7C3E5-393C-4633-8BBF-AE4613C02FBB}" name="age group" dataDxfId="1">
      <calculatedColumnFormula>IF(AND(data[[#This Row],[Age]]&gt;=18,data[[#This Row],[Age]]&lt;=24),"18-24",IF(AND(data[[#This Row],[Age]]&gt;=25,data[[#This Row],[Age]]&lt;=34),"25-34",IF(AND(data[[#This Row],[Age]]&gt;35,data[[#This Row],[Age]]&lt;=44),"35-44",IF(data[[#This Row],[Age]]&gt;44,"45+",IF(data[[#This Row],[Age]]&lt;18,"below 18 ")))))</calculatedColumnFormula>
    </tableColumn>
    <tableColumn id="32" xr3:uid="{26318AD4-1070-4CC6-B76D-BBB70B735528}" name="r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0EB1-D533-48C0-9F05-3B54106FDCC6}">
  <sheetPr codeName="Sheet1"/>
  <dimension ref="A3:C77"/>
  <sheetViews>
    <sheetView tabSelected="1" topLeftCell="A60" workbookViewId="0">
      <selection activeCell="I77" sqref="I77"/>
    </sheetView>
  </sheetViews>
  <sheetFormatPr defaultRowHeight="15" x14ac:dyDescent="0.25"/>
  <cols>
    <col min="1" max="1" width="13.140625" bestFit="1" customWidth="1"/>
    <col min="2" max="2" width="27.85546875" bestFit="1" customWidth="1"/>
    <col min="3" max="3" width="28.85546875" bestFit="1" customWidth="1"/>
    <col min="4" max="4" width="11" bestFit="1" customWidth="1"/>
    <col min="5" max="5" width="7.28515625" bestFit="1" customWidth="1"/>
    <col min="6" max="6" width="11.28515625" bestFit="1" customWidth="1"/>
    <col min="7" max="7" width="16.28515625" bestFit="1" customWidth="1"/>
    <col min="8" max="8" width="11.28515625" bestFit="1" customWidth="1"/>
  </cols>
  <sheetData>
    <row r="3" spans="1:2" x14ac:dyDescent="0.25">
      <c r="A3" s="1" t="s">
        <v>1559</v>
      </c>
      <c r="B3" t="s">
        <v>1558</v>
      </c>
    </row>
    <row r="4" spans="1:2" x14ac:dyDescent="0.25">
      <c r="A4" s="2" t="s">
        <v>34</v>
      </c>
      <c r="B4" s="6">
        <v>39</v>
      </c>
    </row>
    <row r="5" spans="1:2" x14ac:dyDescent="0.25">
      <c r="A5" s="2" t="s">
        <v>41</v>
      </c>
      <c r="B5" s="6">
        <v>35</v>
      </c>
    </row>
    <row r="6" spans="1:2" x14ac:dyDescent="0.25">
      <c r="A6" s="2" t="s">
        <v>51</v>
      </c>
      <c r="B6" s="6">
        <v>26</v>
      </c>
    </row>
    <row r="7" spans="1:2" x14ac:dyDescent="0.25">
      <c r="A7" s="2" t="s">
        <v>59</v>
      </c>
      <c r="B7" s="6">
        <v>22</v>
      </c>
    </row>
    <row r="8" spans="1:2" x14ac:dyDescent="0.25">
      <c r="A8" s="2" t="s">
        <v>48</v>
      </c>
      <c r="B8" s="6">
        <v>20</v>
      </c>
    </row>
    <row r="9" spans="1:2" x14ac:dyDescent="0.25">
      <c r="A9" s="2" t="s">
        <v>70</v>
      </c>
      <c r="B9" s="6">
        <v>9</v>
      </c>
    </row>
    <row r="12" spans="1:2" x14ac:dyDescent="0.25">
      <c r="A12" s="1" t="s">
        <v>1562</v>
      </c>
      <c r="B12" t="s">
        <v>1561</v>
      </c>
    </row>
    <row r="13" spans="1:2" x14ac:dyDescent="0.25">
      <c r="A13" s="2" t="s">
        <v>64</v>
      </c>
      <c r="B13" s="6">
        <v>4.371428571428571</v>
      </c>
    </row>
    <row r="14" spans="1:2" x14ac:dyDescent="0.25">
      <c r="A14" s="2" t="s">
        <v>39</v>
      </c>
      <c r="B14" s="6">
        <v>4.6421052631578945</v>
      </c>
    </row>
    <row r="15" spans="1:2" x14ac:dyDescent="0.25">
      <c r="A15" s="2" t="s">
        <v>57</v>
      </c>
      <c r="B15" s="6">
        <v>5.333333333333333</v>
      </c>
    </row>
    <row r="16" spans="1:2" x14ac:dyDescent="0.25">
      <c r="A16" s="2" t="s">
        <v>32</v>
      </c>
      <c r="B16" s="6">
        <v>4.0066666666666668</v>
      </c>
    </row>
    <row r="17" spans="1:2" x14ac:dyDescent="0.25">
      <c r="A17" s="2" t="s">
        <v>1555</v>
      </c>
      <c r="B17" s="6">
        <v>3.6</v>
      </c>
    </row>
    <row r="18" spans="1:2" x14ac:dyDescent="0.25">
      <c r="A18" s="2" t="s">
        <v>1556</v>
      </c>
      <c r="B18" s="6">
        <v>4.4111111111111132</v>
      </c>
    </row>
    <row r="20" spans="1:2" x14ac:dyDescent="0.25">
      <c r="A20" s="1" t="s">
        <v>1557</v>
      </c>
      <c r="B20" t="s">
        <v>1560</v>
      </c>
    </row>
    <row r="21" spans="1:2" x14ac:dyDescent="0.25">
      <c r="A21" s="2" t="s">
        <v>48</v>
      </c>
      <c r="B21" s="6">
        <v>159.09999999999997</v>
      </c>
    </row>
    <row r="22" spans="1:2" x14ac:dyDescent="0.25">
      <c r="A22" s="2" t="s">
        <v>41</v>
      </c>
      <c r="B22" s="6">
        <v>450.50000000000011</v>
      </c>
    </row>
    <row r="23" spans="1:2" x14ac:dyDescent="0.25">
      <c r="A23" s="2" t="s">
        <v>70</v>
      </c>
      <c r="B23" s="6">
        <v>179.09999999999994</v>
      </c>
    </row>
    <row r="24" spans="1:2" x14ac:dyDescent="0.25">
      <c r="A24" s="2" t="s">
        <v>51</v>
      </c>
      <c r="B24" s="6">
        <v>258.10000000000002</v>
      </c>
    </row>
    <row r="25" spans="1:2" x14ac:dyDescent="0.25">
      <c r="A25" s="2" t="s">
        <v>59</v>
      </c>
      <c r="B25" s="6">
        <v>194.10000000000002</v>
      </c>
    </row>
    <row r="26" spans="1:2" x14ac:dyDescent="0.25">
      <c r="A26" s="2" t="s">
        <v>34</v>
      </c>
      <c r="B26" s="6">
        <v>305.40000000000003</v>
      </c>
    </row>
    <row r="27" spans="1:2" x14ac:dyDescent="0.25">
      <c r="A27" s="2" t="s">
        <v>1556</v>
      </c>
      <c r="B27" s="6">
        <v>1546.3000000000002</v>
      </c>
    </row>
    <row r="29" spans="1:2" x14ac:dyDescent="0.25">
      <c r="A29" t="s">
        <v>1563</v>
      </c>
    </row>
    <row r="30" spans="1:2" x14ac:dyDescent="0.25">
      <c r="A30" s="6">
        <v>46</v>
      </c>
    </row>
    <row r="31" spans="1:2" x14ac:dyDescent="0.25">
      <c r="A31" s="1" t="s">
        <v>1557</v>
      </c>
      <c r="B31" t="s">
        <v>1569</v>
      </c>
    </row>
    <row r="32" spans="1:2" x14ac:dyDescent="0.25">
      <c r="A32" s="2" t="s">
        <v>70</v>
      </c>
      <c r="B32" s="6">
        <v>114</v>
      </c>
    </row>
    <row r="33" spans="1:3" x14ac:dyDescent="0.25">
      <c r="A33" s="2" t="s">
        <v>48</v>
      </c>
      <c r="B33" s="6">
        <v>129</v>
      </c>
    </row>
    <row r="34" spans="1:3" x14ac:dyDescent="0.25">
      <c r="A34" s="2" t="s">
        <v>59</v>
      </c>
      <c r="B34" s="6">
        <v>144</v>
      </c>
    </row>
    <row r="35" spans="1:3" x14ac:dyDescent="0.25">
      <c r="A35" s="2" t="s">
        <v>51</v>
      </c>
      <c r="B35" s="6">
        <v>170</v>
      </c>
    </row>
    <row r="36" spans="1:3" x14ac:dyDescent="0.25">
      <c r="A36" s="2" t="s">
        <v>34</v>
      </c>
      <c r="B36" s="6">
        <v>207</v>
      </c>
    </row>
    <row r="37" spans="1:3" x14ac:dyDescent="0.25">
      <c r="A37" s="2" t="s">
        <v>41</v>
      </c>
      <c r="B37" s="6">
        <v>339</v>
      </c>
    </row>
    <row r="38" spans="1:3" x14ac:dyDescent="0.25">
      <c r="A38" s="2" t="s">
        <v>1556</v>
      </c>
      <c r="B38" s="6">
        <v>1103</v>
      </c>
    </row>
    <row r="41" spans="1:3" x14ac:dyDescent="0.25">
      <c r="A41" s="1" t="s">
        <v>1572</v>
      </c>
      <c r="B41" s="1" t="s">
        <v>1573</v>
      </c>
    </row>
    <row r="42" spans="1:3" x14ac:dyDescent="0.25">
      <c r="A42" s="1" t="s">
        <v>1557</v>
      </c>
      <c r="B42" t="s">
        <v>50</v>
      </c>
      <c r="C42" t="s">
        <v>1556</v>
      </c>
    </row>
    <row r="43" spans="1:3" x14ac:dyDescent="0.25">
      <c r="A43" s="2" t="s">
        <v>1571</v>
      </c>
      <c r="B43" s="6">
        <v>46</v>
      </c>
      <c r="C43" s="6">
        <v>46</v>
      </c>
    </row>
    <row r="44" spans="1:3" x14ac:dyDescent="0.25">
      <c r="A44" s="2" t="s">
        <v>1556</v>
      </c>
      <c r="B44" s="6">
        <v>46</v>
      </c>
      <c r="C44" s="6">
        <v>46</v>
      </c>
    </row>
    <row r="57" spans="1:2" x14ac:dyDescent="0.25">
      <c r="A57" s="1" t="s">
        <v>1557</v>
      </c>
      <c r="B57" t="s">
        <v>1575</v>
      </c>
    </row>
    <row r="58" spans="1:2" x14ac:dyDescent="0.25">
      <c r="A58" s="2" t="s">
        <v>47</v>
      </c>
      <c r="B58" s="7">
        <v>3068.5999999999981</v>
      </c>
    </row>
    <row r="59" spans="1:2" x14ac:dyDescent="0.25">
      <c r="A59" s="2" t="s">
        <v>31</v>
      </c>
      <c r="B59" s="7">
        <v>3206.799999999997</v>
      </c>
    </row>
    <row r="60" spans="1:2" x14ac:dyDescent="0.25">
      <c r="A60" s="2" t="s">
        <v>50</v>
      </c>
      <c r="B60" s="7">
        <v>867.40000000000009</v>
      </c>
    </row>
    <row r="61" spans="1:2" x14ac:dyDescent="0.25">
      <c r="A61" s="2" t="s">
        <v>1555</v>
      </c>
      <c r="B61" s="7">
        <v>277.70000000000005</v>
      </c>
    </row>
    <row r="62" spans="1:2" x14ac:dyDescent="0.25">
      <c r="A62" s="2" t="s">
        <v>1556</v>
      </c>
      <c r="B62" s="7">
        <v>7420.4999999999955</v>
      </c>
    </row>
    <row r="66" spans="1:3" x14ac:dyDescent="0.25">
      <c r="A66" s="1" t="s">
        <v>1557</v>
      </c>
      <c r="B66" t="s">
        <v>1576</v>
      </c>
      <c r="C66" t="s">
        <v>1577</v>
      </c>
    </row>
    <row r="67" spans="1:3" x14ac:dyDescent="0.25">
      <c r="A67" s="2" t="s">
        <v>247</v>
      </c>
      <c r="B67" s="8">
        <v>0.11022044088176353</v>
      </c>
      <c r="C67" s="6">
        <v>165</v>
      </c>
    </row>
    <row r="68" spans="1:3" x14ac:dyDescent="0.25">
      <c r="A68" s="2" t="s">
        <v>887</v>
      </c>
      <c r="B68" s="8">
        <v>0.10354041416165664</v>
      </c>
      <c r="C68" s="6">
        <v>155</v>
      </c>
    </row>
    <row r="69" spans="1:3" x14ac:dyDescent="0.25">
      <c r="A69" s="2" t="s">
        <v>1059</v>
      </c>
      <c r="B69" s="8">
        <v>0.10354041416165664</v>
      </c>
      <c r="C69" s="6">
        <v>155</v>
      </c>
    </row>
    <row r="70" spans="1:3" x14ac:dyDescent="0.25">
      <c r="A70" s="2" t="s">
        <v>197</v>
      </c>
      <c r="B70" s="8">
        <v>9.8196392785571143E-2</v>
      </c>
      <c r="C70" s="6">
        <v>147</v>
      </c>
    </row>
    <row r="71" spans="1:3" x14ac:dyDescent="0.25">
      <c r="A71" s="2" t="s">
        <v>1267</v>
      </c>
      <c r="B71" s="8">
        <v>9.8196392785571143E-2</v>
      </c>
      <c r="C71" s="6">
        <v>147</v>
      </c>
    </row>
    <row r="72" spans="1:3" x14ac:dyDescent="0.25">
      <c r="A72" s="2" t="s">
        <v>192</v>
      </c>
      <c r="B72" s="8">
        <v>9.8196392785571143E-2</v>
      </c>
      <c r="C72" s="6">
        <v>147</v>
      </c>
    </row>
    <row r="73" spans="1:3" x14ac:dyDescent="0.25">
      <c r="A73" s="2" t="s">
        <v>786</v>
      </c>
      <c r="B73" s="8">
        <v>9.7528390113560459E-2</v>
      </c>
      <c r="C73" s="6">
        <v>146</v>
      </c>
    </row>
    <row r="74" spans="1:3" x14ac:dyDescent="0.25">
      <c r="A74" s="2" t="s">
        <v>754</v>
      </c>
      <c r="B74" s="8">
        <v>9.7528390113560459E-2</v>
      </c>
      <c r="C74" s="6">
        <v>146</v>
      </c>
    </row>
    <row r="75" spans="1:3" x14ac:dyDescent="0.25">
      <c r="A75" s="2" t="s">
        <v>929</v>
      </c>
      <c r="B75" s="8">
        <v>9.6860387441549761E-2</v>
      </c>
      <c r="C75" s="6">
        <v>145</v>
      </c>
    </row>
    <row r="76" spans="1:3" x14ac:dyDescent="0.25">
      <c r="A76" s="2" t="s">
        <v>535</v>
      </c>
      <c r="B76" s="8">
        <v>9.6192384769539077E-2</v>
      </c>
      <c r="C76" s="6">
        <v>144</v>
      </c>
    </row>
    <row r="77" spans="1:3" x14ac:dyDescent="0.25">
      <c r="A77" s="2" t="s">
        <v>1556</v>
      </c>
      <c r="B77" s="8">
        <v>1</v>
      </c>
      <c r="C77" s="6">
        <v>1497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3B6FD-EAC9-4481-841E-403F5C4FA8CB}">
  <sheetPr codeName="Sheet2"/>
  <dimension ref="A3:E16"/>
  <sheetViews>
    <sheetView workbookViewId="0">
      <selection activeCell="C4" sqref="C4"/>
    </sheetView>
  </sheetViews>
  <sheetFormatPr defaultRowHeight="15" x14ac:dyDescent="0.25"/>
  <cols>
    <col min="1" max="1" width="16.140625" bestFit="1" customWidth="1"/>
  </cols>
  <sheetData>
    <row r="3" spans="1:5" x14ac:dyDescent="0.25">
      <c r="A3" t="s">
        <v>1563</v>
      </c>
    </row>
    <row r="4" spans="1:5" x14ac:dyDescent="0.25">
      <c r="A4" s="6">
        <v>46</v>
      </c>
      <c r="C4">
        <f>GETPIVOTDATA("User_ID",$A$3)</f>
        <v>46</v>
      </c>
      <c r="E4">
        <f>GETPIVOTDATA("User_ID",$A$3)</f>
        <v>46</v>
      </c>
    </row>
    <row r="6" spans="1:5" x14ac:dyDescent="0.25">
      <c r="A6" t="s">
        <v>1565</v>
      </c>
    </row>
    <row r="7" spans="1:5" x14ac:dyDescent="0.25">
      <c r="A7" s="3">
        <v>4.5748520710059148</v>
      </c>
      <c r="C7">
        <f>GETPIVOTDATA("Daily_Usage_Hours",$A$6)</f>
        <v>4.5748520710059148</v>
      </c>
    </row>
    <row r="9" spans="1:5" x14ac:dyDescent="0.25">
      <c r="A9" t="s">
        <v>1566</v>
      </c>
    </row>
    <row r="10" spans="1:5" x14ac:dyDescent="0.25">
      <c r="A10" s="3">
        <v>6.4525862068965507</v>
      </c>
      <c r="C10">
        <f>GETPIVOTDATA("Mental_Wellbeing_Score",$A$9)</f>
        <v>6.4525862068965507</v>
      </c>
    </row>
    <row r="12" spans="1:5" x14ac:dyDescent="0.25">
      <c r="A12" t="s">
        <v>1567</v>
      </c>
    </row>
    <row r="13" spans="1:5" x14ac:dyDescent="0.25">
      <c r="A13" s="3">
        <v>6.5386706948640487</v>
      </c>
      <c r="C13">
        <f>GETPIVOTDATA("Sleep_Hours",$A$12)</f>
        <v>6.5386706948640487</v>
      </c>
    </row>
    <row r="15" spans="1:5" x14ac:dyDescent="0.25">
      <c r="A15" t="s">
        <v>1568</v>
      </c>
    </row>
    <row r="16" spans="1:5" x14ac:dyDescent="0.25">
      <c r="A16" s="3">
        <v>63.712643678160923</v>
      </c>
      <c r="C16">
        <f>GETPIVOTDATA("Notifications_Per_Day",$A$15)</f>
        <v>63.712643678160923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5C710-D432-4B97-B494-965C0C3D4FD5}">
  <sheetPr codeName="Sheet3"/>
  <dimension ref="A3"/>
  <sheetViews>
    <sheetView topLeftCell="A2" zoomScale="85" zoomScaleNormal="85" workbookViewId="0">
      <selection activeCell="Q15" sqref="Q15"/>
    </sheetView>
  </sheetViews>
  <sheetFormatPr defaultRowHeight="15" x14ac:dyDescent="0.25"/>
  <sheetData>
    <row r="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0EA66-D5D6-4234-B9C9-D37894284917}">
  <sheetPr codeName="Sheet4"/>
  <dimension ref="A1:AJ1501"/>
  <sheetViews>
    <sheetView topLeftCell="A2" zoomScale="92" workbookViewId="0">
      <selection activeCell="X9" sqref="A2:AF1501"/>
    </sheetView>
  </sheetViews>
  <sheetFormatPr defaultRowHeight="15" x14ac:dyDescent="0.25"/>
  <cols>
    <col min="1" max="1" width="10.140625" customWidth="1"/>
    <col min="3" max="3" width="9.85546875" customWidth="1"/>
    <col min="4" max="4" width="13.140625" customWidth="1"/>
    <col min="5" max="5" width="20.7109375" customWidth="1"/>
    <col min="6" max="6" width="18.7109375" customWidth="1"/>
    <col min="7" max="7" width="20.140625" customWidth="1"/>
    <col min="8" max="8" width="23.5703125" customWidth="1"/>
    <col min="9" max="9" width="18.140625" customWidth="1"/>
    <col min="10" max="10" width="19.140625" customWidth="1"/>
    <col min="11" max="11" width="21.85546875" customWidth="1"/>
    <col min="12" max="12" width="22.85546875" customWidth="1"/>
    <col min="13" max="13" width="14.7109375" customWidth="1"/>
    <col min="14" max="14" width="25.7109375" customWidth="1"/>
    <col min="15" max="15" width="26.140625" customWidth="1"/>
    <col min="16" max="16" width="24.7109375" customWidth="1"/>
    <col min="17" max="17" width="19.85546875" customWidth="1"/>
    <col min="18" max="18" width="20.7109375" customWidth="1"/>
    <col min="19" max="19" width="15.85546875" customWidth="1"/>
    <col min="20" max="20" width="19" customWidth="1"/>
    <col min="21" max="21" width="18.42578125" customWidth="1"/>
    <col min="22" max="22" width="20" customWidth="1"/>
    <col min="23" max="23" width="21.42578125" customWidth="1"/>
    <col min="24" max="24" width="14.28515625" customWidth="1"/>
    <col min="25" max="25" width="24.42578125" customWidth="1"/>
    <col min="26" max="26" width="29" customWidth="1"/>
    <col min="27" max="27" width="28.140625" customWidth="1"/>
    <col min="28" max="28" width="23.42578125" customWidth="1"/>
    <col min="29" max="29" width="25.7109375" customWidth="1"/>
    <col min="30" max="30" width="17.42578125"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1570</v>
      </c>
      <c r="AF1" t="s">
        <v>1574</v>
      </c>
      <c r="AH1" t="s">
        <v>1570</v>
      </c>
    </row>
    <row r="2" spans="1:36" x14ac:dyDescent="0.25">
      <c r="A2" t="s">
        <v>30</v>
      </c>
      <c r="B2">
        <v>30</v>
      </c>
      <c r="C2" t="s">
        <v>31</v>
      </c>
      <c r="D2" t="s">
        <v>32</v>
      </c>
      <c r="E2" t="s">
        <v>33</v>
      </c>
      <c r="F2" t="s">
        <v>34</v>
      </c>
      <c r="G2">
        <v>2.9</v>
      </c>
      <c r="H2">
        <v>4</v>
      </c>
      <c r="I2">
        <v>3</v>
      </c>
      <c r="J2" t="s">
        <v>35</v>
      </c>
      <c r="K2" t="s">
        <v>36</v>
      </c>
      <c r="L2">
        <v>62</v>
      </c>
      <c r="M2">
        <v>4.9000000000000004</v>
      </c>
      <c r="N2">
        <v>7.4</v>
      </c>
      <c r="O2">
        <v>2.1</v>
      </c>
      <c r="P2">
        <v>10</v>
      </c>
      <c r="Q2" t="s">
        <v>35</v>
      </c>
      <c r="R2" t="s">
        <v>35</v>
      </c>
      <c r="S2">
        <v>2.5</v>
      </c>
      <c r="T2">
        <v>3.8</v>
      </c>
      <c r="U2">
        <v>1.7</v>
      </c>
      <c r="V2">
        <v>6.5</v>
      </c>
      <c r="W2">
        <v>8.5</v>
      </c>
      <c r="X2">
        <v>5.3</v>
      </c>
      <c r="Y2">
        <v>3.7</v>
      </c>
      <c r="Z2">
        <v>3.8</v>
      </c>
      <c r="AA2">
        <v>5.8</v>
      </c>
      <c r="AB2">
        <v>3.1</v>
      </c>
      <c r="AC2">
        <v>7.3</v>
      </c>
      <c r="AD2" t="s">
        <v>37</v>
      </c>
      <c r="AH2">
        <f>data[[#This Row],[age group]]</f>
        <v>0</v>
      </c>
      <c r="AJ2">
        <v>998</v>
      </c>
    </row>
    <row r="3" spans="1:36" x14ac:dyDescent="0.25">
      <c r="A3" t="s">
        <v>38</v>
      </c>
      <c r="B3">
        <v>19</v>
      </c>
      <c r="C3" t="s">
        <v>31</v>
      </c>
      <c r="D3" t="s">
        <v>39</v>
      </c>
      <c r="E3" t="s">
        <v>40</v>
      </c>
      <c r="F3" t="s">
        <v>41</v>
      </c>
      <c r="G3">
        <v>4.8</v>
      </c>
      <c r="H3">
        <v>1</v>
      </c>
      <c r="I3">
        <v>0</v>
      </c>
      <c r="K3" t="s">
        <v>36</v>
      </c>
      <c r="L3">
        <v>111</v>
      </c>
      <c r="M3">
        <v>4.2</v>
      </c>
      <c r="N3">
        <v>5.4</v>
      </c>
      <c r="O3">
        <v>7.2</v>
      </c>
      <c r="P3">
        <v>9</v>
      </c>
      <c r="Q3" t="s">
        <v>42</v>
      </c>
      <c r="R3" t="s">
        <v>42</v>
      </c>
      <c r="S3">
        <v>4</v>
      </c>
      <c r="T3">
        <v>3.2</v>
      </c>
      <c r="U3">
        <v>7</v>
      </c>
      <c r="V3">
        <v>7.5</v>
      </c>
      <c r="W3">
        <v>7.8</v>
      </c>
      <c r="X3">
        <v>5.5</v>
      </c>
      <c r="Y3">
        <v>4</v>
      </c>
      <c r="Z3">
        <v>1.8</v>
      </c>
      <c r="AA3">
        <v>0.9</v>
      </c>
      <c r="AB3">
        <v>3.3</v>
      </c>
      <c r="AC3">
        <v>4.0999999999999996</v>
      </c>
      <c r="AD3" t="s">
        <v>43</v>
      </c>
      <c r="AE3" t="str">
        <f>IF(AND(data[[#This Row],[Age]]&gt;=18,data[[#This Row],[Age]]&lt;=24),"18-24",IF(AND(data[[#This Row],[Age]]&gt;=25,data[[#This Row],[Age]]&lt;=34),"25-34",IF(AND(data[[#This Row],[Age]]&gt;35,data[[#This Row],[Age]]&lt;=44),"35-44",IF(data[[#This Row],[Age]]&gt;44,"45+",IF(data[[#This Row],[Age]]&lt;18,"below 18 ")))))</f>
        <v>18-24</v>
      </c>
      <c r="AH3">
        <f>AE2</f>
        <v>0</v>
      </c>
    </row>
    <row r="4" spans="1:36" x14ac:dyDescent="0.25">
      <c r="A4" t="s">
        <v>44</v>
      </c>
      <c r="B4">
        <v>40</v>
      </c>
      <c r="C4" t="s">
        <v>31</v>
      </c>
      <c r="D4" t="s">
        <v>39</v>
      </c>
      <c r="E4" t="s">
        <v>33</v>
      </c>
      <c r="F4" t="s">
        <v>34</v>
      </c>
      <c r="H4">
        <v>4</v>
      </c>
      <c r="I4">
        <v>5</v>
      </c>
      <c r="J4" t="s">
        <v>35</v>
      </c>
      <c r="K4" t="s">
        <v>36</v>
      </c>
      <c r="L4">
        <v>122</v>
      </c>
      <c r="M4">
        <v>2.7</v>
      </c>
      <c r="N4">
        <v>5.4</v>
      </c>
      <c r="O4">
        <v>5.9</v>
      </c>
      <c r="P4">
        <v>6.1</v>
      </c>
      <c r="Q4" t="s">
        <v>35</v>
      </c>
      <c r="R4" t="s">
        <v>42</v>
      </c>
      <c r="S4">
        <v>7.6</v>
      </c>
      <c r="T4">
        <v>0</v>
      </c>
      <c r="U4">
        <v>5.6</v>
      </c>
      <c r="V4">
        <v>5.3</v>
      </c>
      <c r="W4">
        <v>6.3</v>
      </c>
      <c r="Y4">
        <v>5.8</v>
      </c>
      <c r="Z4">
        <v>2.8</v>
      </c>
      <c r="AA4">
        <v>0</v>
      </c>
      <c r="AB4">
        <v>1.5</v>
      </c>
      <c r="AC4">
        <v>5.6</v>
      </c>
      <c r="AD4" t="s">
        <v>45</v>
      </c>
      <c r="AE4" t="str">
        <f>IF(AND(data[[#This Row],[Age]]&gt;=18,data[[#This Row],[Age]]&lt;=24),"18-24",IF(AND(data[[#This Row],[Age]]&gt;=25,data[[#This Row],[Age]]&lt;=34),"25-34",IF(AND(data[[#This Row],[Age]]&gt;35,data[[#This Row],[Age]]&lt;=44),"35-44",IF(data[[#This Row],[Age]]&gt;44,"45+",IF(data[[#This Row],[Age]]&lt;18,"below 18 ")))))</f>
        <v>35-44</v>
      </c>
      <c r="AH4">
        <f>IF(AND(data[[#This Row],[Age]]&gt;18,data[[#This Row],[Age]]&lt;=24),"18-24",IF(AND(data[[#This Row],[Age]]&gt;=25,data[[#This Row],[Age]]&lt;=34),"25-34",0))</f>
        <v>0</v>
      </c>
    </row>
    <row r="5" spans="1:36" x14ac:dyDescent="0.25">
      <c r="A5" t="s">
        <v>46</v>
      </c>
      <c r="B5">
        <v>37</v>
      </c>
      <c r="C5" t="s">
        <v>47</v>
      </c>
      <c r="D5" t="s">
        <v>39</v>
      </c>
      <c r="E5" t="s">
        <v>40</v>
      </c>
      <c r="F5" t="s">
        <v>48</v>
      </c>
      <c r="G5">
        <v>7.7</v>
      </c>
      <c r="H5">
        <v>2</v>
      </c>
      <c r="I5">
        <v>3</v>
      </c>
      <c r="J5" t="s">
        <v>42</v>
      </c>
      <c r="K5" t="s">
        <v>36</v>
      </c>
      <c r="L5">
        <v>48</v>
      </c>
      <c r="M5">
        <v>3.9</v>
      </c>
      <c r="N5">
        <v>8.3000000000000007</v>
      </c>
      <c r="O5">
        <v>4.9000000000000004</v>
      </c>
      <c r="P5">
        <v>4.0999999999999996</v>
      </c>
      <c r="R5" t="s">
        <v>35</v>
      </c>
      <c r="S5">
        <v>3.3</v>
      </c>
      <c r="T5">
        <v>3.5</v>
      </c>
      <c r="U5">
        <v>5.6</v>
      </c>
      <c r="V5">
        <v>1.4</v>
      </c>
      <c r="W5">
        <v>3.9</v>
      </c>
      <c r="X5">
        <v>6.1</v>
      </c>
      <c r="Y5">
        <v>5.5</v>
      </c>
      <c r="Z5">
        <v>3.6</v>
      </c>
      <c r="AA5">
        <v>1</v>
      </c>
      <c r="AB5">
        <v>3.9</v>
      </c>
      <c r="AC5">
        <v>4.3</v>
      </c>
      <c r="AD5" t="s">
        <v>43</v>
      </c>
      <c r="AE5" t="str">
        <f>IF(AND(data[[#This Row],[Age]]&gt;=18,data[[#This Row],[Age]]&lt;=24),"18-24",IF(AND(data[[#This Row],[Age]]&gt;=25,data[[#This Row],[Age]]&lt;=34),"25-34",IF(AND(data[[#This Row],[Age]]&gt;35,data[[#This Row],[Age]]&lt;=44),"35-44",IF(data[[#This Row],[Age]]&gt;44,"45+",IF(data[[#This Row],[Age]]&lt;18,"below 18 ")))))</f>
        <v>35-44</v>
      </c>
      <c r="AH5">
        <f>IF(AND(data[[#This Row],[Age]]&gt;18,data[[#This Row],[Age]]&lt;=24),"18-24",IF(AND(data[[#This Row],[Age]]&gt;=25,data[[#This Row],[Age]]&lt;=34),"25-34",0))</f>
        <v>0</v>
      </c>
    </row>
    <row r="6" spans="1:36" x14ac:dyDescent="0.25">
      <c r="A6" t="s">
        <v>49</v>
      </c>
      <c r="B6">
        <v>18</v>
      </c>
      <c r="C6" t="s">
        <v>50</v>
      </c>
      <c r="D6" t="s">
        <v>39</v>
      </c>
      <c r="E6" t="s">
        <v>33</v>
      </c>
      <c r="F6" t="s">
        <v>51</v>
      </c>
      <c r="G6">
        <v>4.5999999999999996</v>
      </c>
      <c r="H6">
        <v>3</v>
      </c>
      <c r="I6">
        <v>0</v>
      </c>
      <c r="J6" t="s">
        <v>35</v>
      </c>
      <c r="K6" t="s">
        <v>52</v>
      </c>
      <c r="L6">
        <v>58</v>
      </c>
      <c r="M6">
        <v>6</v>
      </c>
      <c r="N6">
        <v>8.6</v>
      </c>
      <c r="O6">
        <v>2.8</v>
      </c>
      <c r="P6">
        <v>7.3</v>
      </c>
      <c r="Q6" t="s">
        <v>42</v>
      </c>
      <c r="R6" t="s">
        <v>42</v>
      </c>
      <c r="S6">
        <v>6.5</v>
      </c>
      <c r="T6">
        <v>0</v>
      </c>
      <c r="U6">
        <v>4</v>
      </c>
      <c r="W6">
        <v>5.7</v>
      </c>
      <c r="X6">
        <v>5</v>
      </c>
      <c r="Y6">
        <v>3.8</v>
      </c>
      <c r="Z6">
        <v>3.2</v>
      </c>
      <c r="AA6">
        <v>0.6</v>
      </c>
      <c r="AB6">
        <v>1</v>
      </c>
      <c r="AC6">
        <v>6.6</v>
      </c>
      <c r="AD6" t="s">
        <v>53</v>
      </c>
      <c r="AE6" t="str">
        <f>IF(AND(data[[#This Row],[Age]]&gt;=18,data[[#This Row],[Age]]&lt;=24),"18-24",IF(AND(data[[#This Row],[Age]]&gt;=25,data[[#This Row],[Age]]&lt;=34),"25-34",IF(AND(data[[#This Row],[Age]]&gt;35,data[[#This Row],[Age]]&lt;=44),"35-44",IF(data[[#This Row],[Age]]&gt;44,"45+",IF(data[[#This Row],[Age]]&lt;18,"below 18 ")))))</f>
        <v>18-24</v>
      </c>
      <c r="AH6">
        <f>IF(AND(data[[#This Row],[Age]]&gt;18,data[[#This Row],[Age]]&lt;=24),"18-24",IF(AND(data[[#This Row],[Age]]&gt;=25,data[[#This Row],[Age]]&lt;=34),"25-34",0))</f>
        <v>0</v>
      </c>
    </row>
    <row r="7" spans="1:36" x14ac:dyDescent="0.25">
      <c r="A7" t="s">
        <v>54</v>
      </c>
      <c r="B7">
        <v>34</v>
      </c>
      <c r="C7" t="s">
        <v>31</v>
      </c>
      <c r="D7" t="s">
        <v>32</v>
      </c>
      <c r="E7" t="s">
        <v>40</v>
      </c>
      <c r="F7" t="s">
        <v>34</v>
      </c>
      <c r="G7">
        <v>1.2</v>
      </c>
      <c r="H7">
        <v>1</v>
      </c>
      <c r="I7">
        <v>3</v>
      </c>
      <c r="J7" t="s">
        <v>35</v>
      </c>
      <c r="K7" t="s">
        <v>52</v>
      </c>
      <c r="L7">
        <v>37</v>
      </c>
      <c r="M7">
        <v>5.5</v>
      </c>
      <c r="N7">
        <v>5.0999999999999996</v>
      </c>
      <c r="O7">
        <v>7.1</v>
      </c>
      <c r="P7">
        <v>6</v>
      </c>
      <c r="Q7" t="s">
        <v>42</v>
      </c>
      <c r="R7" t="s">
        <v>42</v>
      </c>
      <c r="S7">
        <v>5.2</v>
      </c>
      <c r="T7">
        <v>5.3</v>
      </c>
      <c r="U7">
        <v>5</v>
      </c>
      <c r="V7">
        <v>7.9</v>
      </c>
      <c r="X7">
        <v>5.6</v>
      </c>
      <c r="Y7">
        <v>2.8</v>
      </c>
      <c r="Z7">
        <v>5.6</v>
      </c>
      <c r="AA7">
        <v>4.0999999999999996</v>
      </c>
      <c r="AB7">
        <v>1.5</v>
      </c>
      <c r="AC7">
        <v>7.7</v>
      </c>
      <c r="AD7" t="s">
        <v>37</v>
      </c>
      <c r="AE7" t="str">
        <f>IF(AND(data[[#This Row],[Age]]&gt;=18,data[[#This Row],[Age]]&lt;=24),"18-24",IF(AND(data[[#This Row],[Age]]&gt;=25,data[[#This Row],[Age]]&lt;=34),"25-34",IF(AND(data[[#This Row],[Age]]&gt;35,data[[#This Row],[Age]]&lt;=44),"35-44",IF(data[[#This Row],[Age]]&gt;44,"45+",IF(data[[#This Row],[Age]]&lt;18,"below 18 ")))))</f>
        <v>25-34</v>
      </c>
      <c r="AH7" t="str">
        <f>IF(AND(data[[#This Row],[Age]]&gt;18,data[[#This Row],[Age]]&lt;=24),"18-24",IF(AND(data[[#This Row],[Age]]&gt;=25,data[[#This Row],[Age]]&lt;=34),"25-34",0))</f>
        <v>25-34</v>
      </c>
    </row>
    <row r="8" spans="1:36" x14ac:dyDescent="0.25">
      <c r="A8" t="s">
        <v>55</v>
      </c>
      <c r="B8">
        <v>38</v>
      </c>
      <c r="C8" t="s">
        <v>47</v>
      </c>
      <c r="D8" t="s">
        <v>39</v>
      </c>
      <c r="E8" t="s">
        <v>33</v>
      </c>
      <c r="F8" t="s">
        <v>48</v>
      </c>
      <c r="G8">
        <v>5</v>
      </c>
      <c r="H8">
        <v>4</v>
      </c>
      <c r="I8">
        <v>4</v>
      </c>
      <c r="J8" t="s">
        <v>42</v>
      </c>
      <c r="K8" t="s">
        <v>36</v>
      </c>
      <c r="L8">
        <v>24</v>
      </c>
      <c r="M8">
        <v>4</v>
      </c>
      <c r="N8">
        <v>4.8</v>
      </c>
      <c r="O8">
        <v>6</v>
      </c>
      <c r="P8">
        <v>2.6</v>
      </c>
      <c r="Q8" t="s">
        <v>35</v>
      </c>
      <c r="R8" t="s">
        <v>42</v>
      </c>
      <c r="S8">
        <v>5.3</v>
      </c>
      <c r="T8">
        <v>3.8</v>
      </c>
      <c r="U8">
        <v>7.2</v>
      </c>
      <c r="V8">
        <v>0.5</v>
      </c>
      <c r="W8">
        <v>4.8</v>
      </c>
      <c r="X8">
        <v>8.1999999999999993</v>
      </c>
      <c r="Y8">
        <v>6.8</v>
      </c>
      <c r="Z8">
        <v>5.4</v>
      </c>
      <c r="AA8">
        <v>3.2</v>
      </c>
      <c r="AB8">
        <v>3.7</v>
      </c>
      <c r="AC8">
        <v>5.5</v>
      </c>
      <c r="AD8" t="s">
        <v>45</v>
      </c>
      <c r="AE8" t="str">
        <f>IF(AND(data[[#This Row],[Age]]&gt;=18,data[[#This Row],[Age]]&lt;=24),"18-24",IF(AND(data[[#This Row],[Age]]&gt;=25,data[[#This Row],[Age]]&lt;=34),"25-34",IF(AND(data[[#This Row],[Age]]&gt;35,data[[#This Row],[Age]]&lt;=44),"35-44",IF(data[[#This Row],[Age]]&gt;44,"45+",IF(data[[#This Row],[Age]]&lt;18,"below 18 ")))))</f>
        <v>35-44</v>
      </c>
      <c r="AH8">
        <f>IF(AND(data[[#This Row],[Age]]&gt;18,data[[#This Row],[Age]]&lt;=24),"18-24",IF(AND(data[[#This Row],[Age]]&gt;=25,data[[#This Row],[Age]]&lt;=34),"25-34",0))</f>
        <v>0</v>
      </c>
    </row>
    <row r="9" spans="1:36" x14ac:dyDescent="0.25">
      <c r="A9" t="s">
        <v>56</v>
      </c>
      <c r="B9">
        <v>22</v>
      </c>
      <c r="C9" t="s">
        <v>47</v>
      </c>
      <c r="D9" t="s">
        <v>57</v>
      </c>
      <c r="E9" t="s">
        <v>58</v>
      </c>
      <c r="F9" t="s">
        <v>59</v>
      </c>
      <c r="G9">
        <v>3.4</v>
      </c>
      <c r="H9">
        <v>5</v>
      </c>
      <c r="I9">
        <v>2</v>
      </c>
      <c r="J9" t="s">
        <v>35</v>
      </c>
      <c r="K9" t="s">
        <v>36</v>
      </c>
      <c r="L9">
        <v>64</v>
      </c>
      <c r="M9">
        <v>6.5</v>
      </c>
      <c r="N9">
        <v>7.5</v>
      </c>
      <c r="O9">
        <v>4</v>
      </c>
      <c r="P9">
        <v>4</v>
      </c>
      <c r="Q9" t="s">
        <v>42</v>
      </c>
      <c r="R9" t="s">
        <v>35</v>
      </c>
      <c r="S9">
        <v>3.4</v>
      </c>
      <c r="T9">
        <v>6.1</v>
      </c>
      <c r="U9">
        <v>3.1</v>
      </c>
      <c r="V9">
        <v>2.9</v>
      </c>
      <c r="W9">
        <v>3.8</v>
      </c>
      <c r="X9">
        <v>10</v>
      </c>
      <c r="Y9">
        <v>6.8</v>
      </c>
      <c r="Z9">
        <v>6.7</v>
      </c>
      <c r="AB9">
        <v>6.6</v>
      </c>
      <c r="AC9">
        <v>6.2</v>
      </c>
      <c r="AD9" t="s">
        <v>53</v>
      </c>
      <c r="AE9" t="str">
        <f>IF(AND(data[[#This Row],[Age]]&gt;=18,data[[#This Row],[Age]]&lt;=24),"18-24",IF(AND(data[[#This Row],[Age]]&gt;=25,data[[#This Row],[Age]]&lt;=34),"25-34",IF(AND(data[[#This Row],[Age]]&gt;35,data[[#This Row],[Age]]&lt;=44),"35-44",IF(data[[#This Row],[Age]]&gt;44,"45+",IF(data[[#This Row],[Age]]&lt;18,"below 18 ")))))</f>
        <v>18-24</v>
      </c>
      <c r="AH9" t="str">
        <f>IF(AND(data[[#This Row],[Age]]&gt;18,data[[#This Row],[Age]]&lt;=24),"18-24",IF(AND(data[[#This Row],[Age]]&gt;=25,data[[#This Row],[Age]]&lt;=34),"25-34",0))</f>
        <v>18-24</v>
      </c>
    </row>
    <row r="10" spans="1:36" x14ac:dyDescent="0.25">
      <c r="A10" t="s">
        <v>60</v>
      </c>
      <c r="B10">
        <v>43</v>
      </c>
      <c r="C10" t="s">
        <v>47</v>
      </c>
      <c r="D10" t="s">
        <v>39</v>
      </c>
      <c r="E10" t="s">
        <v>58</v>
      </c>
      <c r="F10" t="s">
        <v>34</v>
      </c>
      <c r="G10">
        <v>9.1999999999999993</v>
      </c>
      <c r="H10">
        <v>4</v>
      </c>
      <c r="I10">
        <v>2</v>
      </c>
      <c r="J10" t="s">
        <v>35</v>
      </c>
      <c r="K10" t="s">
        <v>52</v>
      </c>
      <c r="L10">
        <v>115</v>
      </c>
      <c r="M10">
        <v>6.5</v>
      </c>
      <c r="N10">
        <v>8.1999999999999993</v>
      </c>
      <c r="O10">
        <v>4.4000000000000004</v>
      </c>
      <c r="P10">
        <v>8.5</v>
      </c>
      <c r="Q10" t="s">
        <v>35</v>
      </c>
      <c r="R10" t="s">
        <v>42</v>
      </c>
      <c r="S10">
        <v>3.9</v>
      </c>
      <c r="T10">
        <v>2.8</v>
      </c>
      <c r="U10">
        <v>3.8</v>
      </c>
      <c r="V10">
        <v>5.0999999999999996</v>
      </c>
      <c r="W10">
        <v>3.2</v>
      </c>
      <c r="X10">
        <v>5.7</v>
      </c>
      <c r="Y10">
        <v>3.2</v>
      </c>
      <c r="Z10">
        <v>5.4</v>
      </c>
      <c r="AA10">
        <v>4.8</v>
      </c>
      <c r="AB10">
        <v>0.6</v>
      </c>
      <c r="AC10">
        <v>3.4</v>
      </c>
      <c r="AD10" t="s">
        <v>43</v>
      </c>
      <c r="AE10" t="str">
        <f>IF(AND(data[[#This Row],[Age]]&gt;=18,data[[#This Row],[Age]]&lt;=24),"18-24",IF(AND(data[[#This Row],[Age]]&gt;=25,data[[#This Row],[Age]]&lt;=34),"25-34",IF(AND(data[[#This Row],[Age]]&gt;35,data[[#This Row],[Age]]&lt;=44),"35-44",IF(data[[#This Row],[Age]]&gt;44,"45+",IF(data[[#This Row],[Age]]&lt;18,"below 18 ")))))</f>
        <v>35-44</v>
      </c>
      <c r="AH10">
        <f>IF(AND(data[[#This Row],[Age]]&gt;18,data[[#This Row],[Age]]&lt;=24),"18-24",IF(AND(data[[#This Row],[Age]]&gt;=25,data[[#This Row],[Age]]&lt;=34),"25-34",0))</f>
        <v>0</v>
      </c>
    </row>
    <row r="11" spans="1:36" x14ac:dyDescent="0.25">
      <c r="A11" t="s">
        <v>61</v>
      </c>
      <c r="B11">
        <v>40</v>
      </c>
      <c r="C11" t="s">
        <v>31</v>
      </c>
      <c r="D11" t="s">
        <v>39</v>
      </c>
      <c r="E11" t="s">
        <v>58</v>
      </c>
      <c r="F11" t="s">
        <v>41</v>
      </c>
      <c r="G11">
        <v>6.9</v>
      </c>
      <c r="H11">
        <v>2</v>
      </c>
      <c r="I11">
        <v>5</v>
      </c>
      <c r="J11" t="s">
        <v>42</v>
      </c>
      <c r="K11" t="s">
        <v>62</v>
      </c>
      <c r="L11">
        <v>62</v>
      </c>
      <c r="M11">
        <v>0.9</v>
      </c>
      <c r="N11">
        <v>6.9</v>
      </c>
      <c r="O11">
        <v>3.8</v>
      </c>
      <c r="P11">
        <v>7.8</v>
      </c>
      <c r="Q11" t="s">
        <v>35</v>
      </c>
      <c r="R11" t="s">
        <v>35</v>
      </c>
      <c r="S11">
        <v>3.7</v>
      </c>
      <c r="T11">
        <v>2.5</v>
      </c>
      <c r="U11">
        <v>3.9</v>
      </c>
      <c r="V11">
        <v>8.1</v>
      </c>
      <c r="W11">
        <v>7.4</v>
      </c>
      <c r="X11">
        <v>5.8</v>
      </c>
      <c r="Y11">
        <v>6.4</v>
      </c>
      <c r="Z11">
        <v>7.2</v>
      </c>
      <c r="AA11">
        <v>4.5999999999999996</v>
      </c>
      <c r="AB11">
        <v>0</v>
      </c>
      <c r="AC11">
        <v>7.7</v>
      </c>
      <c r="AD11" t="s">
        <v>37</v>
      </c>
      <c r="AE11" t="str">
        <f>IF(AND(data[[#This Row],[Age]]&gt;=18,data[[#This Row],[Age]]&lt;=24),"18-24",IF(AND(data[[#This Row],[Age]]&gt;=25,data[[#This Row],[Age]]&lt;=34),"25-34",IF(AND(data[[#This Row],[Age]]&gt;35,data[[#This Row],[Age]]&lt;=44),"35-44",IF(data[[#This Row],[Age]]&gt;44,"45+",IF(data[[#This Row],[Age]]&lt;18,"below 18 ")))))</f>
        <v>35-44</v>
      </c>
      <c r="AH11">
        <f>IF(AND(data[[#This Row],[Age]]&gt;18,data[[#This Row],[Age]]&lt;=24),"18-24",IF(AND(data[[#This Row],[Age]]&gt;=25,data[[#This Row],[Age]]&lt;=34),"25-34",0))</f>
        <v>0</v>
      </c>
    </row>
    <row r="12" spans="1:36" x14ac:dyDescent="0.25">
      <c r="A12" t="s">
        <v>63</v>
      </c>
      <c r="B12">
        <v>29</v>
      </c>
      <c r="C12" t="s">
        <v>31</v>
      </c>
      <c r="D12" t="s">
        <v>64</v>
      </c>
      <c r="E12" t="s">
        <v>58</v>
      </c>
      <c r="F12" t="s">
        <v>41</v>
      </c>
      <c r="G12">
        <v>2.8</v>
      </c>
      <c r="H12">
        <v>1</v>
      </c>
      <c r="I12">
        <v>3</v>
      </c>
      <c r="J12" t="s">
        <v>42</v>
      </c>
      <c r="K12" t="s">
        <v>62</v>
      </c>
      <c r="L12">
        <v>119</v>
      </c>
      <c r="M12">
        <v>5.3</v>
      </c>
      <c r="N12">
        <v>4.5</v>
      </c>
      <c r="O12">
        <v>6.3</v>
      </c>
      <c r="P12">
        <v>2.2000000000000002</v>
      </c>
      <c r="Q12" t="s">
        <v>42</v>
      </c>
      <c r="R12" t="s">
        <v>35</v>
      </c>
      <c r="S12">
        <v>6.8</v>
      </c>
      <c r="T12">
        <v>4.5</v>
      </c>
      <c r="U12">
        <v>8.1</v>
      </c>
      <c r="V12">
        <v>0.2</v>
      </c>
      <c r="W12">
        <v>8.1</v>
      </c>
      <c r="X12">
        <v>6</v>
      </c>
      <c r="Y12">
        <v>6.6</v>
      </c>
      <c r="Z12">
        <v>7</v>
      </c>
      <c r="AA12">
        <v>1</v>
      </c>
      <c r="AB12">
        <v>2.6</v>
      </c>
      <c r="AC12">
        <v>7</v>
      </c>
      <c r="AD12" t="s">
        <v>37</v>
      </c>
      <c r="AE12" t="str">
        <f>IF(AND(data[[#This Row],[Age]]&gt;=18,data[[#This Row],[Age]]&lt;=24),"18-24",IF(AND(data[[#This Row],[Age]]&gt;=25,data[[#This Row],[Age]]&lt;=34),"25-34",IF(AND(data[[#This Row],[Age]]&gt;35,data[[#This Row],[Age]]&lt;=44),"35-44",IF(data[[#This Row],[Age]]&gt;44,"45+",IF(data[[#This Row],[Age]]&lt;18,"below 18 ")))))</f>
        <v>25-34</v>
      </c>
      <c r="AH12" t="str">
        <f>IF(AND(data[[#This Row],[Age]]&gt;18,data[[#This Row],[Age]]&lt;=24),"18-24",IF(AND(data[[#This Row],[Age]]&gt;=25,data[[#This Row],[Age]]&lt;=34),"25-34",0))</f>
        <v>25-34</v>
      </c>
    </row>
    <row r="13" spans="1:36" x14ac:dyDescent="0.25">
      <c r="A13" t="s">
        <v>65</v>
      </c>
      <c r="B13">
        <v>38</v>
      </c>
      <c r="C13" t="s">
        <v>47</v>
      </c>
      <c r="D13" t="s">
        <v>32</v>
      </c>
      <c r="E13" t="s">
        <v>58</v>
      </c>
      <c r="F13" t="s">
        <v>51</v>
      </c>
      <c r="G13">
        <v>6</v>
      </c>
      <c r="H13">
        <v>2</v>
      </c>
      <c r="I13">
        <v>4</v>
      </c>
      <c r="J13" t="s">
        <v>42</v>
      </c>
      <c r="K13" t="s">
        <v>52</v>
      </c>
      <c r="L13">
        <v>76</v>
      </c>
      <c r="M13">
        <v>6</v>
      </c>
      <c r="N13">
        <v>2.4</v>
      </c>
      <c r="O13">
        <v>7.1</v>
      </c>
      <c r="P13">
        <v>4.8</v>
      </c>
      <c r="Q13" t="s">
        <v>35</v>
      </c>
      <c r="R13" t="s">
        <v>42</v>
      </c>
      <c r="S13">
        <v>5</v>
      </c>
      <c r="T13">
        <v>5.5</v>
      </c>
      <c r="U13">
        <v>4.9000000000000004</v>
      </c>
      <c r="V13">
        <v>7.9</v>
      </c>
      <c r="W13">
        <v>2.2999999999999998</v>
      </c>
      <c r="X13">
        <v>7.3</v>
      </c>
      <c r="Y13">
        <v>6.2</v>
      </c>
      <c r="Z13">
        <v>7.5</v>
      </c>
      <c r="AA13">
        <v>3.1</v>
      </c>
      <c r="AB13">
        <v>6.9</v>
      </c>
      <c r="AC13">
        <v>5.7</v>
      </c>
      <c r="AD13" t="s">
        <v>45</v>
      </c>
      <c r="AE13" t="str">
        <f>IF(AND(data[[#This Row],[Age]]&gt;=18,data[[#This Row],[Age]]&lt;=24),"18-24",IF(AND(data[[#This Row],[Age]]&gt;=25,data[[#This Row],[Age]]&lt;=34),"25-34",IF(AND(data[[#This Row],[Age]]&gt;35,data[[#This Row],[Age]]&lt;=44),"35-44",IF(data[[#This Row],[Age]]&gt;44,"45+",IF(data[[#This Row],[Age]]&lt;18,"below 18 ")))))</f>
        <v>35-44</v>
      </c>
      <c r="AH13">
        <f>IF(AND(data[[#This Row],[Age]]&gt;18,data[[#This Row],[Age]]&lt;=24),"18-24",IF(AND(data[[#This Row],[Age]]&gt;=25,data[[#This Row],[Age]]&lt;=34),"25-34",0))</f>
        <v>0</v>
      </c>
    </row>
    <row r="14" spans="1:36" x14ac:dyDescent="0.25">
      <c r="A14" t="s">
        <v>66</v>
      </c>
      <c r="B14">
        <v>23</v>
      </c>
      <c r="C14" t="s">
        <v>47</v>
      </c>
      <c r="D14" t="s">
        <v>32</v>
      </c>
      <c r="F14" t="s">
        <v>34</v>
      </c>
      <c r="G14">
        <v>5.5</v>
      </c>
      <c r="H14">
        <v>3</v>
      </c>
      <c r="I14">
        <v>8</v>
      </c>
      <c r="J14" t="s">
        <v>35</v>
      </c>
      <c r="K14" t="s">
        <v>52</v>
      </c>
      <c r="L14">
        <v>26</v>
      </c>
      <c r="M14">
        <v>2.2999999999999998</v>
      </c>
      <c r="N14">
        <v>5.6</v>
      </c>
      <c r="O14">
        <v>6.2</v>
      </c>
      <c r="P14">
        <v>8</v>
      </c>
      <c r="Q14" t="s">
        <v>35</v>
      </c>
      <c r="R14" t="s">
        <v>35</v>
      </c>
      <c r="S14">
        <v>6.2</v>
      </c>
      <c r="U14">
        <v>2.6</v>
      </c>
      <c r="V14">
        <v>3.5</v>
      </c>
      <c r="W14">
        <v>4.7</v>
      </c>
      <c r="X14">
        <v>6</v>
      </c>
      <c r="Y14">
        <v>7.7</v>
      </c>
      <c r="Z14">
        <v>5.6</v>
      </c>
      <c r="AA14">
        <v>2</v>
      </c>
      <c r="AB14">
        <v>0.3</v>
      </c>
      <c r="AC14">
        <v>7.1</v>
      </c>
      <c r="AD14" t="s">
        <v>53</v>
      </c>
      <c r="AE14" t="str">
        <f>IF(AND(data[[#This Row],[Age]]&gt;=18,data[[#This Row],[Age]]&lt;=24),"18-24",IF(AND(data[[#This Row],[Age]]&gt;=25,data[[#This Row],[Age]]&lt;=34),"25-34",IF(AND(data[[#This Row],[Age]]&gt;35,data[[#This Row],[Age]]&lt;=44),"35-44",IF(data[[#This Row],[Age]]&gt;44,"45+",IF(data[[#This Row],[Age]]&lt;18,"below 18 ")))))</f>
        <v>18-24</v>
      </c>
      <c r="AH14" t="str">
        <f>IF(AND(data[[#This Row],[Age]]&gt;18,data[[#This Row],[Age]]&lt;=24),"18-24",IF(AND(data[[#This Row],[Age]]&gt;=25,data[[#This Row],[Age]]&lt;=34),"25-34",0))</f>
        <v>18-24</v>
      </c>
    </row>
    <row r="15" spans="1:36" x14ac:dyDescent="0.25">
      <c r="A15" t="s">
        <v>67</v>
      </c>
      <c r="B15">
        <v>40</v>
      </c>
      <c r="C15" t="s">
        <v>31</v>
      </c>
      <c r="D15" t="s">
        <v>32</v>
      </c>
      <c r="E15" t="s">
        <v>33</v>
      </c>
      <c r="F15" t="s">
        <v>41</v>
      </c>
      <c r="G15">
        <v>3.7</v>
      </c>
      <c r="H15">
        <v>3</v>
      </c>
      <c r="I15">
        <v>1</v>
      </c>
      <c r="J15" t="s">
        <v>42</v>
      </c>
      <c r="K15" t="s">
        <v>36</v>
      </c>
      <c r="L15">
        <v>14</v>
      </c>
      <c r="M15">
        <v>6.8</v>
      </c>
      <c r="N15">
        <v>2.5</v>
      </c>
      <c r="O15">
        <v>3</v>
      </c>
      <c r="P15">
        <v>4.9000000000000004</v>
      </c>
      <c r="Q15" t="s">
        <v>42</v>
      </c>
      <c r="R15" t="s">
        <v>35</v>
      </c>
      <c r="S15">
        <v>5.6</v>
      </c>
      <c r="T15">
        <v>7.8</v>
      </c>
      <c r="U15">
        <v>5</v>
      </c>
      <c r="V15">
        <v>2.8</v>
      </c>
      <c r="W15">
        <v>5.2</v>
      </c>
      <c r="X15">
        <v>7.4</v>
      </c>
      <c r="Y15">
        <v>6.4</v>
      </c>
      <c r="Z15">
        <v>4.2</v>
      </c>
      <c r="AA15">
        <v>0.3</v>
      </c>
      <c r="AB15">
        <v>3</v>
      </c>
      <c r="AC15">
        <v>5.0999999999999996</v>
      </c>
      <c r="AD15" t="s">
        <v>45</v>
      </c>
      <c r="AE15" t="str">
        <f>IF(AND(data[[#This Row],[Age]]&gt;=18,data[[#This Row],[Age]]&lt;=24),"18-24",IF(AND(data[[#This Row],[Age]]&gt;=25,data[[#This Row],[Age]]&lt;=34),"25-34",IF(AND(data[[#This Row],[Age]]&gt;35,data[[#This Row],[Age]]&lt;=44),"35-44",IF(data[[#This Row],[Age]]&gt;44,"45+",IF(data[[#This Row],[Age]]&lt;18,"below 18 ")))))</f>
        <v>35-44</v>
      </c>
      <c r="AH15">
        <f>IF(AND(data[[#This Row],[Age]]&gt;18,data[[#This Row],[Age]]&lt;=24),"18-24",IF(AND(data[[#This Row],[Age]]&gt;=25,data[[#This Row],[Age]]&lt;=34),"25-34",0))</f>
        <v>0</v>
      </c>
    </row>
    <row r="16" spans="1:36" x14ac:dyDescent="0.25">
      <c r="A16" t="s">
        <v>68</v>
      </c>
      <c r="B16">
        <v>29</v>
      </c>
      <c r="C16" t="s">
        <v>31</v>
      </c>
      <c r="D16" t="s">
        <v>32</v>
      </c>
      <c r="E16" t="s">
        <v>33</v>
      </c>
      <c r="F16" t="s">
        <v>41</v>
      </c>
      <c r="G16">
        <v>3.8</v>
      </c>
      <c r="H16">
        <v>1</v>
      </c>
      <c r="I16">
        <v>3</v>
      </c>
      <c r="K16" t="s">
        <v>62</v>
      </c>
      <c r="L16">
        <v>79</v>
      </c>
      <c r="M16">
        <v>6.1</v>
      </c>
      <c r="N16">
        <v>9.3000000000000007</v>
      </c>
      <c r="O16">
        <v>1.7</v>
      </c>
      <c r="P16">
        <v>5.7</v>
      </c>
      <c r="Q16" t="s">
        <v>42</v>
      </c>
      <c r="R16" t="s">
        <v>35</v>
      </c>
      <c r="S16">
        <v>3.4</v>
      </c>
      <c r="T16">
        <v>6.1</v>
      </c>
      <c r="U16">
        <v>4.4000000000000004</v>
      </c>
      <c r="V16">
        <v>6.3</v>
      </c>
      <c r="W16">
        <v>7</v>
      </c>
      <c r="X16">
        <v>6.4</v>
      </c>
      <c r="Y16">
        <v>4</v>
      </c>
      <c r="Z16">
        <v>5.5</v>
      </c>
      <c r="AA16">
        <v>6.1</v>
      </c>
      <c r="AB16">
        <v>1.5</v>
      </c>
      <c r="AC16">
        <v>9.1999999999999993</v>
      </c>
      <c r="AD16" t="s">
        <v>37</v>
      </c>
      <c r="AE16" t="str">
        <f>IF(AND(data[[#This Row],[Age]]&gt;=18,data[[#This Row],[Age]]&lt;=24),"18-24",IF(AND(data[[#This Row],[Age]]&gt;=25,data[[#This Row],[Age]]&lt;=34),"25-34",IF(AND(data[[#This Row],[Age]]&gt;35,data[[#This Row],[Age]]&lt;=44),"35-44",IF(data[[#This Row],[Age]]&gt;44,"45+",IF(data[[#This Row],[Age]]&lt;18,"below 18 ")))))</f>
        <v>25-34</v>
      </c>
      <c r="AH16" t="str">
        <f>IF(AND(data[[#This Row],[Age]]&gt;18,data[[#This Row],[Age]]&lt;=24),"18-24",IF(AND(data[[#This Row],[Age]]&gt;=25,data[[#This Row],[Age]]&lt;=34),"25-34",0))</f>
        <v>25-34</v>
      </c>
    </row>
    <row r="17" spans="1:34" x14ac:dyDescent="0.25">
      <c r="A17" t="s">
        <v>69</v>
      </c>
      <c r="B17">
        <v>25</v>
      </c>
      <c r="C17" t="s">
        <v>31</v>
      </c>
      <c r="D17" t="s">
        <v>39</v>
      </c>
      <c r="E17" t="s">
        <v>40</v>
      </c>
      <c r="F17" t="s">
        <v>70</v>
      </c>
      <c r="G17">
        <v>3.9</v>
      </c>
      <c r="H17">
        <v>5</v>
      </c>
      <c r="I17">
        <v>1</v>
      </c>
      <c r="J17" t="s">
        <v>35</v>
      </c>
      <c r="K17" t="s">
        <v>36</v>
      </c>
      <c r="L17">
        <v>91</v>
      </c>
      <c r="M17">
        <v>8.4</v>
      </c>
      <c r="N17">
        <v>2.7</v>
      </c>
      <c r="O17">
        <v>8.1999999999999993</v>
      </c>
      <c r="P17">
        <v>8.9</v>
      </c>
      <c r="Q17" t="s">
        <v>35</v>
      </c>
      <c r="R17" t="s">
        <v>35</v>
      </c>
      <c r="S17">
        <v>4.3</v>
      </c>
      <c r="T17">
        <v>6.5</v>
      </c>
      <c r="U17">
        <v>2.5</v>
      </c>
      <c r="W17">
        <v>5.7</v>
      </c>
      <c r="Y17">
        <v>10</v>
      </c>
      <c r="Z17">
        <v>0.3</v>
      </c>
      <c r="AA17">
        <v>5.8</v>
      </c>
      <c r="AB17">
        <v>1.6</v>
      </c>
      <c r="AC17">
        <v>4.7</v>
      </c>
      <c r="AD17" t="s">
        <v>43</v>
      </c>
      <c r="AE17" t="str">
        <f>IF(AND(data[[#This Row],[Age]]&gt;=18,data[[#This Row],[Age]]&lt;=24),"18-24",IF(AND(data[[#This Row],[Age]]&gt;=25,data[[#This Row],[Age]]&lt;=34),"25-34",IF(AND(data[[#This Row],[Age]]&gt;35,data[[#This Row],[Age]]&lt;=44),"35-44",IF(data[[#This Row],[Age]]&gt;44,"45+",IF(data[[#This Row],[Age]]&lt;18,"below 18 ")))))</f>
        <v>25-34</v>
      </c>
      <c r="AH17" t="str">
        <f>IF(AND(data[[#This Row],[Age]]&gt;18,data[[#This Row],[Age]]&lt;=24),"18-24",IF(AND(data[[#This Row],[Age]]&gt;=25,data[[#This Row],[Age]]&lt;=34),"25-34",0))</f>
        <v>25-34</v>
      </c>
    </row>
    <row r="18" spans="1:34" x14ac:dyDescent="0.25">
      <c r="A18" t="s">
        <v>71</v>
      </c>
      <c r="B18">
        <v>41</v>
      </c>
      <c r="C18" t="s">
        <v>50</v>
      </c>
      <c r="D18" t="s">
        <v>57</v>
      </c>
      <c r="E18" t="s">
        <v>40</v>
      </c>
      <c r="F18" t="s">
        <v>41</v>
      </c>
      <c r="G18">
        <v>2.4</v>
      </c>
      <c r="H18">
        <v>2</v>
      </c>
      <c r="I18">
        <v>2</v>
      </c>
      <c r="J18" t="s">
        <v>35</v>
      </c>
      <c r="K18" t="s">
        <v>52</v>
      </c>
      <c r="L18">
        <v>78</v>
      </c>
      <c r="M18">
        <v>7.7</v>
      </c>
      <c r="N18">
        <v>3.7</v>
      </c>
      <c r="O18">
        <v>6</v>
      </c>
      <c r="P18">
        <v>5.6</v>
      </c>
      <c r="Q18" t="s">
        <v>42</v>
      </c>
      <c r="R18" t="s">
        <v>42</v>
      </c>
      <c r="S18">
        <v>10</v>
      </c>
      <c r="T18">
        <v>0.4</v>
      </c>
      <c r="U18">
        <v>3.7</v>
      </c>
      <c r="V18">
        <v>6.2</v>
      </c>
      <c r="W18">
        <v>5.4</v>
      </c>
      <c r="X18">
        <v>5.3</v>
      </c>
      <c r="Y18">
        <v>4.8</v>
      </c>
      <c r="Z18">
        <v>7.7</v>
      </c>
      <c r="AA18">
        <v>6</v>
      </c>
      <c r="AB18">
        <v>0.7</v>
      </c>
      <c r="AC18">
        <v>6.6</v>
      </c>
      <c r="AD18" t="s">
        <v>53</v>
      </c>
      <c r="AE18" t="str">
        <f>IF(AND(data[[#This Row],[Age]]&gt;=18,data[[#This Row],[Age]]&lt;=24),"18-24",IF(AND(data[[#This Row],[Age]]&gt;=25,data[[#This Row],[Age]]&lt;=34),"25-34",IF(AND(data[[#This Row],[Age]]&gt;35,data[[#This Row],[Age]]&lt;=44),"35-44",IF(data[[#This Row],[Age]]&gt;44,"45+",IF(data[[#This Row],[Age]]&lt;18,"below 18 ")))))</f>
        <v>35-44</v>
      </c>
    </row>
    <row r="19" spans="1:34" x14ac:dyDescent="0.25">
      <c r="A19" t="s">
        <v>72</v>
      </c>
      <c r="B19">
        <v>23</v>
      </c>
      <c r="C19" t="s">
        <v>47</v>
      </c>
      <c r="D19" t="s">
        <v>64</v>
      </c>
      <c r="E19" t="s">
        <v>33</v>
      </c>
      <c r="F19" t="s">
        <v>34</v>
      </c>
      <c r="G19">
        <v>5.0999999999999996</v>
      </c>
      <c r="H19">
        <v>2</v>
      </c>
      <c r="I19">
        <v>4</v>
      </c>
      <c r="J19" t="s">
        <v>42</v>
      </c>
      <c r="K19" t="s">
        <v>36</v>
      </c>
      <c r="L19">
        <v>36</v>
      </c>
      <c r="M19">
        <v>5.5</v>
      </c>
      <c r="N19">
        <v>6.7</v>
      </c>
      <c r="O19">
        <v>5.4</v>
      </c>
      <c r="P19">
        <v>6.8</v>
      </c>
      <c r="Q19" t="s">
        <v>35</v>
      </c>
      <c r="R19" t="s">
        <v>35</v>
      </c>
      <c r="S19">
        <v>7.9</v>
      </c>
      <c r="T19">
        <v>9.6999999999999993</v>
      </c>
      <c r="V19">
        <v>2.6</v>
      </c>
      <c r="W19">
        <v>3.4</v>
      </c>
      <c r="X19">
        <v>7.7</v>
      </c>
      <c r="Y19">
        <v>3.2</v>
      </c>
      <c r="Z19">
        <v>5.5</v>
      </c>
      <c r="AA19">
        <v>5.3</v>
      </c>
      <c r="AB19">
        <v>7.1</v>
      </c>
      <c r="AC19">
        <v>6</v>
      </c>
      <c r="AD19" t="s">
        <v>45</v>
      </c>
      <c r="AE19" t="str">
        <f>IF(AND(data[[#This Row],[Age]]&gt;=18,data[[#This Row],[Age]]&lt;=24),"18-24",IF(AND(data[[#This Row],[Age]]&gt;=25,data[[#This Row],[Age]]&lt;=34),"25-34",IF(AND(data[[#This Row],[Age]]&gt;35,data[[#This Row],[Age]]&lt;=44),"35-44",IF(data[[#This Row],[Age]]&gt;44,"45+",IF(data[[#This Row],[Age]]&lt;18,"below 18 ")))))</f>
        <v>18-24</v>
      </c>
    </row>
    <row r="20" spans="1:34" x14ac:dyDescent="0.25">
      <c r="A20" t="s">
        <v>73</v>
      </c>
      <c r="B20">
        <v>22</v>
      </c>
      <c r="C20" t="s">
        <v>50</v>
      </c>
      <c r="D20" t="s">
        <v>32</v>
      </c>
      <c r="E20" t="s">
        <v>33</v>
      </c>
      <c r="F20" t="s">
        <v>59</v>
      </c>
      <c r="G20">
        <v>3.4</v>
      </c>
      <c r="H20">
        <v>1</v>
      </c>
      <c r="I20">
        <v>4</v>
      </c>
      <c r="J20" t="s">
        <v>42</v>
      </c>
      <c r="K20" t="s">
        <v>36</v>
      </c>
      <c r="L20">
        <v>41</v>
      </c>
      <c r="M20">
        <v>5</v>
      </c>
      <c r="N20">
        <v>5</v>
      </c>
      <c r="O20">
        <v>4.5999999999999996</v>
      </c>
      <c r="P20">
        <v>7</v>
      </c>
      <c r="Q20" t="s">
        <v>35</v>
      </c>
      <c r="R20" t="s">
        <v>35</v>
      </c>
      <c r="S20">
        <v>2.7</v>
      </c>
      <c r="T20">
        <v>5.6</v>
      </c>
      <c r="U20">
        <v>4.5</v>
      </c>
      <c r="V20">
        <v>4.2</v>
      </c>
      <c r="W20">
        <v>3.1</v>
      </c>
      <c r="X20">
        <v>5.2</v>
      </c>
      <c r="Y20">
        <v>5.0999999999999996</v>
      </c>
      <c r="Z20">
        <v>3.6</v>
      </c>
      <c r="AA20">
        <v>1.1000000000000001</v>
      </c>
      <c r="AB20">
        <v>6.2</v>
      </c>
      <c r="AC20">
        <v>6.4</v>
      </c>
      <c r="AD20" t="s">
        <v>53</v>
      </c>
      <c r="AE20" t="str">
        <f>IF(AND(data[[#This Row],[Age]]&gt;=18,data[[#This Row],[Age]]&lt;=24),"18-24",IF(AND(data[[#This Row],[Age]]&gt;=25,data[[#This Row],[Age]]&lt;=34),"25-34",IF(AND(data[[#This Row],[Age]]&gt;35,data[[#This Row],[Age]]&lt;=44),"35-44",IF(data[[#This Row],[Age]]&gt;44,"45+",IF(data[[#This Row],[Age]]&lt;18,"below 18 ")))))</f>
        <v>18-24</v>
      </c>
    </row>
    <row r="21" spans="1:34" x14ac:dyDescent="0.25">
      <c r="A21" t="s">
        <v>74</v>
      </c>
      <c r="B21">
        <v>21</v>
      </c>
      <c r="C21" t="s">
        <v>47</v>
      </c>
      <c r="D21" t="s">
        <v>39</v>
      </c>
      <c r="E21" t="s">
        <v>58</v>
      </c>
      <c r="F21" t="s">
        <v>48</v>
      </c>
      <c r="G21">
        <v>4.3</v>
      </c>
      <c r="H21">
        <v>4</v>
      </c>
      <c r="I21">
        <v>5</v>
      </c>
      <c r="J21" t="s">
        <v>35</v>
      </c>
      <c r="K21" t="s">
        <v>52</v>
      </c>
      <c r="L21">
        <v>99</v>
      </c>
      <c r="M21">
        <v>6.7</v>
      </c>
      <c r="N21">
        <v>1.9</v>
      </c>
      <c r="O21">
        <v>6.1</v>
      </c>
      <c r="P21">
        <v>8.4</v>
      </c>
      <c r="Q21" t="s">
        <v>35</v>
      </c>
      <c r="R21" t="s">
        <v>42</v>
      </c>
      <c r="S21">
        <v>5.0999999999999996</v>
      </c>
      <c r="T21">
        <v>1.2</v>
      </c>
      <c r="U21">
        <v>6.5</v>
      </c>
      <c r="V21">
        <v>4.3</v>
      </c>
      <c r="W21">
        <v>6.4</v>
      </c>
      <c r="X21">
        <v>6.7</v>
      </c>
      <c r="Z21">
        <v>4.3</v>
      </c>
      <c r="AA21">
        <v>1.5</v>
      </c>
      <c r="AB21">
        <v>2.6</v>
      </c>
      <c r="AC21">
        <v>5.6</v>
      </c>
      <c r="AD21" t="s">
        <v>45</v>
      </c>
      <c r="AE21" t="str">
        <f>IF(AND(data[[#This Row],[Age]]&gt;=18,data[[#This Row],[Age]]&lt;=24),"18-24",IF(AND(data[[#This Row],[Age]]&gt;=25,data[[#This Row],[Age]]&lt;=34),"25-34",IF(AND(data[[#This Row],[Age]]&gt;35,data[[#This Row],[Age]]&lt;=44),"35-44",IF(data[[#This Row],[Age]]&gt;44,"45+",IF(data[[#This Row],[Age]]&lt;18,"below 18 ")))))</f>
        <v>18-24</v>
      </c>
    </row>
    <row r="22" spans="1:34" x14ac:dyDescent="0.25">
      <c r="A22" t="s">
        <v>75</v>
      </c>
      <c r="B22">
        <v>19</v>
      </c>
      <c r="C22" t="s">
        <v>47</v>
      </c>
      <c r="D22" t="s">
        <v>32</v>
      </c>
      <c r="E22" t="s">
        <v>58</v>
      </c>
      <c r="F22" t="s">
        <v>48</v>
      </c>
      <c r="G22">
        <v>3.7</v>
      </c>
      <c r="H22">
        <v>3</v>
      </c>
      <c r="I22">
        <v>4</v>
      </c>
      <c r="K22" t="s">
        <v>62</v>
      </c>
      <c r="L22">
        <v>56</v>
      </c>
      <c r="M22">
        <v>1.4</v>
      </c>
      <c r="N22">
        <v>3</v>
      </c>
      <c r="O22">
        <v>4.0999999999999996</v>
      </c>
      <c r="P22">
        <v>0.5</v>
      </c>
      <c r="Q22" t="s">
        <v>35</v>
      </c>
      <c r="R22" t="s">
        <v>42</v>
      </c>
      <c r="S22">
        <v>4.4000000000000004</v>
      </c>
      <c r="T22">
        <v>3.6</v>
      </c>
      <c r="U22">
        <v>7.3</v>
      </c>
      <c r="V22">
        <v>6.1</v>
      </c>
      <c r="W22">
        <v>6.1</v>
      </c>
      <c r="X22">
        <v>5.2</v>
      </c>
      <c r="Y22">
        <v>5.8</v>
      </c>
      <c r="Z22">
        <v>8.4</v>
      </c>
      <c r="AA22">
        <v>2.4</v>
      </c>
      <c r="AB22">
        <v>0</v>
      </c>
      <c r="AC22">
        <v>9.3000000000000007</v>
      </c>
      <c r="AD22" t="s">
        <v>37</v>
      </c>
      <c r="AE22" t="str">
        <f>IF(AND(data[[#This Row],[Age]]&gt;=18,data[[#This Row],[Age]]&lt;=24),"18-24",IF(AND(data[[#This Row],[Age]]&gt;=25,data[[#This Row],[Age]]&lt;=34),"25-34",IF(AND(data[[#This Row],[Age]]&gt;35,data[[#This Row],[Age]]&lt;=44),"35-44",IF(data[[#This Row],[Age]]&gt;44,"45+",IF(data[[#This Row],[Age]]&lt;18,"below 18 ")))))</f>
        <v>18-24</v>
      </c>
    </row>
    <row r="23" spans="1:34" x14ac:dyDescent="0.25">
      <c r="A23" t="s">
        <v>76</v>
      </c>
      <c r="B23">
        <v>31</v>
      </c>
      <c r="C23" t="s">
        <v>47</v>
      </c>
      <c r="D23" t="s">
        <v>39</v>
      </c>
      <c r="E23" t="s">
        <v>33</v>
      </c>
      <c r="F23" t="s">
        <v>41</v>
      </c>
      <c r="G23">
        <v>2.9</v>
      </c>
      <c r="H23">
        <v>3</v>
      </c>
      <c r="I23">
        <v>3</v>
      </c>
      <c r="J23" t="s">
        <v>35</v>
      </c>
      <c r="K23" t="s">
        <v>62</v>
      </c>
      <c r="L23">
        <v>58</v>
      </c>
      <c r="M23">
        <v>5.2</v>
      </c>
      <c r="N23">
        <v>5.6</v>
      </c>
      <c r="O23">
        <v>4.0999999999999996</v>
      </c>
      <c r="P23">
        <v>5.9</v>
      </c>
      <c r="Q23" t="s">
        <v>42</v>
      </c>
      <c r="R23" t="s">
        <v>42</v>
      </c>
      <c r="S23">
        <v>4.2</v>
      </c>
      <c r="T23">
        <v>2</v>
      </c>
      <c r="U23">
        <v>6.3</v>
      </c>
      <c r="V23">
        <v>3.8</v>
      </c>
      <c r="W23">
        <v>6.1</v>
      </c>
      <c r="X23">
        <v>4.8</v>
      </c>
      <c r="Y23">
        <v>2.4</v>
      </c>
      <c r="Z23">
        <v>6</v>
      </c>
      <c r="AA23">
        <v>2.4</v>
      </c>
      <c r="AB23">
        <v>4.8</v>
      </c>
      <c r="AC23">
        <v>6.7</v>
      </c>
      <c r="AD23" t="s">
        <v>37</v>
      </c>
      <c r="AE23" t="str">
        <f>IF(AND(data[[#This Row],[Age]]&gt;=18,data[[#This Row],[Age]]&lt;=24),"18-24",IF(AND(data[[#This Row],[Age]]&gt;=25,data[[#This Row],[Age]]&lt;=34),"25-34",IF(AND(data[[#This Row],[Age]]&gt;35,data[[#This Row],[Age]]&lt;=44),"35-44",IF(data[[#This Row],[Age]]&gt;44,"45+",IF(data[[#This Row],[Age]]&lt;18,"below 18 ")))))</f>
        <v>25-34</v>
      </c>
    </row>
    <row r="24" spans="1:34" x14ac:dyDescent="0.25">
      <c r="A24" t="s">
        <v>77</v>
      </c>
      <c r="B24">
        <v>22</v>
      </c>
      <c r="C24" t="s">
        <v>31</v>
      </c>
      <c r="D24" t="s">
        <v>39</v>
      </c>
      <c r="E24" t="s">
        <v>58</v>
      </c>
      <c r="F24" t="s">
        <v>41</v>
      </c>
      <c r="G24">
        <v>8.6999999999999993</v>
      </c>
      <c r="H24">
        <v>2</v>
      </c>
      <c r="I24">
        <v>3</v>
      </c>
      <c r="J24" t="s">
        <v>42</v>
      </c>
      <c r="K24" t="s">
        <v>36</v>
      </c>
      <c r="L24">
        <v>108</v>
      </c>
      <c r="M24">
        <v>5.6</v>
      </c>
      <c r="N24">
        <v>3.4</v>
      </c>
      <c r="O24">
        <v>3.1</v>
      </c>
      <c r="P24">
        <v>4.8</v>
      </c>
      <c r="Q24" t="s">
        <v>35</v>
      </c>
      <c r="R24" t="s">
        <v>42</v>
      </c>
      <c r="S24">
        <v>4.9000000000000004</v>
      </c>
      <c r="T24">
        <v>5.8</v>
      </c>
      <c r="U24">
        <v>4.7</v>
      </c>
      <c r="V24">
        <v>7.5</v>
      </c>
      <c r="W24">
        <v>5.2</v>
      </c>
      <c r="X24">
        <v>5.9</v>
      </c>
      <c r="Y24">
        <v>4.5</v>
      </c>
      <c r="Z24">
        <v>5.0999999999999996</v>
      </c>
      <c r="AA24">
        <v>2.9</v>
      </c>
      <c r="AB24">
        <v>3.4</v>
      </c>
      <c r="AC24">
        <v>5.0999999999999996</v>
      </c>
      <c r="AD24" t="s">
        <v>43</v>
      </c>
      <c r="AE24" t="str">
        <f>IF(AND(data[[#This Row],[Age]]&gt;=18,data[[#This Row],[Age]]&lt;=24),"18-24",IF(AND(data[[#This Row],[Age]]&gt;=25,data[[#This Row],[Age]]&lt;=34),"25-34",IF(AND(data[[#This Row],[Age]]&gt;35,data[[#This Row],[Age]]&lt;=44),"35-44",IF(data[[#This Row],[Age]]&gt;44,"45+",IF(data[[#This Row],[Age]]&lt;18,"below 18 ")))))</f>
        <v>18-24</v>
      </c>
    </row>
    <row r="25" spans="1:34" x14ac:dyDescent="0.25">
      <c r="A25" t="s">
        <v>78</v>
      </c>
      <c r="B25">
        <v>27</v>
      </c>
      <c r="C25" t="s">
        <v>47</v>
      </c>
      <c r="D25" t="s">
        <v>57</v>
      </c>
      <c r="E25" t="s">
        <v>58</v>
      </c>
      <c r="F25" t="s">
        <v>70</v>
      </c>
      <c r="G25">
        <v>5.0999999999999996</v>
      </c>
      <c r="H25">
        <v>4</v>
      </c>
      <c r="I25">
        <v>6</v>
      </c>
      <c r="J25" t="s">
        <v>42</v>
      </c>
      <c r="K25" t="s">
        <v>62</v>
      </c>
      <c r="L25">
        <v>71</v>
      </c>
      <c r="M25">
        <v>4</v>
      </c>
      <c r="N25">
        <v>4.7</v>
      </c>
      <c r="O25">
        <v>6.8</v>
      </c>
      <c r="P25">
        <v>6</v>
      </c>
      <c r="Q25" t="s">
        <v>42</v>
      </c>
      <c r="R25" t="s">
        <v>35</v>
      </c>
      <c r="S25">
        <v>4.3</v>
      </c>
      <c r="T25">
        <v>3.5</v>
      </c>
      <c r="U25">
        <v>4.9000000000000004</v>
      </c>
      <c r="V25">
        <v>6.3</v>
      </c>
      <c r="W25">
        <v>8.9</v>
      </c>
      <c r="X25">
        <v>9.1</v>
      </c>
      <c r="Y25">
        <v>3.9</v>
      </c>
      <c r="Z25">
        <v>9.5</v>
      </c>
      <c r="AA25">
        <v>0.8</v>
      </c>
      <c r="AB25">
        <v>4.3</v>
      </c>
      <c r="AC25">
        <v>7.5</v>
      </c>
      <c r="AD25" t="s">
        <v>37</v>
      </c>
      <c r="AE25" t="str">
        <f>IF(AND(data[[#This Row],[Age]]&gt;=18,data[[#This Row],[Age]]&lt;=24),"18-24",IF(AND(data[[#This Row],[Age]]&gt;=25,data[[#This Row],[Age]]&lt;=34),"25-34",IF(AND(data[[#This Row],[Age]]&gt;35,data[[#This Row],[Age]]&lt;=44),"35-44",IF(data[[#This Row],[Age]]&gt;44,"45+",IF(data[[#This Row],[Age]]&lt;18,"below 18 ")))))</f>
        <v>25-34</v>
      </c>
    </row>
    <row r="26" spans="1:34" x14ac:dyDescent="0.25">
      <c r="A26" t="s">
        <v>79</v>
      </c>
      <c r="B26">
        <v>15</v>
      </c>
      <c r="C26" t="s">
        <v>31</v>
      </c>
      <c r="E26" t="s">
        <v>58</v>
      </c>
      <c r="F26" t="s">
        <v>51</v>
      </c>
      <c r="G26">
        <v>6</v>
      </c>
      <c r="H26">
        <v>2</v>
      </c>
      <c r="I26">
        <v>4</v>
      </c>
      <c r="J26" t="s">
        <v>35</v>
      </c>
      <c r="K26" t="s">
        <v>62</v>
      </c>
      <c r="L26">
        <v>63</v>
      </c>
      <c r="M26">
        <v>8.6</v>
      </c>
      <c r="N26">
        <v>2.6</v>
      </c>
      <c r="O26">
        <v>6.6</v>
      </c>
      <c r="P26">
        <v>7.7</v>
      </c>
      <c r="Q26" t="s">
        <v>35</v>
      </c>
      <c r="R26" t="s">
        <v>42</v>
      </c>
      <c r="S26">
        <v>2.8</v>
      </c>
      <c r="T26">
        <v>2</v>
      </c>
      <c r="U26">
        <v>1.6</v>
      </c>
      <c r="V26">
        <v>2.8</v>
      </c>
      <c r="W26">
        <v>5.8</v>
      </c>
      <c r="X26">
        <v>8.3000000000000007</v>
      </c>
      <c r="Y26">
        <v>3.3</v>
      </c>
      <c r="Z26">
        <v>8.8000000000000007</v>
      </c>
      <c r="AA26">
        <v>2.2000000000000002</v>
      </c>
      <c r="AB26">
        <v>6</v>
      </c>
      <c r="AC26">
        <v>6.5</v>
      </c>
      <c r="AD26" t="s">
        <v>53</v>
      </c>
      <c r="AE26" t="str">
        <f>IF(AND(data[[#This Row],[Age]]&gt;=18,data[[#This Row],[Age]]&lt;=24),"18-24",IF(AND(data[[#This Row],[Age]]&gt;=25,data[[#This Row],[Age]]&lt;=34),"25-34",IF(AND(data[[#This Row],[Age]]&gt;35,data[[#This Row],[Age]]&lt;=44),"35-44",IF(data[[#This Row],[Age]]&gt;44,"45+",IF(data[[#This Row],[Age]]&lt;18,"below 18 ")))))</f>
        <v xml:space="preserve">below 18 </v>
      </c>
    </row>
    <row r="27" spans="1:34" x14ac:dyDescent="0.25">
      <c r="A27" t="s">
        <v>80</v>
      </c>
      <c r="B27">
        <v>26</v>
      </c>
      <c r="C27" t="s">
        <v>31</v>
      </c>
      <c r="D27" t="s">
        <v>39</v>
      </c>
      <c r="E27" t="s">
        <v>33</v>
      </c>
      <c r="F27" t="s">
        <v>41</v>
      </c>
      <c r="G27">
        <v>10.4</v>
      </c>
      <c r="H27">
        <v>4</v>
      </c>
      <c r="I27">
        <v>8</v>
      </c>
      <c r="J27" t="s">
        <v>42</v>
      </c>
      <c r="K27" t="s">
        <v>52</v>
      </c>
      <c r="L27">
        <v>85</v>
      </c>
      <c r="N27">
        <v>7.1</v>
      </c>
      <c r="O27">
        <v>3</v>
      </c>
      <c r="P27">
        <v>3.6</v>
      </c>
      <c r="Q27" t="s">
        <v>42</v>
      </c>
      <c r="R27" t="s">
        <v>35</v>
      </c>
      <c r="S27">
        <v>4.7</v>
      </c>
      <c r="T27">
        <v>6.2</v>
      </c>
      <c r="U27">
        <v>3.2</v>
      </c>
      <c r="V27">
        <v>7.5</v>
      </c>
      <c r="W27">
        <v>3.7</v>
      </c>
      <c r="X27">
        <v>5.0999999999999996</v>
      </c>
      <c r="Y27">
        <v>7.9</v>
      </c>
      <c r="Z27">
        <v>6</v>
      </c>
      <c r="AA27">
        <v>5.8</v>
      </c>
      <c r="AB27">
        <v>5</v>
      </c>
      <c r="AC27">
        <v>5.8</v>
      </c>
      <c r="AD27" t="s">
        <v>45</v>
      </c>
      <c r="AE27" t="str">
        <f>IF(AND(data[[#This Row],[Age]]&gt;=18,data[[#This Row],[Age]]&lt;=24),"18-24",IF(AND(data[[#This Row],[Age]]&gt;=25,data[[#This Row],[Age]]&lt;=34),"25-34",IF(AND(data[[#This Row],[Age]]&gt;35,data[[#This Row],[Age]]&lt;=44),"35-44",IF(data[[#This Row],[Age]]&gt;44,"45+",IF(data[[#This Row],[Age]]&lt;18,"below 18 ")))))</f>
        <v>25-34</v>
      </c>
    </row>
    <row r="28" spans="1:34" x14ac:dyDescent="0.25">
      <c r="A28" t="s">
        <v>81</v>
      </c>
      <c r="B28">
        <v>38</v>
      </c>
      <c r="C28" t="s">
        <v>47</v>
      </c>
      <c r="D28" t="s">
        <v>64</v>
      </c>
      <c r="E28" t="s">
        <v>40</v>
      </c>
      <c r="F28" t="s">
        <v>34</v>
      </c>
      <c r="G28">
        <v>4.4000000000000004</v>
      </c>
      <c r="H28">
        <v>7</v>
      </c>
      <c r="I28">
        <v>4</v>
      </c>
      <c r="J28" t="s">
        <v>42</v>
      </c>
      <c r="K28" t="s">
        <v>62</v>
      </c>
      <c r="L28">
        <v>45</v>
      </c>
      <c r="M28">
        <v>3.8</v>
      </c>
      <c r="N28">
        <v>9.3000000000000007</v>
      </c>
      <c r="O28">
        <v>3.2</v>
      </c>
      <c r="P28">
        <v>8.6</v>
      </c>
      <c r="Q28" t="s">
        <v>35</v>
      </c>
      <c r="R28" t="s">
        <v>42</v>
      </c>
      <c r="S28">
        <v>0</v>
      </c>
      <c r="T28">
        <v>0.8</v>
      </c>
      <c r="U28">
        <v>1.4</v>
      </c>
      <c r="V28">
        <v>5</v>
      </c>
      <c r="W28">
        <v>4.9000000000000004</v>
      </c>
      <c r="X28">
        <v>6</v>
      </c>
      <c r="Y28">
        <v>10</v>
      </c>
      <c r="Z28">
        <v>4.7</v>
      </c>
      <c r="AA28">
        <v>3.6</v>
      </c>
      <c r="AB28">
        <v>3.1</v>
      </c>
      <c r="AC28">
        <v>6.9</v>
      </c>
      <c r="AD28" t="s">
        <v>45</v>
      </c>
      <c r="AE28" t="str">
        <f>IF(AND(data[[#This Row],[Age]]&gt;=18,data[[#This Row],[Age]]&lt;=24),"18-24",IF(AND(data[[#This Row],[Age]]&gt;=25,data[[#This Row],[Age]]&lt;=34),"25-34",IF(AND(data[[#This Row],[Age]]&gt;35,data[[#This Row],[Age]]&lt;=44),"35-44",IF(data[[#This Row],[Age]]&gt;44,"45+",IF(data[[#This Row],[Age]]&lt;18,"below 18 ")))))</f>
        <v>35-44</v>
      </c>
    </row>
    <row r="29" spans="1:34" x14ac:dyDescent="0.25">
      <c r="A29" t="s">
        <v>82</v>
      </c>
      <c r="B29">
        <v>41</v>
      </c>
      <c r="C29" t="s">
        <v>31</v>
      </c>
      <c r="D29" t="s">
        <v>32</v>
      </c>
      <c r="E29" t="s">
        <v>33</v>
      </c>
      <c r="F29" t="s">
        <v>51</v>
      </c>
      <c r="G29">
        <v>3</v>
      </c>
      <c r="H29">
        <v>2</v>
      </c>
      <c r="I29">
        <v>3</v>
      </c>
      <c r="J29" t="s">
        <v>35</v>
      </c>
      <c r="K29" t="s">
        <v>36</v>
      </c>
      <c r="L29">
        <v>5</v>
      </c>
      <c r="M29">
        <v>5.7</v>
      </c>
      <c r="N29">
        <v>6.6</v>
      </c>
      <c r="O29">
        <v>0</v>
      </c>
      <c r="P29">
        <v>3.1</v>
      </c>
      <c r="Q29" t="s">
        <v>35</v>
      </c>
      <c r="R29" t="s">
        <v>35</v>
      </c>
      <c r="S29">
        <v>5.2</v>
      </c>
      <c r="T29">
        <v>3.1</v>
      </c>
      <c r="U29">
        <v>4.9000000000000004</v>
      </c>
      <c r="V29">
        <v>8.9</v>
      </c>
      <c r="W29">
        <v>6.3</v>
      </c>
      <c r="X29">
        <v>7.6</v>
      </c>
      <c r="Y29">
        <v>1.4</v>
      </c>
      <c r="Z29">
        <v>7.1</v>
      </c>
      <c r="AB29">
        <v>3.7</v>
      </c>
      <c r="AC29">
        <v>8.5</v>
      </c>
      <c r="AD29" t="s">
        <v>37</v>
      </c>
      <c r="AE29" t="str">
        <f>IF(AND(data[[#This Row],[Age]]&gt;=18,data[[#This Row],[Age]]&lt;=24),"18-24",IF(AND(data[[#This Row],[Age]]&gt;=25,data[[#This Row],[Age]]&lt;=34),"25-34",IF(AND(data[[#This Row],[Age]]&gt;35,data[[#This Row],[Age]]&lt;=44),"35-44",IF(data[[#This Row],[Age]]&gt;44,"45+",IF(data[[#This Row],[Age]]&lt;18,"below 18 ")))))</f>
        <v>35-44</v>
      </c>
    </row>
    <row r="30" spans="1:34" x14ac:dyDescent="0.25">
      <c r="A30" t="s">
        <v>83</v>
      </c>
      <c r="B30">
        <v>21</v>
      </c>
      <c r="C30" t="s">
        <v>50</v>
      </c>
      <c r="D30" t="s">
        <v>32</v>
      </c>
      <c r="E30" t="s">
        <v>33</v>
      </c>
      <c r="F30" t="s">
        <v>41</v>
      </c>
      <c r="G30">
        <v>0.8</v>
      </c>
      <c r="H30">
        <v>1</v>
      </c>
      <c r="I30">
        <v>5</v>
      </c>
      <c r="J30" t="s">
        <v>35</v>
      </c>
      <c r="K30" t="s">
        <v>36</v>
      </c>
      <c r="L30">
        <v>87</v>
      </c>
      <c r="M30">
        <v>6.8</v>
      </c>
      <c r="N30">
        <v>5.7</v>
      </c>
      <c r="O30">
        <v>5.5</v>
      </c>
      <c r="P30">
        <v>5.8</v>
      </c>
      <c r="Q30" t="s">
        <v>42</v>
      </c>
      <c r="R30" t="s">
        <v>42</v>
      </c>
      <c r="S30">
        <v>5.5</v>
      </c>
      <c r="T30">
        <v>3.7</v>
      </c>
      <c r="U30">
        <v>5.0999999999999996</v>
      </c>
      <c r="V30">
        <v>9</v>
      </c>
      <c r="W30">
        <v>7.7</v>
      </c>
      <c r="X30">
        <v>6.7</v>
      </c>
      <c r="Y30">
        <v>10</v>
      </c>
      <c r="Z30">
        <v>2.7</v>
      </c>
      <c r="AA30">
        <v>4.5999999999999996</v>
      </c>
      <c r="AB30">
        <v>4</v>
      </c>
      <c r="AC30">
        <v>4.5999999999999996</v>
      </c>
      <c r="AD30" t="s">
        <v>43</v>
      </c>
      <c r="AE30" t="str">
        <f>IF(AND(data[[#This Row],[Age]]&gt;=18,data[[#This Row],[Age]]&lt;=24),"18-24",IF(AND(data[[#This Row],[Age]]&gt;=25,data[[#This Row],[Age]]&lt;=34),"25-34",IF(AND(data[[#This Row],[Age]]&gt;35,data[[#This Row],[Age]]&lt;=44),"35-44",IF(data[[#This Row],[Age]]&gt;44,"45+",IF(data[[#This Row],[Age]]&lt;18,"below 18 ")))))</f>
        <v>18-24</v>
      </c>
    </row>
    <row r="31" spans="1:34" x14ac:dyDescent="0.25">
      <c r="A31" t="s">
        <v>84</v>
      </c>
      <c r="B31">
        <v>34</v>
      </c>
      <c r="C31" t="s">
        <v>47</v>
      </c>
      <c r="D31" t="s">
        <v>39</v>
      </c>
      <c r="E31" t="s">
        <v>58</v>
      </c>
      <c r="F31" t="s">
        <v>51</v>
      </c>
      <c r="G31">
        <v>1.4</v>
      </c>
      <c r="H31">
        <v>1</v>
      </c>
      <c r="I31">
        <v>4</v>
      </c>
      <c r="J31" t="s">
        <v>35</v>
      </c>
      <c r="K31" t="s">
        <v>36</v>
      </c>
      <c r="L31">
        <v>82</v>
      </c>
      <c r="M31">
        <v>4</v>
      </c>
      <c r="N31">
        <v>5.4</v>
      </c>
      <c r="O31">
        <v>2.8</v>
      </c>
      <c r="P31">
        <v>4.5</v>
      </c>
      <c r="Q31" t="s">
        <v>42</v>
      </c>
      <c r="R31" t="s">
        <v>35</v>
      </c>
      <c r="S31">
        <v>8.4</v>
      </c>
      <c r="T31">
        <v>4.2</v>
      </c>
      <c r="U31">
        <v>5.4</v>
      </c>
      <c r="V31">
        <v>5.5</v>
      </c>
      <c r="W31">
        <v>6</v>
      </c>
      <c r="X31">
        <v>6.9</v>
      </c>
      <c r="Y31">
        <v>6.1</v>
      </c>
      <c r="Z31">
        <v>5.2</v>
      </c>
      <c r="AA31">
        <v>3.6</v>
      </c>
      <c r="AB31">
        <v>4.3</v>
      </c>
      <c r="AC31">
        <v>7.6</v>
      </c>
      <c r="AD31" t="s">
        <v>37</v>
      </c>
      <c r="AE31" t="str">
        <f>IF(AND(data[[#This Row],[Age]]&gt;=18,data[[#This Row],[Age]]&lt;=24),"18-24",IF(AND(data[[#This Row],[Age]]&gt;=25,data[[#This Row],[Age]]&lt;=34),"25-34",IF(AND(data[[#This Row],[Age]]&gt;35,data[[#This Row],[Age]]&lt;=44),"35-44",IF(data[[#This Row],[Age]]&gt;44,"45+",IF(data[[#This Row],[Age]]&lt;18,"below 18 ")))))</f>
        <v>25-34</v>
      </c>
    </row>
    <row r="32" spans="1:34" x14ac:dyDescent="0.25">
      <c r="A32" t="s">
        <v>85</v>
      </c>
      <c r="B32">
        <v>43</v>
      </c>
      <c r="C32" t="s">
        <v>31</v>
      </c>
      <c r="D32" t="s">
        <v>32</v>
      </c>
      <c r="E32" t="s">
        <v>58</v>
      </c>
      <c r="F32" t="s">
        <v>59</v>
      </c>
      <c r="H32">
        <v>7</v>
      </c>
      <c r="I32">
        <v>4</v>
      </c>
      <c r="J32" t="s">
        <v>35</v>
      </c>
      <c r="K32" t="s">
        <v>36</v>
      </c>
      <c r="L32">
        <v>68</v>
      </c>
      <c r="M32">
        <v>5.8</v>
      </c>
      <c r="N32">
        <v>5.0999999999999996</v>
      </c>
      <c r="O32">
        <v>4.7</v>
      </c>
      <c r="P32">
        <v>7</v>
      </c>
      <c r="Q32" t="s">
        <v>42</v>
      </c>
      <c r="R32" t="s">
        <v>42</v>
      </c>
      <c r="S32">
        <v>6.2</v>
      </c>
      <c r="T32">
        <v>2.7</v>
      </c>
      <c r="U32">
        <v>1.9</v>
      </c>
      <c r="V32">
        <v>4.4000000000000004</v>
      </c>
      <c r="W32">
        <v>6</v>
      </c>
      <c r="X32">
        <v>8.1999999999999993</v>
      </c>
      <c r="Y32">
        <v>8.9</v>
      </c>
      <c r="Z32">
        <v>5.8</v>
      </c>
      <c r="AA32">
        <v>5.2</v>
      </c>
      <c r="AB32">
        <v>5.3</v>
      </c>
      <c r="AC32">
        <v>5.8</v>
      </c>
      <c r="AD32" t="s">
        <v>45</v>
      </c>
      <c r="AE32" t="str">
        <f>IF(AND(data[[#This Row],[Age]]&gt;=18,data[[#This Row],[Age]]&lt;=24),"18-24",IF(AND(data[[#This Row],[Age]]&gt;=25,data[[#This Row],[Age]]&lt;=34),"25-34",IF(AND(data[[#This Row],[Age]]&gt;35,data[[#This Row],[Age]]&lt;=44),"35-44",IF(data[[#This Row],[Age]]&gt;44,"45+",IF(data[[#This Row],[Age]]&lt;18,"below 18 ")))))</f>
        <v>35-44</v>
      </c>
    </row>
    <row r="33" spans="1:31" x14ac:dyDescent="0.25">
      <c r="A33" t="s">
        <v>86</v>
      </c>
      <c r="B33">
        <v>27</v>
      </c>
      <c r="C33" t="s">
        <v>31</v>
      </c>
      <c r="D33" t="s">
        <v>32</v>
      </c>
      <c r="E33" t="s">
        <v>33</v>
      </c>
      <c r="F33" t="s">
        <v>51</v>
      </c>
      <c r="G33">
        <v>1.5</v>
      </c>
      <c r="H33">
        <v>5</v>
      </c>
      <c r="I33">
        <v>6</v>
      </c>
      <c r="J33" t="s">
        <v>35</v>
      </c>
      <c r="K33" t="s">
        <v>36</v>
      </c>
      <c r="L33">
        <v>5</v>
      </c>
      <c r="M33">
        <v>3</v>
      </c>
      <c r="N33">
        <v>8.6999999999999993</v>
      </c>
      <c r="O33">
        <v>6.5</v>
      </c>
      <c r="P33">
        <v>6.7</v>
      </c>
      <c r="Q33" t="s">
        <v>42</v>
      </c>
      <c r="R33" t="s">
        <v>42</v>
      </c>
      <c r="S33">
        <v>5.8</v>
      </c>
      <c r="T33">
        <v>3.8</v>
      </c>
      <c r="U33">
        <v>4</v>
      </c>
      <c r="V33">
        <v>6</v>
      </c>
      <c r="W33">
        <v>4.5999999999999996</v>
      </c>
      <c r="X33">
        <v>7.5</v>
      </c>
      <c r="Y33">
        <v>5.4</v>
      </c>
      <c r="Z33">
        <v>5.7</v>
      </c>
      <c r="AA33">
        <v>2.7</v>
      </c>
      <c r="AB33">
        <v>0.4</v>
      </c>
      <c r="AC33">
        <v>5.6</v>
      </c>
      <c r="AD33" t="s">
        <v>45</v>
      </c>
      <c r="AE33" t="str">
        <f>IF(AND(data[[#This Row],[Age]]&gt;=18,data[[#This Row],[Age]]&lt;=24),"18-24",IF(AND(data[[#This Row],[Age]]&gt;=25,data[[#This Row],[Age]]&lt;=34),"25-34",IF(AND(data[[#This Row],[Age]]&gt;35,data[[#This Row],[Age]]&lt;=44),"35-44",IF(data[[#This Row],[Age]]&gt;44,"45+",IF(data[[#This Row],[Age]]&lt;18,"below 18 ")))))</f>
        <v>25-34</v>
      </c>
    </row>
    <row r="34" spans="1:31" x14ac:dyDescent="0.25">
      <c r="A34" t="s">
        <v>87</v>
      </c>
      <c r="B34">
        <v>20</v>
      </c>
      <c r="C34" t="s">
        <v>31</v>
      </c>
      <c r="D34" t="s">
        <v>39</v>
      </c>
      <c r="E34" t="s">
        <v>33</v>
      </c>
      <c r="F34" t="s">
        <v>48</v>
      </c>
      <c r="G34">
        <v>0.5</v>
      </c>
      <c r="H34">
        <v>2</v>
      </c>
      <c r="I34">
        <v>7</v>
      </c>
      <c r="J34" t="s">
        <v>35</v>
      </c>
      <c r="K34" t="s">
        <v>52</v>
      </c>
      <c r="L34">
        <v>52</v>
      </c>
      <c r="M34">
        <v>7.3</v>
      </c>
      <c r="N34">
        <v>8.9</v>
      </c>
      <c r="O34">
        <v>3</v>
      </c>
      <c r="P34">
        <v>5.2</v>
      </c>
      <c r="Q34" t="s">
        <v>42</v>
      </c>
      <c r="R34" t="s">
        <v>42</v>
      </c>
      <c r="S34">
        <v>7.1</v>
      </c>
      <c r="T34">
        <v>2.2999999999999998</v>
      </c>
      <c r="U34">
        <v>5.6</v>
      </c>
      <c r="V34">
        <v>6.7</v>
      </c>
      <c r="W34">
        <v>5.9</v>
      </c>
      <c r="X34">
        <v>8.6</v>
      </c>
      <c r="Y34">
        <v>2.8</v>
      </c>
      <c r="Z34">
        <v>4.2</v>
      </c>
      <c r="AA34">
        <v>3.6</v>
      </c>
      <c r="AB34">
        <v>3.9</v>
      </c>
      <c r="AC34">
        <v>5.8</v>
      </c>
      <c r="AD34" t="s">
        <v>53</v>
      </c>
      <c r="AE34" t="str">
        <f>IF(AND(data[[#This Row],[Age]]&gt;=18,data[[#This Row],[Age]]&lt;=24),"18-24",IF(AND(data[[#This Row],[Age]]&gt;=25,data[[#This Row],[Age]]&lt;=34),"25-34",IF(AND(data[[#This Row],[Age]]&gt;35,data[[#This Row],[Age]]&lt;=44),"35-44",IF(data[[#This Row],[Age]]&gt;44,"45+",IF(data[[#This Row],[Age]]&lt;18,"below 18 ")))))</f>
        <v>18-24</v>
      </c>
    </row>
    <row r="35" spans="1:31" x14ac:dyDescent="0.25">
      <c r="A35" t="s">
        <v>88</v>
      </c>
      <c r="B35">
        <v>39</v>
      </c>
      <c r="C35" t="s">
        <v>47</v>
      </c>
      <c r="D35" t="s">
        <v>39</v>
      </c>
      <c r="E35" t="s">
        <v>58</v>
      </c>
      <c r="F35" t="s">
        <v>41</v>
      </c>
      <c r="G35">
        <v>4.5999999999999996</v>
      </c>
      <c r="H35">
        <v>2</v>
      </c>
      <c r="I35">
        <v>3</v>
      </c>
      <c r="J35" t="s">
        <v>42</v>
      </c>
      <c r="K35" t="s">
        <v>52</v>
      </c>
      <c r="L35">
        <v>75</v>
      </c>
      <c r="M35">
        <v>5.7</v>
      </c>
      <c r="N35">
        <v>9.3000000000000007</v>
      </c>
      <c r="O35">
        <v>1.6</v>
      </c>
      <c r="P35">
        <v>8.1</v>
      </c>
      <c r="Q35" t="s">
        <v>35</v>
      </c>
      <c r="R35" t="s">
        <v>42</v>
      </c>
      <c r="S35">
        <v>0.6</v>
      </c>
      <c r="T35">
        <v>3.3</v>
      </c>
      <c r="U35">
        <v>3.4</v>
      </c>
      <c r="V35">
        <v>4.9000000000000004</v>
      </c>
      <c r="W35">
        <v>7.1</v>
      </c>
      <c r="X35">
        <v>5.3</v>
      </c>
      <c r="Y35">
        <v>5.8</v>
      </c>
      <c r="Z35">
        <v>6.8</v>
      </c>
      <c r="AA35">
        <v>2.9</v>
      </c>
      <c r="AB35">
        <v>1.4</v>
      </c>
      <c r="AC35">
        <v>5.8</v>
      </c>
      <c r="AD35" t="s">
        <v>45</v>
      </c>
      <c r="AE35" t="str">
        <f>IF(AND(data[[#This Row],[Age]]&gt;=18,data[[#This Row],[Age]]&lt;=24),"18-24",IF(AND(data[[#This Row],[Age]]&gt;=25,data[[#This Row],[Age]]&lt;=34),"25-34",IF(AND(data[[#This Row],[Age]]&gt;35,data[[#This Row],[Age]]&lt;=44),"35-44",IF(data[[#This Row],[Age]]&gt;44,"45+",IF(data[[#This Row],[Age]]&lt;18,"below 18 ")))))</f>
        <v>35-44</v>
      </c>
    </row>
    <row r="36" spans="1:31" x14ac:dyDescent="0.25">
      <c r="A36" t="s">
        <v>89</v>
      </c>
      <c r="B36">
        <v>39</v>
      </c>
      <c r="C36" t="s">
        <v>47</v>
      </c>
      <c r="D36" t="s">
        <v>64</v>
      </c>
      <c r="E36" t="s">
        <v>40</v>
      </c>
      <c r="F36" t="s">
        <v>59</v>
      </c>
      <c r="G36">
        <v>4.3</v>
      </c>
      <c r="H36">
        <v>2</v>
      </c>
      <c r="I36">
        <v>2</v>
      </c>
      <c r="J36" t="s">
        <v>42</v>
      </c>
      <c r="K36" t="s">
        <v>36</v>
      </c>
      <c r="L36">
        <v>53</v>
      </c>
      <c r="M36">
        <v>5.7</v>
      </c>
      <c r="N36">
        <v>2.4</v>
      </c>
      <c r="O36">
        <v>1.3</v>
      </c>
      <c r="P36">
        <v>8.6</v>
      </c>
      <c r="Q36" t="s">
        <v>42</v>
      </c>
      <c r="R36" t="s">
        <v>35</v>
      </c>
      <c r="S36">
        <v>4.2</v>
      </c>
      <c r="T36">
        <v>5.6</v>
      </c>
      <c r="U36">
        <v>3.1</v>
      </c>
      <c r="V36">
        <v>4.5</v>
      </c>
      <c r="W36">
        <v>3</v>
      </c>
      <c r="X36">
        <v>5.3</v>
      </c>
      <c r="Y36">
        <v>7.1</v>
      </c>
      <c r="Z36">
        <v>8.4</v>
      </c>
      <c r="AA36">
        <v>3.9</v>
      </c>
      <c r="AB36">
        <v>3.4</v>
      </c>
      <c r="AC36">
        <v>7.7</v>
      </c>
      <c r="AD36" t="s">
        <v>37</v>
      </c>
      <c r="AE36" t="str">
        <f>IF(AND(data[[#This Row],[Age]]&gt;=18,data[[#This Row],[Age]]&lt;=24),"18-24",IF(AND(data[[#This Row],[Age]]&gt;=25,data[[#This Row],[Age]]&lt;=34),"25-34",IF(AND(data[[#This Row],[Age]]&gt;35,data[[#This Row],[Age]]&lt;=44),"35-44",IF(data[[#This Row],[Age]]&gt;44,"45+",IF(data[[#This Row],[Age]]&lt;18,"below 18 ")))))</f>
        <v>35-44</v>
      </c>
    </row>
    <row r="37" spans="1:31" x14ac:dyDescent="0.25">
      <c r="A37" t="s">
        <v>90</v>
      </c>
      <c r="B37">
        <v>38</v>
      </c>
      <c r="C37" t="s">
        <v>31</v>
      </c>
      <c r="D37" t="s">
        <v>32</v>
      </c>
      <c r="E37" t="s">
        <v>58</v>
      </c>
      <c r="F37" t="s">
        <v>41</v>
      </c>
      <c r="G37">
        <v>8.1999999999999993</v>
      </c>
      <c r="H37">
        <v>4</v>
      </c>
      <c r="I37">
        <v>8</v>
      </c>
      <c r="J37" t="s">
        <v>35</v>
      </c>
      <c r="K37" t="s">
        <v>52</v>
      </c>
      <c r="L37">
        <v>64</v>
      </c>
      <c r="N37">
        <v>2.9</v>
      </c>
      <c r="O37">
        <v>6.4</v>
      </c>
      <c r="P37">
        <v>3.4</v>
      </c>
      <c r="Q37" t="s">
        <v>42</v>
      </c>
      <c r="R37" t="s">
        <v>42</v>
      </c>
      <c r="S37">
        <v>6.8</v>
      </c>
      <c r="T37">
        <v>3.7</v>
      </c>
      <c r="U37">
        <v>4.2</v>
      </c>
      <c r="V37">
        <v>7.6</v>
      </c>
      <c r="W37">
        <v>8.1</v>
      </c>
      <c r="X37">
        <v>4.8</v>
      </c>
      <c r="Y37">
        <v>7.3</v>
      </c>
      <c r="Z37">
        <v>7.8</v>
      </c>
      <c r="AA37">
        <v>2.5</v>
      </c>
      <c r="AB37">
        <v>4.3</v>
      </c>
      <c r="AC37">
        <v>6.2</v>
      </c>
      <c r="AD37" t="s">
        <v>45</v>
      </c>
      <c r="AE37" t="str">
        <f>IF(AND(data[[#This Row],[Age]]&gt;=18,data[[#This Row],[Age]]&lt;=24),"18-24",IF(AND(data[[#This Row],[Age]]&gt;=25,data[[#This Row],[Age]]&lt;=34),"25-34",IF(AND(data[[#This Row],[Age]]&gt;35,data[[#This Row],[Age]]&lt;=44),"35-44",IF(data[[#This Row],[Age]]&gt;44,"45+",IF(data[[#This Row],[Age]]&lt;18,"below 18 ")))))</f>
        <v>35-44</v>
      </c>
    </row>
    <row r="38" spans="1:31" x14ac:dyDescent="0.25">
      <c r="A38" t="s">
        <v>91</v>
      </c>
      <c r="B38">
        <v>36</v>
      </c>
      <c r="C38" t="s">
        <v>47</v>
      </c>
      <c r="D38" t="s">
        <v>32</v>
      </c>
      <c r="E38" t="s">
        <v>33</v>
      </c>
      <c r="F38" t="s">
        <v>70</v>
      </c>
      <c r="G38">
        <v>1.3</v>
      </c>
      <c r="H38">
        <v>7</v>
      </c>
      <c r="I38">
        <v>2</v>
      </c>
      <c r="J38" t="s">
        <v>42</v>
      </c>
      <c r="K38" t="s">
        <v>36</v>
      </c>
      <c r="L38">
        <v>95</v>
      </c>
      <c r="M38">
        <v>4.5999999999999996</v>
      </c>
      <c r="N38">
        <v>10</v>
      </c>
      <c r="O38">
        <v>5.9</v>
      </c>
      <c r="P38">
        <v>4.4000000000000004</v>
      </c>
      <c r="Q38" t="s">
        <v>42</v>
      </c>
      <c r="R38" t="s">
        <v>42</v>
      </c>
      <c r="S38">
        <v>9.6</v>
      </c>
      <c r="T38">
        <v>5.8</v>
      </c>
      <c r="U38">
        <v>6.4</v>
      </c>
      <c r="W38">
        <v>7.2</v>
      </c>
      <c r="X38">
        <v>6.7</v>
      </c>
      <c r="Y38">
        <v>3.9</v>
      </c>
      <c r="Z38">
        <v>4.8</v>
      </c>
      <c r="AA38">
        <v>1.7</v>
      </c>
      <c r="AB38">
        <v>6.2</v>
      </c>
      <c r="AC38">
        <v>3.5</v>
      </c>
      <c r="AD38" t="s">
        <v>43</v>
      </c>
      <c r="AE38" t="str">
        <f>IF(AND(data[[#This Row],[Age]]&gt;=18,data[[#This Row],[Age]]&lt;=24),"18-24",IF(AND(data[[#This Row],[Age]]&gt;=25,data[[#This Row],[Age]]&lt;=34),"25-34",IF(AND(data[[#This Row],[Age]]&gt;35,data[[#This Row],[Age]]&lt;=44),"35-44",IF(data[[#This Row],[Age]]&gt;44,"45+",IF(data[[#This Row],[Age]]&lt;18,"below 18 ")))))</f>
        <v>35-44</v>
      </c>
    </row>
    <row r="39" spans="1:31" x14ac:dyDescent="0.25">
      <c r="A39" t="s">
        <v>92</v>
      </c>
      <c r="B39">
        <v>31</v>
      </c>
      <c r="C39" t="s">
        <v>50</v>
      </c>
      <c r="D39" t="s">
        <v>39</v>
      </c>
      <c r="E39" t="s">
        <v>33</v>
      </c>
      <c r="F39" t="s">
        <v>41</v>
      </c>
      <c r="G39">
        <v>6.7</v>
      </c>
      <c r="H39">
        <v>5</v>
      </c>
      <c r="I39">
        <v>5</v>
      </c>
      <c r="J39" t="s">
        <v>42</v>
      </c>
      <c r="K39" t="s">
        <v>62</v>
      </c>
      <c r="L39">
        <v>5</v>
      </c>
      <c r="M39">
        <v>5.9</v>
      </c>
      <c r="N39">
        <v>6.5</v>
      </c>
      <c r="O39">
        <v>1.5</v>
      </c>
      <c r="P39">
        <v>4.5</v>
      </c>
      <c r="R39" t="s">
        <v>42</v>
      </c>
      <c r="S39">
        <v>4</v>
      </c>
      <c r="T39">
        <v>3.5</v>
      </c>
      <c r="V39">
        <v>3.6</v>
      </c>
      <c r="W39">
        <v>3.8</v>
      </c>
      <c r="X39">
        <v>7.9</v>
      </c>
      <c r="Y39">
        <v>8.1999999999999993</v>
      </c>
      <c r="AA39">
        <v>0.8</v>
      </c>
      <c r="AB39">
        <v>2.6</v>
      </c>
      <c r="AC39">
        <v>5.4</v>
      </c>
      <c r="AD39" t="s">
        <v>43</v>
      </c>
      <c r="AE39" t="str">
        <f>IF(AND(data[[#This Row],[Age]]&gt;=18,data[[#This Row],[Age]]&lt;=24),"18-24",IF(AND(data[[#This Row],[Age]]&gt;=25,data[[#This Row],[Age]]&lt;=34),"25-34",IF(AND(data[[#This Row],[Age]]&gt;35,data[[#This Row],[Age]]&lt;=44),"35-44",IF(data[[#This Row],[Age]]&gt;44,"45+",IF(data[[#This Row],[Age]]&lt;18,"below 18 ")))))</f>
        <v>25-34</v>
      </c>
    </row>
    <row r="40" spans="1:31" x14ac:dyDescent="0.25">
      <c r="A40" t="s">
        <v>93</v>
      </c>
      <c r="B40">
        <v>42</v>
      </c>
      <c r="C40" t="s">
        <v>31</v>
      </c>
      <c r="D40" t="s">
        <v>32</v>
      </c>
      <c r="E40" t="s">
        <v>40</v>
      </c>
      <c r="F40" t="s">
        <v>41</v>
      </c>
      <c r="G40">
        <v>0.5</v>
      </c>
      <c r="H40">
        <v>4</v>
      </c>
      <c r="I40">
        <v>6</v>
      </c>
      <c r="J40" t="s">
        <v>35</v>
      </c>
      <c r="K40" t="s">
        <v>36</v>
      </c>
      <c r="L40">
        <v>57</v>
      </c>
      <c r="M40">
        <v>1.3</v>
      </c>
      <c r="N40">
        <v>2.9</v>
      </c>
      <c r="O40">
        <v>4.3</v>
      </c>
      <c r="P40">
        <v>0.4</v>
      </c>
      <c r="Q40" t="s">
        <v>35</v>
      </c>
      <c r="R40" t="s">
        <v>42</v>
      </c>
      <c r="S40">
        <v>5</v>
      </c>
      <c r="T40">
        <v>2</v>
      </c>
      <c r="U40">
        <v>5.2</v>
      </c>
      <c r="V40">
        <v>9.4</v>
      </c>
      <c r="W40">
        <v>5.4</v>
      </c>
      <c r="X40">
        <v>6.6</v>
      </c>
      <c r="Z40">
        <v>3.2</v>
      </c>
      <c r="AA40">
        <v>2.7</v>
      </c>
      <c r="AB40">
        <v>1.3</v>
      </c>
      <c r="AC40">
        <v>7.7</v>
      </c>
      <c r="AD40" t="s">
        <v>37</v>
      </c>
      <c r="AE40" t="str">
        <f>IF(AND(data[[#This Row],[Age]]&gt;=18,data[[#This Row],[Age]]&lt;=24),"18-24",IF(AND(data[[#This Row],[Age]]&gt;=25,data[[#This Row],[Age]]&lt;=34),"25-34",IF(AND(data[[#This Row],[Age]]&gt;35,data[[#This Row],[Age]]&lt;=44),"35-44",IF(data[[#This Row],[Age]]&gt;44,"45+",IF(data[[#This Row],[Age]]&lt;18,"below 18 ")))))</f>
        <v>35-44</v>
      </c>
    </row>
    <row r="41" spans="1:31" x14ac:dyDescent="0.25">
      <c r="A41" t="s">
        <v>94</v>
      </c>
      <c r="B41">
        <v>44</v>
      </c>
      <c r="C41" t="s">
        <v>50</v>
      </c>
      <c r="D41" t="s">
        <v>32</v>
      </c>
      <c r="E41" t="s">
        <v>58</v>
      </c>
      <c r="F41" t="s">
        <v>41</v>
      </c>
      <c r="G41">
        <v>7.3</v>
      </c>
      <c r="H41">
        <v>4</v>
      </c>
      <c r="I41">
        <v>5</v>
      </c>
      <c r="J41" t="s">
        <v>35</v>
      </c>
      <c r="K41" t="s">
        <v>36</v>
      </c>
      <c r="L41">
        <v>73</v>
      </c>
      <c r="M41">
        <v>5.2</v>
      </c>
      <c r="N41">
        <v>6.3</v>
      </c>
      <c r="O41">
        <v>8.1</v>
      </c>
      <c r="P41">
        <v>9.3000000000000007</v>
      </c>
      <c r="Q41" t="s">
        <v>35</v>
      </c>
      <c r="R41" t="s">
        <v>35</v>
      </c>
      <c r="S41">
        <v>8.4</v>
      </c>
      <c r="T41">
        <v>5.4</v>
      </c>
      <c r="V41">
        <v>10</v>
      </c>
      <c r="W41">
        <v>6.6</v>
      </c>
      <c r="X41">
        <v>4.2</v>
      </c>
      <c r="Y41">
        <v>4</v>
      </c>
      <c r="Z41">
        <v>2.8</v>
      </c>
      <c r="AA41">
        <v>4.2</v>
      </c>
      <c r="AB41">
        <v>3.1</v>
      </c>
      <c r="AC41">
        <v>4.3</v>
      </c>
      <c r="AD41" t="s">
        <v>43</v>
      </c>
      <c r="AE41" t="str">
        <f>IF(AND(data[[#This Row],[Age]]&gt;=18,data[[#This Row],[Age]]&lt;=24),"18-24",IF(AND(data[[#This Row],[Age]]&gt;=25,data[[#This Row],[Age]]&lt;=34),"25-34",IF(AND(data[[#This Row],[Age]]&gt;35,data[[#This Row],[Age]]&lt;=44),"35-44",IF(data[[#This Row],[Age]]&gt;44,"45+",IF(data[[#This Row],[Age]]&lt;18,"below 18 ")))))</f>
        <v>35-44</v>
      </c>
    </row>
    <row r="42" spans="1:31" x14ac:dyDescent="0.25">
      <c r="A42" t="s">
        <v>95</v>
      </c>
      <c r="B42">
        <v>15</v>
      </c>
      <c r="C42" t="s">
        <v>47</v>
      </c>
      <c r="D42" t="s">
        <v>39</v>
      </c>
      <c r="E42" t="s">
        <v>33</v>
      </c>
      <c r="F42" t="s">
        <v>48</v>
      </c>
      <c r="G42">
        <v>5.0999999999999996</v>
      </c>
      <c r="H42">
        <v>4</v>
      </c>
      <c r="I42">
        <v>7</v>
      </c>
      <c r="J42" t="s">
        <v>35</v>
      </c>
      <c r="K42" t="s">
        <v>62</v>
      </c>
      <c r="L42">
        <v>97</v>
      </c>
      <c r="M42">
        <v>4.8</v>
      </c>
      <c r="N42">
        <v>5.3</v>
      </c>
      <c r="O42">
        <v>4.5</v>
      </c>
      <c r="P42">
        <v>5.2</v>
      </c>
      <c r="Q42" t="s">
        <v>35</v>
      </c>
      <c r="R42" t="s">
        <v>42</v>
      </c>
      <c r="S42">
        <v>3.7</v>
      </c>
      <c r="T42">
        <v>1.4</v>
      </c>
      <c r="U42">
        <v>5.9</v>
      </c>
      <c r="V42">
        <v>5.2</v>
      </c>
      <c r="X42">
        <v>8.6999999999999993</v>
      </c>
      <c r="Y42">
        <v>6.4</v>
      </c>
      <c r="Z42">
        <v>6.3</v>
      </c>
      <c r="AA42">
        <v>1.2</v>
      </c>
      <c r="AB42">
        <v>5.6</v>
      </c>
      <c r="AC42">
        <v>8</v>
      </c>
      <c r="AD42" t="s">
        <v>37</v>
      </c>
      <c r="AE42" t="str">
        <f>IF(AND(data[[#This Row],[Age]]&gt;=18,data[[#This Row],[Age]]&lt;=24),"18-24",IF(AND(data[[#This Row],[Age]]&gt;=25,data[[#This Row],[Age]]&lt;=34),"25-34",IF(AND(data[[#This Row],[Age]]&gt;35,data[[#This Row],[Age]]&lt;=44),"35-44",IF(data[[#This Row],[Age]]&gt;44,"45+",IF(data[[#This Row],[Age]]&lt;18,"below 18 ")))))</f>
        <v xml:space="preserve">below 18 </v>
      </c>
    </row>
    <row r="43" spans="1:31" x14ac:dyDescent="0.25">
      <c r="A43" t="s">
        <v>96</v>
      </c>
      <c r="B43">
        <v>17</v>
      </c>
      <c r="C43" t="s">
        <v>47</v>
      </c>
      <c r="D43" t="s">
        <v>32</v>
      </c>
      <c r="E43" t="s">
        <v>40</v>
      </c>
      <c r="F43" t="s">
        <v>51</v>
      </c>
      <c r="G43">
        <v>2.4</v>
      </c>
      <c r="H43">
        <v>2</v>
      </c>
      <c r="I43">
        <v>2</v>
      </c>
      <c r="J43" t="s">
        <v>42</v>
      </c>
      <c r="K43" t="s">
        <v>62</v>
      </c>
      <c r="L43">
        <v>90</v>
      </c>
      <c r="M43">
        <v>7.6</v>
      </c>
      <c r="N43">
        <v>9.4</v>
      </c>
      <c r="O43">
        <v>4.7</v>
      </c>
      <c r="P43">
        <v>3.7</v>
      </c>
      <c r="Q43" t="s">
        <v>35</v>
      </c>
      <c r="R43" t="s">
        <v>35</v>
      </c>
      <c r="S43">
        <v>3.1</v>
      </c>
      <c r="U43">
        <v>7.1</v>
      </c>
      <c r="V43">
        <v>5.7</v>
      </c>
      <c r="W43">
        <v>8.1</v>
      </c>
      <c r="X43">
        <v>7.5</v>
      </c>
      <c r="Y43">
        <v>9.4</v>
      </c>
      <c r="Z43">
        <v>4.7</v>
      </c>
      <c r="AA43">
        <v>2.2000000000000002</v>
      </c>
      <c r="AB43">
        <v>2.8</v>
      </c>
      <c r="AC43">
        <v>6.6</v>
      </c>
      <c r="AD43" t="s">
        <v>53</v>
      </c>
      <c r="AE43" t="str">
        <f>IF(AND(data[[#This Row],[Age]]&gt;=18,data[[#This Row],[Age]]&lt;=24),"18-24",IF(AND(data[[#This Row],[Age]]&gt;=25,data[[#This Row],[Age]]&lt;=34),"25-34",IF(AND(data[[#This Row],[Age]]&gt;35,data[[#This Row],[Age]]&lt;=44),"35-44",IF(data[[#This Row],[Age]]&gt;44,"45+",IF(data[[#This Row],[Age]]&lt;18,"below 18 ")))))</f>
        <v xml:space="preserve">below 18 </v>
      </c>
    </row>
    <row r="44" spans="1:31" x14ac:dyDescent="0.25">
      <c r="A44" t="s">
        <v>97</v>
      </c>
      <c r="B44">
        <v>39</v>
      </c>
      <c r="C44" t="s">
        <v>47</v>
      </c>
      <c r="D44" t="s">
        <v>32</v>
      </c>
      <c r="E44" t="s">
        <v>40</v>
      </c>
      <c r="F44" t="s">
        <v>51</v>
      </c>
      <c r="G44">
        <v>7.2</v>
      </c>
      <c r="H44">
        <v>1</v>
      </c>
      <c r="I44">
        <v>6</v>
      </c>
      <c r="J44" t="s">
        <v>35</v>
      </c>
      <c r="K44" t="s">
        <v>36</v>
      </c>
      <c r="L44">
        <v>80</v>
      </c>
      <c r="M44">
        <v>7.9</v>
      </c>
      <c r="N44">
        <v>7.5</v>
      </c>
      <c r="O44">
        <v>1.2</v>
      </c>
      <c r="P44">
        <v>8.6999999999999993</v>
      </c>
      <c r="Q44" t="s">
        <v>35</v>
      </c>
      <c r="R44" t="s">
        <v>35</v>
      </c>
      <c r="S44">
        <v>3.2</v>
      </c>
      <c r="T44">
        <v>3.2</v>
      </c>
      <c r="U44">
        <v>1.2</v>
      </c>
      <c r="V44">
        <v>6.4</v>
      </c>
      <c r="W44">
        <v>6.8</v>
      </c>
      <c r="X44">
        <v>6.4</v>
      </c>
      <c r="Y44">
        <v>7.4</v>
      </c>
      <c r="Z44">
        <v>5.2</v>
      </c>
      <c r="AA44">
        <v>3.1</v>
      </c>
      <c r="AB44">
        <v>5.4</v>
      </c>
      <c r="AC44">
        <v>6.6</v>
      </c>
      <c r="AD44" t="s">
        <v>53</v>
      </c>
      <c r="AE44" t="str">
        <f>IF(AND(data[[#This Row],[Age]]&gt;=18,data[[#This Row],[Age]]&lt;=24),"18-24",IF(AND(data[[#This Row],[Age]]&gt;=25,data[[#This Row],[Age]]&lt;=34),"25-34",IF(AND(data[[#This Row],[Age]]&gt;35,data[[#This Row],[Age]]&lt;=44),"35-44",IF(data[[#This Row],[Age]]&gt;44,"45+",IF(data[[#This Row],[Age]]&lt;18,"below 18 ")))))</f>
        <v>35-44</v>
      </c>
    </row>
    <row r="45" spans="1:31" x14ac:dyDescent="0.25">
      <c r="A45" t="s">
        <v>98</v>
      </c>
      <c r="B45">
        <v>24</v>
      </c>
      <c r="C45" t="s">
        <v>31</v>
      </c>
      <c r="D45" t="s">
        <v>57</v>
      </c>
      <c r="E45" t="s">
        <v>58</v>
      </c>
      <c r="F45" t="s">
        <v>41</v>
      </c>
      <c r="G45">
        <v>4.9000000000000004</v>
      </c>
      <c r="H45">
        <v>4</v>
      </c>
      <c r="I45">
        <v>5</v>
      </c>
      <c r="J45" t="s">
        <v>35</v>
      </c>
      <c r="K45" t="s">
        <v>52</v>
      </c>
      <c r="L45">
        <v>89</v>
      </c>
      <c r="M45">
        <v>9.1999999999999993</v>
      </c>
      <c r="N45">
        <v>3.7</v>
      </c>
      <c r="O45">
        <v>6.5</v>
      </c>
      <c r="P45">
        <v>7.9</v>
      </c>
      <c r="Q45" t="s">
        <v>35</v>
      </c>
      <c r="R45" t="s">
        <v>42</v>
      </c>
      <c r="S45">
        <v>6.7</v>
      </c>
      <c r="T45">
        <v>3.4</v>
      </c>
      <c r="U45">
        <v>0.1</v>
      </c>
      <c r="V45">
        <v>4.4000000000000004</v>
      </c>
      <c r="W45">
        <v>6.2</v>
      </c>
      <c r="X45">
        <v>6.8</v>
      </c>
      <c r="Y45">
        <v>4</v>
      </c>
      <c r="AA45">
        <v>4.8</v>
      </c>
      <c r="AB45">
        <v>2.8</v>
      </c>
      <c r="AC45">
        <v>5.5</v>
      </c>
      <c r="AD45" t="s">
        <v>45</v>
      </c>
      <c r="AE45" t="str">
        <f>IF(AND(data[[#This Row],[Age]]&gt;=18,data[[#This Row],[Age]]&lt;=24),"18-24",IF(AND(data[[#This Row],[Age]]&gt;=25,data[[#This Row],[Age]]&lt;=34),"25-34",IF(AND(data[[#This Row],[Age]]&gt;35,data[[#This Row],[Age]]&lt;=44),"35-44",IF(data[[#This Row],[Age]]&gt;44,"45+",IF(data[[#This Row],[Age]]&lt;18,"below 18 ")))))</f>
        <v>18-24</v>
      </c>
    </row>
    <row r="46" spans="1:31" x14ac:dyDescent="0.25">
      <c r="A46" t="s">
        <v>99</v>
      </c>
      <c r="B46">
        <v>29</v>
      </c>
      <c r="C46" t="s">
        <v>47</v>
      </c>
      <c r="D46" t="s">
        <v>64</v>
      </c>
      <c r="E46" t="s">
        <v>58</v>
      </c>
      <c r="F46" t="s">
        <v>51</v>
      </c>
      <c r="G46">
        <v>5.8</v>
      </c>
      <c r="H46">
        <v>2</v>
      </c>
      <c r="I46">
        <v>1</v>
      </c>
      <c r="J46" t="s">
        <v>35</v>
      </c>
      <c r="K46" t="s">
        <v>62</v>
      </c>
      <c r="L46">
        <v>124</v>
      </c>
      <c r="M46">
        <v>7.5</v>
      </c>
      <c r="N46">
        <v>2.2999999999999998</v>
      </c>
      <c r="O46">
        <v>5.8</v>
      </c>
      <c r="P46">
        <v>5.3</v>
      </c>
      <c r="Q46" t="s">
        <v>35</v>
      </c>
      <c r="R46" t="s">
        <v>35</v>
      </c>
      <c r="S46">
        <v>4.3</v>
      </c>
      <c r="T46">
        <v>6.3</v>
      </c>
      <c r="U46">
        <v>6.6</v>
      </c>
      <c r="V46">
        <v>5.2</v>
      </c>
      <c r="W46">
        <v>6.8</v>
      </c>
      <c r="X46">
        <v>7.2</v>
      </c>
      <c r="Y46">
        <v>6.9</v>
      </c>
      <c r="Z46">
        <v>7.2</v>
      </c>
      <c r="AA46">
        <v>1.1000000000000001</v>
      </c>
      <c r="AB46">
        <v>4.4000000000000004</v>
      </c>
      <c r="AC46">
        <v>6.1</v>
      </c>
      <c r="AD46" t="s">
        <v>53</v>
      </c>
      <c r="AE46" t="str">
        <f>IF(AND(data[[#This Row],[Age]]&gt;=18,data[[#This Row],[Age]]&lt;=24),"18-24",IF(AND(data[[#This Row],[Age]]&gt;=25,data[[#This Row],[Age]]&lt;=34),"25-34",IF(AND(data[[#This Row],[Age]]&gt;35,data[[#This Row],[Age]]&lt;=44),"35-44",IF(data[[#This Row],[Age]]&gt;44,"45+",IF(data[[#This Row],[Age]]&lt;18,"below 18 ")))))</f>
        <v>25-34</v>
      </c>
    </row>
    <row r="47" spans="1:31" x14ac:dyDescent="0.25">
      <c r="A47" t="s">
        <v>100</v>
      </c>
      <c r="B47">
        <v>21</v>
      </c>
      <c r="C47" t="s">
        <v>47</v>
      </c>
      <c r="D47" t="s">
        <v>39</v>
      </c>
      <c r="E47" t="s">
        <v>33</v>
      </c>
      <c r="F47" t="s">
        <v>48</v>
      </c>
      <c r="G47">
        <v>4.5999999999999996</v>
      </c>
      <c r="H47">
        <v>1</v>
      </c>
      <c r="I47">
        <v>2</v>
      </c>
      <c r="J47" t="s">
        <v>42</v>
      </c>
      <c r="K47" t="s">
        <v>52</v>
      </c>
      <c r="L47">
        <v>114</v>
      </c>
      <c r="M47">
        <v>1.2</v>
      </c>
      <c r="N47">
        <v>8.9</v>
      </c>
      <c r="O47">
        <v>7.8</v>
      </c>
      <c r="P47">
        <v>8</v>
      </c>
      <c r="Q47" t="s">
        <v>42</v>
      </c>
      <c r="R47" t="s">
        <v>35</v>
      </c>
      <c r="S47">
        <v>4.5</v>
      </c>
      <c r="T47">
        <v>4.2</v>
      </c>
      <c r="U47">
        <v>5.9</v>
      </c>
      <c r="V47">
        <v>10</v>
      </c>
      <c r="W47">
        <v>1</v>
      </c>
      <c r="X47">
        <v>4.5</v>
      </c>
      <c r="Y47">
        <v>5.3</v>
      </c>
      <c r="Z47">
        <v>5.0999999999999996</v>
      </c>
      <c r="AA47">
        <v>3.8</v>
      </c>
      <c r="AB47">
        <v>1.8</v>
      </c>
      <c r="AC47">
        <v>6.9</v>
      </c>
      <c r="AD47" t="s">
        <v>53</v>
      </c>
      <c r="AE47" t="str">
        <f>IF(AND(data[[#This Row],[Age]]&gt;=18,data[[#This Row],[Age]]&lt;=24),"18-24",IF(AND(data[[#This Row],[Age]]&gt;=25,data[[#This Row],[Age]]&lt;=34),"25-34",IF(AND(data[[#This Row],[Age]]&gt;35,data[[#This Row],[Age]]&lt;=44),"35-44",IF(data[[#This Row],[Age]]&gt;44,"45+",IF(data[[#This Row],[Age]]&lt;18,"below 18 ")))))</f>
        <v>18-24</v>
      </c>
    </row>
    <row r="48" spans="1:31" x14ac:dyDescent="0.25">
      <c r="A48" t="s">
        <v>101</v>
      </c>
      <c r="B48">
        <v>19</v>
      </c>
      <c r="D48" t="s">
        <v>39</v>
      </c>
      <c r="E48" t="s">
        <v>58</v>
      </c>
      <c r="F48" t="s">
        <v>59</v>
      </c>
      <c r="G48">
        <v>7</v>
      </c>
      <c r="H48">
        <v>4</v>
      </c>
      <c r="I48">
        <v>2</v>
      </c>
      <c r="J48" t="s">
        <v>35</v>
      </c>
      <c r="K48" t="s">
        <v>62</v>
      </c>
      <c r="L48">
        <v>27</v>
      </c>
      <c r="M48">
        <v>6.5</v>
      </c>
      <c r="N48">
        <v>6.3</v>
      </c>
      <c r="O48">
        <v>4.5</v>
      </c>
      <c r="P48">
        <v>5.0999999999999996</v>
      </c>
      <c r="Q48" t="s">
        <v>42</v>
      </c>
      <c r="R48" t="s">
        <v>35</v>
      </c>
      <c r="T48">
        <v>3.9</v>
      </c>
      <c r="U48">
        <v>4.3</v>
      </c>
      <c r="V48">
        <v>3.7</v>
      </c>
      <c r="W48">
        <v>10</v>
      </c>
      <c r="X48">
        <v>5</v>
      </c>
      <c r="Z48">
        <v>4.4000000000000004</v>
      </c>
      <c r="AA48">
        <v>4.8</v>
      </c>
      <c r="AB48">
        <v>3.7</v>
      </c>
      <c r="AC48">
        <v>8.1999999999999993</v>
      </c>
      <c r="AD48" t="s">
        <v>37</v>
      </c>
      <c r="AE48" t="str">
        <f>IF(AND(data[[#This Row],[Age]]&gt;=18,data[[#This Row],[Age]]&lt;=24),"18-24",IF(AND(data[[#This Row],[Age]]&gt;=25,data[[#This Row],[Age]]&lt;=34),"25-34",IF(AND(data[[#This Row],[Age]]&gt;35,data[[#This Row],[Age]]&lt;=44),"35-44",IF(data[[#This Row],[Age]]&gt;44,"45+",IF(data[[#This Row],[Age]]&lt;18,"below 18 ")))))</f>
        <v>18-24</v>
      </c>
    </row>
    <row r="49" spans="1:31" x14ac:dyDescent="0.25">
      <c r="A49" t="s">
        <v>102</v>
      </c>
      <c r="B49">
        <v>29</v>
      </c>
      <c r="C49" t="s">
        <v>31</v>
      </c>
      <c r="D49" t="s">
        <v>39</v>
      </c>
      <c r="E49" t="s">
        <v>58</v>
      </c>
      <c r="F49" t="s">
        <v>51</v>
      </c>
      <c r="H49">
        <v>4</v>
      </c>
      <c r="I49">
        <v>4</v>
      </c>
      <c r="J49" t="s">
        <v>42</v>
      </c>
      <c r="K49" t="s">
        <v>62</v>
      </c>
      <c r="L49">
        <v>38</v>
      </c>
      <c r="M49">
        <v>4</v>
      </c>
      <c r="N49">
        <v>6.6</v>
      </c>
      <c r="O49">
        <v>4.3</v>
      </c>
      <c r="P49">
        <v>5.0999999999999996</v>
      </c>
      <c r="Q49" t="s">
        <v>35</v>
      </c>
      <c r="R49" t="s">
        <v>42</v>
      </c>
      <c r="S49">
        <v>1.7</v>
      </c>
      <c r="T49">
        <v>1.2</v>
      </c>
      <c r="U49">
        <v>3.6</v>
      </c>
      <c r="V49">
        <v>4.7</v>
      </c>
      <c r="W49">
        <v>3.3</v>
      </c>
      <c r="X49">
        <v>5.3</v>
      </c>
      <c r="Y49">
        <v>0</v>
      </c>
      <c r="Z49">
        <v>6</v>
      </c>
      <c r="AA49">
        <v>2.1</v>
      </c>
      <c r="AB49">
        <v>3.9</v>
      </c>
      <c r="AC49">
        <v>7.1</v>
      </c>
      <c r="AD49" t="s">
        <v>53</v>
      </c>
      <c r="AE49" t="str">
        <f>IF(AND(data[[#This Row],[Age]]&gt;=18,data[[#This Row],[Age]]&lt;=24),"18-24",IF(AND(data[[#This Row],[Age]]&gt;=25,data[[#This Row],[Age]]&lt;=34),"25-34",IF(AND(data[[#This Row],[Age]]&gt;35,data[[#This Row],[Age]]&lt;=44),"35-44",IF(data[[#This Row],[Age]]&gt;44,"45+",IF(data[[#This Row],[Age]]&lt;18,"below 18 ")))))</f>
        <v>25-34</v>
      </c>
    </row>
    <row r="50" spans="1:31" x14ac:dyDescent="0.25">
      <c r="A50" t="s">
        <v>103</v>
      </c>
      <c r="B50">
        <v>24</v>
      </c>
      <c r="C50" t="s">
        <v>31</v>
      </c>
      <c r="D50" t="s">
        <v>39</v>
      </c>
      <c r="E50" t="s">
        <v>58</v>
      </c>
      <c r="F50" t="s">
        <v>41</v>
      </c>
      <c r="H50">
        <v>1</v>
      </c>
      <c r="I50">
        <v>4</v>
      </c>
      <c r="J50" t="s">
        <v>35</v>
      </c>
      <c r="K50" t="s">
        <v>36</v>
      </c>
      <c r="L50">
        <v>17</v>
      </c>
      <c r="M50">
        <v>5.2</v>
      </c>
      <c r="N50">
        <v>5.9</v>
      </c>
      <c r="O50">
        <v>7.5</v>
      </c>
      <c r="P50">
        <v>7.7</v>
      </c>
      <c r="Q50" t="s">
        <v>42</v>
      </c>
      <c r="R50" t="s">
        <v>35</v>
      </c>
      <c r="S50">
        <v>5.9</v>
      </c>
      <c r="T50">
        <v>3.8</v>
      </c>
      <c r="U50">
        <v>4.5999999999999996</v>
      </c>
      <c r="V50">
        <v>8</v>
      </c>
      <c r="W50">
        <v>6.7</v>
      </c>
      <c r="X50">
        <v>6.5</v>
      </c>
      <c r="Y50">
        <v>4.7</v>
      </c>
      <c r="Z50">
        <v>7.8</v>
      </c>
      <c r="AA50">
        <v>4.8</v>
      </c>
      <c r="AB50">
        <v>3.9</v>
      </c>
      <c r="AC50">
        <v>6.7</v>
      </c>
      <c r="AD50" t="s">
        <v>53</v>
      </c>
      <c r="AE50" t="str">
        <f>IF(AND(data[[#This Row],[Age]]&gt;=18,data[[#This Row],[Age]]&lt;=24),"18-24",IF(AND(data[[#This Row],[Age]]&gt;=25,data[[#This Row],[Age]]&lt;=34),"25-34",IF(AND(data[[#This Row],[Age]]&gt;35,data[[#This Row],[Age]]&lt;=44),"35-44",IF(data[[#This Row],[Age]]&gt;44,"45+",IF(data[[#This Row],[Age]]&lt;18,"below 18 ")))))</f>
        <v>18-24</v>
      </c>
    </row>
    <row r="51" spans="1:31" x14ac:dyDescent="0.25">
      <c r="A51" t="s">
        <v>104</v>
      </c>
      <c r="B51">
        <v>38</v>
      </c>
      <c r="D51" t="s">
        <v>32</v>
      </c>
      <c r="E51" t="s">
        <v>33</v>
      </c>
      <c r="F51" t="s">
        <v>41</v>
      </c>
      <c r="G51">
        <v>2.6</v>
      </c>
      <c r="H51">
        <v>6</v>
      </c>
      <c r="I51">
        <v>3</v>
      </c>
      <c r="J51" t="s">
        <v>35</v>
      </c>
      <c r="K51" t="s">
        <v>36</v>
      </c>
      <c r="L51">
        <v>62</v>
      </c>
      <c r="M51">
        <v>2.4</v>
      </c>
      <c r="N51">
        <v>6.2</v>
      </c>
      <c r="O51">
        <v>6.8</v>
      </c>
      <c r="P51">
        <v>5.6</v>
      </c>
      <c r="Q51" t="s">
        <v>42</v>
      </c>
      <c r="R51" t="s">
        <v>42</v>
      </c>
      <c r="S51">
        <v>1.5</v>
      </c>
      <c r="T51">
        <v>6.7</v>
      </c>
      <c r="U51">
        <v>0.1</v>
      </c>
      <c r="X51">
        <v>9.6999999999999993</v>
      </c>
      <c r="Y51">
        <v>4.8</v>
      </c>
      <c r="Z51">
        <v>4.9000000000000004</v>
      </c>
      <c r="AA51">
        <v>1.8</v>
      </c>
      <c r="AB51">
        <v>0.8</v>
      </c>
      <c r="AC51">
        <v>5.5</v>
      </c>
      <c r="AD51" t="s">
        <v>45</v>
      </c>
      <c r="AE51" t="str">
        <f>IF(AND(data[[#This Row],[Age]]&gt;=18,data[[#This Row],[Age]]&lt;=24),"18-24",IF(AND(data[[#This Row],[Age]]&gt;=25,data[[#This Row],[Age]]&lt;=34),"25-34",IF(AND(data[[#This Row],[Age]]&gt;35,data[[#This Row],[Age]]&lt;=44),"35-44",IF(data[[#This Row],[Age]]&gt;44,"45+",IF(data[[#This Row],[Age]]&lt;18,"below 18 ")))))</f>
        <v>35-44</v>
      </c>
    </row>
    <row r="52" spans="1:31" x14ac:dyDescent="0.25">
      <c r="A52" t="s">
        <v>105</v>
      </c>
      <c r="B52">
        <v>18</v>
      </c>
      <c r="C52" t="s">
        <v>31</v>
      </c>
      <c r="D52" t="s">
        <v>39</v>
      </c>
      <c r="E52" t="s">
        <v>40</v>
      </c>
      <c r="F52" t="s">
        <v>51</v>
      </c>
      <c r="G52">
        <v>2.7</v>
      </c>
      <c r="H52">
        <v>2</v>
      </c>
      <c r="I52">
        <v>3</v>
      </c>
      <c r="J52" t="s">
        <v>35</v>
      </c>
      <c r="K52" t="s">
        <v>36</v>
      </c>
      <c r="L52">
        <v>104</v>
      </c>
      <c r="M52">
        <v>3.1</v>
      </c>
      <c r="N52">
        <v>2.4</v>
      </c>
      <c r="O52">
        <v>7.4</v>
      </c>
      <c r="P52">
        <v>8.9</v>
      </c>
      <c r="Q52" t="s">
        <v>42</v>
      </c>
      <c r="R52" t="s">
        <v>42</v>
      </c>
      <c r="S52">
        <v>0.4</v>
      </c>
      <c r="T52">
        <v>6.7</v>
      </c>
      <c r="U52">
        <v>1.6</v>
      </c>
      <c r="V52">
        <v>6.5</v>
      </c>
      <c r="W52">
        <v>6</v>
      </c>
      <c r="X52">
        <v>8</v>
      </c>
      <c r="Y52">
        <v>6.5</v>
      </c>
      <c r="Z52">
        <v>6.5</v>
      </c>
      <c r="AA52">
        <v>1.8</v>
      </c>
      <c r="AB52">
        <v>1</v>
      </c>
      <c r="AC52">
        <v>6.6</v>
      </c>
      <c r="AD52" t="s">
        <v>53</v>
      </c>
      <c r="AE52" t="str">
        <f>IF(AND(data[[#This Row],[Age]]&gt;=18,data[[#This Row],[Age]]&lt;=24),"18-24",IF(AND(data[[#This Row],[Age]]&gt;=25,data[[#This Row],[Age]]&lt;=34),"25-34",IF(AND(data[[#This Row],[Age]]&gt;35,data[[#This Row],[Age]]&lt;=44),"35-44",IF(data[[#This Row],[Age]]&gt;44,"45+",IF(data[[#This Row],[Age]]&lt;18,"below 18 ")))))</f>
        <v>18-24</v>
      </c>
    </row>
    <row r="53" spans="1:31" x14ac:dyDescent="0.25">
      <c r="A53" t="s">
        <v>106</v>
      </c>
      <c r="B53">
        <v>18</v>
      </c>
      <c r="C53" t="s">
        <v>47</v>
      </c>
      <c r="D53" t="s">
        <v>39</v>
      </c>
      <c r="E53" t="s">
        <v>33</v>
      </c>
      <c r="F53" t="s">
        <v>51</v>
      </c>
      <c r="G53">
        <v>6.2</v>
      </c>
      <c r="H53">
        <v>4</v>
      </c>
      <c r="I53">
        <v>1</v>
      </c>
      <c r="J53" t="s">
        <v>35</v>
      </c>
      <c r="K53" t="s">
        <v>36</v>
      </c>
      <c r="L53">
        <v>18</v>
      </c>
      <c r="M53">
        <v>6.3</v>
      </c>
      <c r="N53">
        <v>4</v>
      </c>
      <c r="O53">
        <v>4</v>
      </c>
      <c r="P53">
        <v>8.1</v>
      </c>
      <c r="Q53" t="s">
        <v>35</v>
      </c>
      <c r="R53" t="s">
        <v>35</v>
      </c>
      <c r="S53">
        <v>5.3</v>
      </c>
      <c r="T53">
        <v>0</v>
      </c>
      <c r="U53">
        <v>5.8</v>
      </c>
      <c r="V53">
        <v>3.1</v>
      </c>
      <c r="W53">
        <v>7.7</v>
      </c>
      <c r="X53">
        <v>6.7</v>
      </c>
      <c r="Y53">
        <v>4.4000000000000004</v>
      </c>
      <c r="Z53">
        <v>3.9</v>
      </c>
      <c r="AA53">
        <v>2.4</v>
      </c>
      <c r="AB53">
        <v>2.8</v>
      </c>
      <c r="AC53">
        <v>6.6</v>
      </c>
      <c r="AD53" t="s">
        <v>53</v>
      </c>
      <c r="AE53" t="str">
        <f>IF(AND(data[[#This Row],[Age]]&gt;=18,data[[#This Row],[Age]]&lt;=24),"18-24",IF(AND(data[[#This Row],[Age]]&gt;=25,data[[#This Row],[Age]]&lt;=34),"25-34",IF(AND(data[[#This Row],[Age]]&gt;35,data[[#This Row],[Age]]&lt;=44),"35-44",IF(data[[#This Row],[Age]]&gt;44,"45+",IF(data[[#This Row],[Age]]&lt;18,"below 18 ")))))</f>
        <v>18-24</v>
      </c>
    </row>
    <row r="54" spans="1:31" x14ac:dyDescent="0.25">
      <c r="A54" t="s">
        <v>107</v>
      </c>
      <c r="B54">
        <v>23</v>
      </c>
      <c r="C54" t="s">
        <v>47</v>
      </c>
      <c r="D54" t="s">
        <v>32</v>
      </c>
      <c r="E54" t="s">
        <v>58</v>
      </c>
      <c r="F54" t="s">
        <v>34</v>
      </c>
      <c r="G54">
        <v>5.8</v>
      </c>
      <c r="H54">
        <v>4</v>
      </c>
      <c r="I54">
        <v>5</v>
      </c>
      <c r="J54" t="s">
        <v>42</v>
      </c>
      <c r="K54" t="s">
        <v>36</v>
      </c>
      <c r="L54">
        <v>32</v>
      </c>
      <c r="M54">
        <v>6.1</v>
      </c>
      <c r="N54">
        <v>6.3</v>
      </c>
      <c r="O54">
        <v>5.5</v>
      </c>
      <c r="P54">
        <v>8.4</v>
      </c>
      <c r="Q54" t="s">
        <v>35</v>
      </c>
      <c r="R54" t="s">
        <v>42</v>
      </c>
      <c r="S54">
        <v>8.3000000000000007</v>
      </c>
      <c r="T54">
        <v>10</v>
      </c>
      <c r="V54">
        <v>1.2</v>
      </c>
      <c r="W54">
        <v>7.6</v>
      </c>
      <c r="X54">
        <v>3.3</v>
      </c>
      <c r="Y54">
        <v>6.1</v>
      </c>
      <c r="Z54">
        <v>7.7</v>
      </c>
      <c r="AA54">
        <v>4.9000000000000004</v>
      </c>
      <c r="AB54">
        <v>2.1</v>
      </c>
      <c r="AC54">
        <v>3</v>
      </c>
      <c r="AD54" t="s">
        <v>43</v>
      </c>
      <c r="AE54" t="str">
        <f>IF(AND(data[[#This Row],[Age]]&gt;=18,data[[#This Row],[Age]]&lt;=24),"18-24",IF(AND(data[[#This Row],[Age]]&gt;=25,data[[#This Row],[Age]]&lt;=34),"25-34",IF(AND(data[[#This Row],[Age]]&gt;35,data[[#This Row],[Age]]&lt;=44),"35-44",IF(data[[#This Row],[Age]]&gt;44,"45+",IF(data[[#This Row],[Age]]&lt;18,"below 18 ")))))</f>
        <v>18-24</v>
      </c>
    </row>
    <row r="55" spans="1:31" x14ac:dyDescent="0.25">
      <c r="A55" t="s">
        <v>108</v>
      </c>
      <c r="B55">
        <v>34</v>
      </c>
      <c r="C55" t="s">
        <v>47</v>
      </c>
      <c r="D55" t="s">
        <v>57</v>
      </c>
      <c r="E55" t="s">
        <v>58</v>
      </c>
      <c r="F55" t="s">
        <v>34</v>
      </c>
      <c r="G55">
        <v>5.0999999999999996</v>
      </c>
      <c r="H55">
        <v>5</v>
      </c>
      <c r="I55">
        <v>2</v>
      </c>
      <c r="J55" t="s">
        <v>42</v>
      </c>
      <c r="K55" t="s">
        <v>62</v>
      </c>
      <c r="L55">
        <v>74</v>
      </c>
      <c r="M55">
        <v>8</v>
      </c>
      <c r="N55">
        <v>6.1</v>
      </c>
      <c r="O55">
        <v>2.9</v>
      </c>
      <c r="P55">
        <v>2.9</v>
      </c>
      <c r="Q55" t="s">
        <v>42</v>
      </c>
      <c r="R55" t="s">
        <v>35</v>
      </c>
      <c r="S55">
        <v>3.5</v>
      </c>
      <c r="T55">
        <v>1.1000000000000001</v>
      </c>
      <c r="U55">
        <v>4</v>
      </c>
      <c r="V55">
        <v>3</v>
      </c>
      <c r="W55">
        <v>3.7</v>
      </c>
      <c r="X55">
        <v>5.4</v>
      </c>
      <c r="Y55">
        <v>7.6</v>
      </c>
      <c r="Z55">
        <v>5.9</v>
      </c>
      <c r="AA55">
        <v>0</v>
      </c>
      <c r="AB55">
        <v>2.8</v>
      </c>
      <c r="AC55">
        <v>7.1</v>
      </c>
      <c r="AD55" t="s">
        <v>53</v>
      </c>
      <c r="AE55" t="str">
        <f>IF(AND(data[[#This Row],[Age]]&gt;=18,data[[#This Row],[Age]]&lt;=24),"18-24",IF(AND(data[[#This Row],[Age]]&gt;=25,data[[#This Row],[Age]]&lt;=34),"25-34",IF(AND(data[[#This Row],[Age]]&gt;35,data[[#This Row],[Age]]&lt;=44),"35-44",IF(data[[#This Row],[Age]]&gt;44,"45+",IF(data[[#This Row],[Age]]&lt;18,"below 18 ")))))</f>
        <v>25-34</v>
      </c>
    </row>
    <row r="56" spans="1:31" x14ac:dyDescent="0.25">
      <c r="A56" t="s">
        <v>109</v>
      </c>
      <c r="B56">
        <v>31</v>
      </c>
      <c r="C56" t="s">
        <v>31</v>
      </c>
      <c r="D56" t="s">
        <v>64</v>
      </c>
      <c r="E56" t="s">
        <v>40</v>
      </c>
      <c r="F56" t="s">
        <v>41</v>
      </c>
      <c r="G56">
        <v>4</v>
      </c>
      <c r="H56">
        <v>4</v>
      </c>
      <c r="I56">
        <v>7</v>
      </c>
      <c r="J56" t="s">
        <v>42</v>
      </c>
      <c r="K56" t="s">
        <v>36</v>
      </c>
      <c r="L56">
        <v>64</v>
      </c>
      <c r="M56">
        <v>6</v>
      </c>
      <c r="N56">
        <v>5.9</v>
      </c>
      <c r="O56">
        <v>6.3</v>
      </c>
      <c r="P56">
        <v>3.8</v>
      </c>
      <c r="Q56" t="s">
        <v>35</v>
      </c>
      <c r="R56" t="s">
        <v>42</v>
      </c>
      <c r="S56">
        <v>1.8</v>
      </c>
      <c r="T56">
        <v>2.5</v>
      </c>
      <c r="U56">
        <v>3.5</v>
      </c>
      <c r="V56">
        <v>4.5</v>
      </c>
      <c r="W56">
        <v>6.3</v>
      </c>
      <c r="X56">
        <v>9.5</v>
      </c>
      <c r="Y56">
        <v>5.7</v>
      </c>
      <c r="Z56">
        <v>3.6</v>
      </c>
      <c r="AA56">
        <v>4.5999999999999996</v>
      </c>
      <c r="AB56">
        <v>0.5</v>
      </c>
      <c r="AC56">
        <v>7.3</v>
      </c>
      <c r="AD56" t="s">
        <v>53</v>
      </c>
      <c r="AE56" t="str">
        <f>IF(AND(data[[#This Row],[Age]]&gt;=18,data[[#This Row],[Age]]&lt;=24),"18-24",IF(AND(data[[#This Row],[Age]]&gt;=25,data[[#This Row],[Age]]&lt;=34),"25-34",IF(AND(data[[#This Row],[Age]]&gt;35,data[[#This Row],[Age]]&lt;=44),"35-44",IF(data[[#This Row],[Age]]&gt;44,"45+",IF(data[[#This Row],[Age]]&lt;18,"below 18 ")))))</f>
        <v>25-34</v>
      </c>
    </row>
    <row r="57" spans="1:31" x14ac:dyDescent="0.25">
      <c r="A57" t="s">
        <v>110</v>
      </c>
      <c r="B57">
        <v>16</v>
      </c>
      <c r="C57" t="s">
        <v>31</v>
      </c>
      <c r="D57" t="s">
        <v>39</v>
      </c>
      <c r="E57" t="s">
        <v>40</v>
      </c>
      <c r="F57" t="s">
        <v>51</v>
      </c>
      <c r="G57">
        <v>3.3</v>
      </c>
      <c r="H57">
        <v>2</v>
      </c>
      <c r="I57">
        <v>4</v>
      </c>
      <c r="J57" t="s">
        <v>42</v>
      </c>
      <c r="K57" t="s">
        <v>36</v>
      </c>
      <c r="L57">
        <v>60</v>
      </c>
      <c r="M57">
        <v>2.4</v>
      </c>
      <c r="N57">
        <v>2.2000000000000002</v>
      </c>
      <c r="O57">
        <v>5.2</v>
      </c>
      <c r="P57">
        <v>6.3</v>
      </c>
      <c r="Q57" t="s">
        <v>42</v>
      </c>
      <c r="R57" t="s">
        <v>35</v>
      </c>
      <c r="S57">
        <v>4.9000000000000004</v>
      </c>
      <c r="T57">
        <v>2.5</v>
      </c>
      <c r="U57">
        <v>4.8</v>
      </c>
      <c r="V57">
        <v>5.5</v>
      </c>
      <c r="W57">
        <v>7.4</v>
      </c>
      <c r="X57">
        <v>6.5</v>
      </c>
      <c r="Y57">
        <v>3.6</v>
      </c>
      <c r="Z57">
        <v>4.2</v>
      </c>
      <c r="AA57">
        <v>2.2999999999999998</v>
      </c>
      <c r="AB57">
        <v>5.4</v>
      </c>
      <c r="AC57">
        <v>7.1</v>
      </c>
      <c r="AD57" t="s">
        <v>53</v>
      </c>
      <c r="AE57" t="str">
        <f>IF(AND(data[[#This Row],[Age]]&gt;=18,data[[#This Row],[Age]]&lt;=24),"18-24",IF(AND(data[[#This Row],[Age]]&gt;=25,data[[#This Row],[Age]]&lt;=34),"25-34",IF(AND(data[[#This Row],[Age]]&gt;35,data[[#This Row],[Age]]&lt;=44),"35-44",IF(data[[#This Row],[Age]]&gt;44,"45+",IF(data[[#This Row],[Age]]&lt;18,"below 18 ")))))</f>
        <v xml:space="preserve">below 18 </v>
      </c>
    </row>
    <row r="58" spans="1:31" x14ac:dyDescent="0.25">
      <c r="A58" t="s">
        <v>111</v>
      </c>
      <c r="B58">
        <v>15</v>
      </c>
      <c r="C58" t="s">
        <v>47</v>
      </c>
      <c r="D58" t="s">
        <v>39</v>
      </c>
      <c r="E58" t="s">
        <v>58</v>
      </c>
      <c r="F58" t="s">
        <v>59</v>
      </c>
      <c r="G58">
        <v>5.3</v>
      </c>
      <c r="H58">
        <v>4</v>
      </c>
      <c r="I58">
        <v>6</v>
      </c>
      <c r="J58" t="s">
        <v>42</v>
      </c>
      <c r="K58" t="s">
        <v>36</v>
      </c>
      <c r="L58">
        <v>8</v>
      </c>
      <c r="M58">
        <v>8.4</v>
      </c>
      <c r="N58">
        <v>6.8</v>
      </c>
      <c r="O58">
        <v>4.5999999999999996</v>
      </c>
      <c r="P58">
        <v>2.2000000000000002</v>
      </c>
      <c r="Q58" t="s">
        <v>35</v>
      </c>
      <c r="R58" t="s">
        <v>42</v>
      </c>
      <c r="S58">
        <v>3.1</v>
      </c>
      <c r="T58">
        <v>3.1</v>
      </c>
      <c r="U58">
        <v>3.5</v>
      </c>
      <c r="V58">
        <v>5.9</v>
      </c>
      <c r="W58">
        <v>4.5999999999999996</v>
      </c>
      <c r="X58">
        <v>5.8</v>
      </c>
      <c r="Y58">
        <v>9.1</v>
      </c>
      <c r="Z58">
        <v>7.2</v>
      </c>
      <c r="AA58">
        <v>3.7</v>
      </c>
      <c r="AB58">
        <v>0.7</v>
      </c>
      <c r="AC58">
        <v>5.4</v>
      </c>
      <c r="AD58" t="s">
        <v>45</v>
      </c>
      <c r="AE58" t="str">
        <f>IF(AND(data[[#This Row],[Age]]&gt;=18,data[[#This Row],[Age]]&lt;=24),"18-24",IF(AND(data[[#This Row],[Age]]&gt;=25,data[[#This Row],[Age]]&lt;=34),"25-34",IF(AND(data[[#This Row],[Age]]&gt;35,data[[#This Row],[Age]]&lt;=44),"35-44",IF(data[[#This Row],[Age]]&gt;44,"45+",IF(data[[#This Row],[Age]]&lt;18,"below 18 ")))))</f>
        <v xml:space="preserve">below 18 </v>
      </c>
    </row>
    <row r="59" spans="1:31" x14ac:dyDescent="0.25">
      <c r="A59" t="s">
        <v>112</v>
      </c>
      <c r="B59">
        <v>31</v>
      </c>
      <c r="C59" t="s">
        <v>47</v>
      </c>
      <c r="D59" t="s">
        <v>39</v>
      </c>
      <c r="E59" t="s">
        <v>40</v>
      </c>
      <c r="F59" t="s">
        <v>41</v>
      </c>
      <c r="G59">
        <v>6.3</v>
      </c>
      <c r="H59">
        <v>5</v>
      </c>
      <c r="I59">
        <v>6</v>
      </c>
      <c r="J59" t="s">
        <v>42</v>
      </c>
      <c r="K59" t="s">
        <v>52</v>
      </c>
      <c r="L59">
        <v>36</v>
      </c>
      <c r="M59">
        <v>3.6</v>
      </c>
      <c r="N59">
        <v>5.2</v>
      </c>
      <c r="O59">
        <v>6.4</v>
      </c>
      <c r="P59">
        <v>6.3</v>
      </c>
      <c r="Q59" t="s">
        <v>35</v>
      </c>
      <c r="R59" t="s">
        <v>42</v>
      </c>
      <c r="S59">
        <v>6.5</v>
      </c>
      <c r="T59">
        <v>3.7</v>
      </c>
      <c r="V59">
        <v>0.7</v>
      </c>
      <c r="W59">
        <v>5</v>
      </c>
      <c r="X59">
        <v>6.9</v>
      </c>
      <c r="Y59">
        <v>5.5</v>
      </c>
      <c r="Z59">
        <v>3.5</v>
      </c>
      <c r="AA59">
        <v>1.2</v>
      </c>
      <c r="AB59">
        <v>3.8</v>
      </c>
      <c r="AC59">
        <v>4</v>
      </c>
      <c r="AD59" t="s">
        <v>43</v>
      </c>
      <c r="AE59" t="str">
        <f>IF(AND(data[[#This Row],[Age]]&gt;=18,data[[#This Row],[Age]]&lt;=24),"18-24",IF(AND(data[[#This Row],[Age]]&gt;=25,data[[#This Row],[Age]]&lt;=34),"25-34",IF(AND(data[[#This Row],[Age]]&gt;35,data[[#This Row],[Age]]&lt;=44),"35-44",IF(data[[#This Row],[Age]]&gt;44,"45+",IF(data[[#This Row],[Age]]&lt;18,"below 18 ")))))</f>
        <v>25-34</v>
      </c>
    </row>
    <row r="60" spans="1:31" x14ac:dyDescent="0.25">
      <c r="A60" t="s">
        <v>113</v>
      </c>
      <c r="B60">
        <v>37</v>
      </c>
      <c r="C60" t="s">
        <v>31</v>
      </c>
      <c r="D60" t="s">
        <v>32</v>
      </c>
      <c r="E60" t="s">
        <v>33</v>
      </c>
      <c r="F60" t="s">
        <v>51</v>
      </c>
      <c r="G60">
        <v>6.2</v>
      </c>
      <c r="H60">
        <v>3</v>
      </c>
      <c r="I60">
        <v>4</v>
      </c>
      <c r="J60" t="s">
        <v>42</v>
      </c>
      <c r="K60" t="s">
        <v>52</v>
      </c>
      <c r="L60">
        <v>58</v>
      </c>
      <c r="M60">
        <v>7.3</v>
      </c>
      <c r="N60">
        <v>4.4000000000000004</v>
      </c>
      <c r="O60">
        <v>3.2</v>
      </c>
      <c r="P60">
        <v>6.5</v>
      </c>
      <c r="Q60" t="s">
        <v>42</v>
      </c>
      <c r="R60" t="s">
        <v>35</v>
      </c>
      <c r="S60">
        <v>5</v>
      </c>
      <c r="T60">
        <v>2.9</v>
      </c>
      <c r="U60">
        <v>6.2</v>
      </c>
      <c r="V60">
        <v>8.3000000000000007</v>
      </c>
      <c r="W60">
        <v>3.9</v>
      </c>
      <c r="X60">
        <v>6.2</v>
      </c>
      <c r="Y60">
        <v>5.6</v>
      </c>
      <c r="Z60">
        <v>4.2</v>
      </c>
      <c r="AA60">
        <v>2.7</v>
      </c>
      <c r="AB60">
        <v>1.9</v>
      </c>
      <c r="AC60">
        <v>5.8</v>
      </c>
      <c r="AD60" t="s">
        <v>45</v>
      </c>
      <c r="AE60" t="str">
        <f>IF(AND(data[[#This Row],[Age]]&gt;=18,data[[#This Row],[Age]]&lt;=24),"18-24",IF(AND(data[[#This Row],[Age]]&gt;=25,data[[#This Row],[Age]]&lt;=34),"25-34",IF(AND(data[[#This Row],[Age]]&gt;35,data[[#This Row],[Age]]&lt;=44),"35-44",IF(data[[#This Row],[Age]]&gt;44,"45+",IF(data[[#This Row],[Age]]&lt;18,"below 18 ")))))</f>
        <v>35-44</v>
      </c>
    </row>
    <row r="61" spans="1:31" x14ac:dyDescent="0.25">
      <c r="A61" t="s">
        <v>114</v>
      </c>
      <c r="B61">
        <v>44</v>
      </c>
      <c r="C61" t="s">
        <v>31</v>
      </c>
      <c r="D61" t="s">
        <v>57</v>
      </c>
      <c r="E61" t="s">
        <v>58</v>
      </c>
      <c r="F61" t="s">
        <v>41</v>
      </c>
      <c r="G61">
        <v>8.1</v>
      </c>
      <c r="H61">
        <v>4</v>
      </c>
      <c r="I61">
        <v>3</v>
      </c>
      <c r="J61" t="s">
        <v>42</v>
      </c>
      <c r="K61" t="s">
        <v>36</v>
      </c>
      <c r="L61">
        <v>71</v>
      </c>
      <c r="N61">
        <v>6.5</v>
      </c>
      <c r="O61">
        <v>6.3</v>
      </c>
      <c r="P61">
        <v>6.9</v>
      </c>
      <c r="Q61" t="s">
        <v>42</v>
      </c>
      <c r="R61" t="s">
        <v>35</v>
      </c>
      <c r="S61">
        <v>6.6</v>
      </c>
      <c r="U61">
        <v>6.2</v>
      </c>
      <c r="V61">
        <v>6.5</v>
      </c>
      <c r="W61">
        <v>6.1</v>
      </c>
      <c r="X61">
        <v>7.8</v>
      </c>
      <c r="Y61">
        <v>2.2999999999999998</v>
      </c>
      <c r="Z61">
        <v>4.0999999999999996</v>
      </c>
      <c r="AA61">
        <v>0</v>
      </c>
      <c r="AB61">
        <v>6.1</v>
      </c>
      <c r="AC61">
        <v>6.1</v>
      </c>
      <c r="AD61" t="s">
        <v>45</v>
      </c>
      <c r="AE61" t="str">
        <f>IF(AND(data[[#This Row],[Age]]&gt;=18,data[[#This Row],[Age]]&lt;=24),"18-24",IF(AND(data[[#This Row],[Age]]&gt;=25,data[[#This Row],[Age]]&lt;=34),"25-34",IF(AND(data[[#This Row],[Age]]&gt;35,data[[#This Row],[Age]]&lt;=44),"35-44",IF(data[[#This Row],[Age]]&gt;44,"45+",IF(data[[#This Row],[Age]]&lt;18,"below 18 ")))))</f>
        <v>35-44</v>
      </c>
    </row>
    <row r="62" spans="1:31" x14ac:dyDescent="0.25">
      <c r="A62" t="s">
        <v>115</v>
      </c>
      <c r="B62">
        <v>27</v>
      </c>
      <c r="C62" t="s">
        <v>47</v>
      </c>
      <c r="D62" t="s">
        <v>39</v>
      </c>
      <c r="E62" t="s">
        <v>33</v>
      </c>
      <c r="F62" t="s">
        <v>48</v>
      </c>
      <c r="G62">
        <v>8.3000000000000007</v>
      </c>
      <c r="H62">
        <v>3</v>
      </c>
      <c r="I62">
        <v>1</v>
      </c>
      <c r="J62" t="s">
        <v>42</v>
      </c>
      <c r="K62" t="s">
        <v>36</v>
      </c>
      <c r="L62">
        <v>48</v>
      </c>
      <c r="M62">
        <v>6.4</v>
      </c>
      <c r="N62">
        <v>1.7</v>
      </c>
      <c r="O62">
        <v>5.8</v>
      </c>
      <c r="P62">
        <v>8.3000000000000007</v>
      </c>
      <c r="Q62" t="s">
        <v>42</v>
      </c>
      <c r="R62" t="s">
        <v>42</v>
      </c>
      <c r="S62">
        <v>3</v>
      </c>
      <c r="T62">
        <v>4.5</v>
      </c>
      <c r="U62">
        <v>5.2</v>
      </c>
      <c r="V62">
        <v>4.2</v>
      </c>
      <c r="W62">
        <v>6.3</v>
      </c>
      <c r="X62">
        <v>5.4</v>
      </c>
      <c r="Y62">
        <v>1.8</v>
      </c>
      <c r="Z62">
        <v>6.6</v>
      </c>
      <c r="AA62">
        <v>4.8</v>
      </c>
      <c r="AB62">
        <v>4.7</v>
      </c>
      <c r="AC62">
        <v>6</v>
      </c>
      <c r="AD62" t="s">
        <v>45</v>
      </c>
      <c r="AE62" t="str">
        <f>IF(AND(data[[#This Row],[Age]]&gt;=18,data[[#This Row],[Age]]&lt;=24),"18-24",IF(AND(data[[#This Row],[Age]]&gt;=25,data[[#This Row],[Age]]&lt;=34),"25-34",IF(AND(data[[#This Row],[Age]]&gt;35,data[[#This Row],[Age]]&lt;=44),"35-44",IF(data[[#This Row],[Age]]&gt;44,"45+",IF(data[[#This Row],[Age]]&lt;18,"below 18 ")))))</f>
        <v>25-34</v>
      </c>
    </row>
    <row r="63" spans="1:31" x14ac:dyDescent="0.25">
      <c r="A63" t="s">
        <v>116</v>
      </c>
      <c r="B63">
        <v>43</v>
      </c>
      <c r="C63" t="s">
        <v>50</v>
      </c>
      <c r="D63" t="s">
        <v>32</v>
      </c>
      <c r="E63" t="s">
        <v>58</v>
      </c>
      <c r="F63" t="s">
        <v>51</v>
      </c>
      <c r="G63">
        <v>3.7</v>
      </c>
      <c r="H63">
        <v>1</v>
      </c>
      <c r="I63">
        <v>6</v>
      </c>
      <c r="J63" t="s">
        <v>42</v>
      </c>
      <c r="K63" t="s">
        <v>52</v>
      </c>
      <c r="L63">
        <v>5</v>
      </c>
      <c r="M63">
        <v>7.6</v>
      </c>
      <c r="N63">
        <v>3.4</v>
      </c>
      <c r="O63">
        <v>7.8</v>
      </c>
      <c r="P63">
        <v>3.6</v>
      </c>
      <c r="Q63" t="s">
        <v>35</v>
      </c>
      <c r="R63" t="s">
        <v>42</v>
      </c>
      <c r="S63">
        <v>8.1999999999999993</v>
      </c>
      <c r="T63">
        <v>3.8</v>
      </c>
      <c r="U63">
        <v>2</v>
      </c>
      <c r="V63">
        <v>7.3</v>
      </c>
      <c r="W63">
        <v>5.5</v>
      </c>
      <c r="X63">
        <v>7.2</v>
      </c>
      <c r="Y63">
        <v>3.3</v>
      </c>
      <c r="AA63">
        <v>1.1000000000000001</v>
      </c>
      <c r="AB63">
        <v>2.7</v>
      </c>
      <c r="AC63">
        <v>5.3</v>
      </c>
      <c r="AD63" t="s">
        <v>45</v>
      </c>
      <c r="AE63" t="str">
        <f>IF(AND(data[[#This Row],[Age]]&gt;=18,data[[#This Row],[Age]]&lt;=24),"18-24",IF(AND(data[[#This Row],[Age]]&gt;=25,data[[#This Row],[Age]]&lt;=34),"25-34",IF(AND(data[[#This Row],[Age]]&gt;35,data[[#This Row],[Age]]&lt;=44),"35-44",IF(data[[#This Row],[Age]]&gt;44,"45+",IF(data[[#This Row],[Age]]&lt;18,"below 18 ")))))</f>
        <v>35-44</v>
      </c>
    </row>
    <row r="64" spans="1:31" x14ac:dyDescent="0.25">
      <c r="A64" t="s">
        <v>117</v>
      </c>
      <c r="B64">
        <v>43</v>
      </c>
      <c r="C64" t="s">
        <v>31</v>
      </c>
      <c r="D64" t="s">
        <v>32</v>
      </c>
      <c r="E64" t="s">
        <v>58</v>
      </c>
      <c r="F64" t="s">
        <v>59</v>
      </c>
      <c r="G64">
        <v>10</v>
      </c>
      <c r="H64">
        <v>4</v>
      </c>
      <c r="I64">
        <v>7</v>
      </c>
      <c r="J64" t="s">
        <v>35</v>
      </c>
      <c r="K64" t="s">
        <v>36</v>
      </c>
      <c r="L64">
        <v>30</v>
      </c>
      <c r="M64">
        <v>1.6</v>
      </c>
      <c r="N64">
        <v>4.4000000000000004</v>
      </c>
      <c r="O64">
        <v>4.8</v>
      </c>
      <c r="P64">
        <v>8.1</v>
      </c>
      <c r="R64" t="s">
        <v>42</v>
      </c>
      <c r="S64">
        <v>4.9000000000000004</v>
      </c>
      <c r="T64">
        <v>1.4</v>
      </c>
      <c r="U64">
        <v>4</v>
      </c>
      <c r="V64">
        <v>6.1</v>
      </c>
      <c r="W64">
        <v>3.2</v>
      </c>
      <c r="X64">
        <v>7.6</v>
      </c>
      <c r="Y64">
        <v>3.2</v>
      </c>
      <c r="Z64">
        <v>9.4</v>
      </c>
      <c r="AA64">
        <v>1.7</v>
      </c>
      <c r="AB64">
        <v>3</v>
      </c>
      <c r="AC64">
        <v>6.9</v>
      </c>
      <c r="AD64" t="s">
        <v>53</v>
      </c>
      <c r="AE64" t="str">
        <f>IF(AND(data[[#This Row],[Age]]&gt;=18,data[[#This Row],[Age]]&lt;=24),"18-24",IF(AND(data[[#This Row],[Age]]&gt;=25,data[[#This Row],[Age]]&lt;=34),"25-34",IF(AND(data[[#This Row],[Age]]&gt;35,data[[#This Row],[Age]]&lt;=44),"35-44",IF(data[[#This Row],[Age]]&gt;44,"45+",IF(data[[#This Row],[Age]]&lt;18,"below 18 ")))))</f>
        <v>35-44</v>
      </c>
    </row>
    <row r="65" spans="1:31" x14ac:dyDescent="0.25">
      <c r="A65" t="s">
        <v>118</v>
      </c>
      <c r="B65">
        <v>22</v>
      </c>
      <c r="C65" t="s">
        <v>31</v>
      </c>
      <c r="D65" t="s">
        <v>32</v>
      </c>
      <c r="E65" t="s">
        <v>33</v>
      </c>
      <c r="F65" t="s">
        <v>59</v>
      </c>
      <c r="G65">
        <v>7.8</v>
      </c>
      <c r="H65">
        <v>2</v>
      </c>
      <c r="I65">
        <v>6</v>
      </c>
      <c r="J65" t="s">
        <v>42</v>
      </c>
      <c r="K65" t="s">
        <v>62</v>
      </c>
      <c r="L65">
        <v>19</v>
      </c>
      <c r="M65">
        <v>6.5</v>
      </c>
      <c r="N65">
        <v>4.9000000000000004</v>
      </c>
      <c r="O65">
        <v>3.9</v>
      </c>
      <c r="P65">
        <v>6.4</v>
      </c>
      <c r="Q65" t="s">
        <v>35</v>
      </c>
      <c r="R65" t="s">
        <v>42</v>
      </c>
      <c r="T65">
        <v>7.5</v>
      </c>
      <c r="U65">
        <v>2.2999999999999998</v>
      </c>
      <c r="V65">
        <v>3.4</v>
      </c>
      <c r="W65">
        <v>3.6</v>
      </c>
      <c r="X65">
        <v>7.8</v>
      </c>
      <c r="Y65">
        <v>1.3</v>
      </c>
      <c r="Z65">
        <v>5.5</v>
      </c>
      <c r="AA65">
        <v>5</v>
      </c>
      <c r="AB65">
        <v>2.6</v>
      </c>
      <c r="AC65">
        <v>7.4</v>
      </c>
      <c r="AD65" t="s">
        <v>53</v>
      </c>
      <c r="AE65" t="str">
        <f>IF(AND(data[[#This Row],[Age]]&gt;=18,data[[#This Row],[Age]]&lt;=24),"18-24",IF(AND(data[[#This Row],[Age]]&gt;=25,data[[#This Row],[Age]]&lt;=34),"25-34",IF(AND(data[[#This Row],[Age]]&gt;35,data[[#This Row],[Age]]&lt;=44),"35-44",IF(data[[#This Row],[Age]]&gt;44,"45+",IF(data[[#This Row],[Age]]&lt;18,"below 18 ")))))</f>
        <v>18-24</v>
      </c>
    </row>
    <row r="66" spans="1:31" x14ac:dyDescent="0.25">
      <c r="A66" t="s">
        <v>119</v>
      </c>
      <c r="B66">
        <v>38</v>
      </c>
      <c r="C66" t="s">
        <v>47</v>
      </c>
      <c r="D66" t="s">
        <v>64</v>
      </c>
      <c r="E66" t="s">
        <v>40</v>
      </c>
      <c r="F66" t="s">
        <v>48</v>
      </c>
      <c r="G66">
        <v>5.2</v>
      </c>
      <c r="H66">
        <v>3</v>
      </c>
      <c r="I66">
        <v>5</v>
      </c>
      <c r="J66" t="s">
        <v>42</v>
      </c>
      <c r="K66" t="s">
        <v>36</v>
      </c>
      <c r="L66">
        <v>121</v>
      </c>
      <c r="M66">
        <v>10</v>
      </c>
      <c r="N66">
        <v>7.6</v>
      </c>
      <c r="O66">
        <v>5.8</v>
      </c>
      <c r="P66">
        <v>6.1</v>
      </c>
      <c r="Q66" t="s">
        <v>42</v>
      </c>
      <c r="R66" t="s">
        <v>42</v>
      </c>
      <c r="S66">
        <v>5.7</v>
      </c>
      <c r="T66">
        <v>2</v>
      </c>
      <c r="U66">
        <v>4.2</v>
      </c>
      <c r="W66">
        <v>4.7</v>
      </c>
      <c r="X66">
        <v>7.2</v>
      </c>
      <c r="Y66">
        <v>9.5</v>
      </c>
      <c r="Z66">
        <v>7.4</v>
      </c>
      <c r="AA66">
        <v>4.4000000000000004</v>
      </c>
      <c r="AB66">
        <v>2.2999999999999998</v>
      </c>
      <c r="AC66">
        <v>3.7</v>
      </c>
      <c r="AD66" t="s">
        <v>43</v>
      </c>
      <c r="AE66" t="str">
        <f>IF(AND(data[[#This Row],[Age]]&gt;=18,data[[#This Row],[Age]]&lt;=24),"18-24",IF(AND(data[[#This Row],[Age]]&gt;=25,data[[#This Row],[Age]]&lt;=34),"25-34",IF(AND(data[[#This Row],[Age]]&gt;35,data[[#This Row],[Age]]&lt;=44),"35-44",IF(data[[#This Row],[Age]]&gt;44,"45+",IF(data[[#This Row],[Age]]&lt;18,"below 18 ")))))</f>
        <v>35-44</v>
      </c>
    </row>
    <row r="67" spans="1:31" x14ac:dyDescent="0.25">
      <c r="A67" t="s">
        <v>120</v>
      </c>
      <c r="B67">
        <v>25</v>
      </c>
      <c r="C67" t="s">
        <v>31</v>
      </c>
      <c r="D67" t="s">
        <v>39</v>
      </c>
      <c r="E67" t="s">
        <v>58</v>
      </c>
      <c r="F67" t="s">
        <v>41</v>
      </c>
      <c r="G67">
        <v>5.3</v>
      </c>
      <c r="H67">
        <v>6</v>
      </c>
      <c r="I67">
        <v>3</v>
      </c>
      <c r="J67" t="s">
        <v>42</v>
      </c>
      <c r="K67" t="s">
        <v>36</v>
      </c>
      <c r="L67">
        <v>70</v>
      </c>
      <c r="M67">
        <v>5.6</v>
      </c>
      <c r="N67">
        <v>8.9</v>
      </c>
      <c r="O67">
        <v>7.3</v>
      </c>
      <c r="P67">
        <v>3.3</v>
      </c>
      <c r="Q67" t="s">
        <v>35</v>
      </c>
      <c r="R67" t="s">
        <v>35</v>
      </c>
      <c r="S67">
        <v>0.3</v>
      </c>
      <c r="T67">
        <v>6.3</v>
      </c>
      <c r="U67">
        <v>8.3000000000000007</v>
      </c>
      <c r="V67">
        <v>7.1</v>
      </c>
      <c r="X67">
        <v>6.3</v>
      </c>
      <c r="Y67">
        <v>8.6999999999999993</v>
      </c>
      <c r="Z67">
        <v>3.3</v>
      </c>
      <c r="AA67">
        <v>0.9</v>
      </c>
      <c r="AB67">
        <v>2</v>
      </c>
      <c r="AC67">
        <v>4.9000000000000004</v>
      </c>
      <c r="AD67" t="s">
        <v>43</v>
      </c>
      <c r="AE67" t="str">
        <f>IF(AND(data[[#This Row],[Age]]&gt;=18,data[[#This Row],[Age]]&lt;=24),"18-24",IF(AND(data[[#This Row],[Age]]&gt;=25,data[[#This Row],[Age]]&lt;=34),"25-34",IF(AND(data[[#This Row],[Age]]&gt;35,data[[#This Row],[Age]]&lt;=44),"35-44",IF(data[[#This Row],[Age]]&gt;44,"45+",IF(data[[#This Row],[Age]]&lt;18,"below 18 ")))))</f>
        <v>25-34</v>
      </c>
    </row>
    <row r="68" spans="1:31" x14ac:dyDescent="0.25">
      <c r="A68" t="s">
        <v>121</v>
      </c>
      <c r="B68">
        <v>24</v>
      </c>
      <c r="C68" t="s">
        <v>47</v>
      </c>
      <c r="D68" t="s">
        <v>39</v>
      </c>
      <c r="E68" t="s">
        <v>58</v>
      </c>
      <c r="F68" t="s">
        <v>59</v>
      </c>
      <c r="G68">
        <v>5.7</v>
      </c>
      <c r="H68">
        <v>6</v>
      </c>
      <c r="I68">
        <v>5</v>
      </c>
      <c r="J68" t="s">
        <v>42</v>
      </c>
      <c r="K68" t="s">
        <v>62</v>
      </c>
      <c r="L68">
        <v>108</v>
      </c>
      <c r="N68">
        <v>7</v>
      </c>
      <c r="O68">
        <v>3.3</v>
      </c>
      <c r="P68">
        <v>7</v>
      </c>
      <c r="Q68" t="s">
        <v>42</v>
      </c>
      <c r="R68" t="s">
        <v>35</v>
      </c>
      <c r="S68">
        <v>7.7</v>
      </c>
      <c r="T68">
        <v>7.1</v>
      </c>
      <c r="U68">
        <v>4.9000000000000004</v>
      </c>
      <c r="V68">
        <v>9.3000000000000007</v>
      </c>
      <c r="W68">
        <v>5.3</v>
      </c>
      <c r="X68">
        <v>5.6</v>
      </c>
      <c r="Y68">
        <v>3.4</v>
      </c>
      <c r="Z68">
        <v>3</v>
      </c>
      <c r="AA68">
        <v>2.8</v>
      </c>
      <c r="AB68">
        <v>4.5999999999999996</v>
      </c>
      <c r="AC68">
        <v>6.4</v>
      </c>
      <c r="AD68" t="s">
        <v>53</v>
      </c>
      <c r="AE68" t="str">
        <f>IF(AND(data[[#This Row],[Age]]&gt;=18,data[[#This Row],[Age]]&lt;=24),"18-24",IF(AND(data[[#This Row],[Age]]&gt;=25,data[[#This Row],[Age]]&lt;=34),"25-34",IF(AND(data[[#This Row],[Age]]&gt;35,data[[#This Row],[Age]]&lt;=44),"35-44",IF(data[[#This Row],[Age]]&gt;44,"45+",IF(data[[#This Row],[Age]]&lt;18,"below 18 ")))))</f>
        <v>18-24</v>
      </c>
    </row>
    <row r="69" spans="1:31" x14ac:dyDescent="0.25">
      <c r="A69" t="s">
        <v>122</v>
      </c>
      <c r="B69">
        <v>18</v>
      </c>
      <c r="C69" t="s">
        <v>50</v>
      </c>
      <c r="D69" t="s">
        <v>32</v>
      </c>
      <c r="E69" t="s">
        <v>40</v>
      </c>
      <c r="F69" t="s">
        <v>59</v>
      </c>
      <c r="G69">
        <v>3.4</v>
      </c>
      <c r="H69">
        <v>1</v>
      </c>
      <c r="I69">
        <v>4</v>
      </c>
      <c r="J69" t="s">
        <v>42</v>
      </c>
      <c r="K69" t="s">
        <v>36</v>
      </c>
      <c r="L69">
        <v>5</v>
      </c>
      <c r="M69">
        <v>6.9</v>
      </c>
      <c r="N69">
        <v>6.8</v>
      </c>
      <c r="O69">
        <v>5.0999999999999996</v>
      </c>
      <c r="P69">
        <v>5.2</v>
      </c>
      <c r="Q69" t="s">
        <v>42</v>
      </c>
      <c r="R69" t="s">
        <v>42</v>
      </c>
      <c r="S69">
        <v>4.8</v>
      </c>
      <c r="T69">
        <v>3</v>
      </c>
      <c r="U69">
        <v>7</v>
      </c>
      <c r="V69">
        <v>2.9</v>
      </c>
      <c r="W69">
        <v>4.0999999999999996</v>
      </c>
      <c r="X69">
        <v>6.1</v>
      </c>
      <c r="Y69">
        <v>3.5</v>
      </c>
      <c r="Z69">
        <v>3.8</v>
      </c>
      <c r="AA69">
        <v>8</v>
      </c>
      <c r="AB69">
        <v>1.2</v>
      </c>
      <c r="AC69">
        <v>6</v>
      </c>
      <c r="AD69" t="s">
        <v>53</v>
      </c>
      <c r="AE69" t="str">
        <f>IF(AND(data[[#This Row],[Age]]&gt;=18,data[[#This Row],[Age]]&lt;=24),"18-24",IF(AND(data[[#This Row],[Age]]&gt;=25,data[[#This Row],[Age]]&lt;=34),"25-34",IF(AND(data[[#This Row],[Age]]&gt;35,data[[#This Row],[Age]]&lt;=44),"35-44",IF(data[[#This Row],[Age]]&gt;44,"45+",IF(data[[#This Row],[Age]]&lt;18,"below 18 ")))))</f>
        <v>18-24</v>
      </c>
    </row>
    <row r="70" spans="1:31" x14ac:dyDescent="0.25">
      <c r="A70" t="s">
        <v>123</v>
      </c>
      <c r="B70">
        <v>15</v>
      </c>
      <c r="C70" t="s">
        <v>31</v>
      </c>
      <c r="D70" t="s">
        <v>39</v>
      </c>
      <c r="E70" t="s">
        <v>58</v>
      </c>
      <c r="F70" t="s">
        <v>41</v>
      </c>
      <c r="G70">
        <v>3.1</v>
      </c>
      <c r="H70">
        <v>2</v>
      </c>
      <c r="I70">
        <v>4</v>
      </c>
      <c r="J70" t="s">
        <v>42</v>
      </c>
      <c r="K70" t="s">
        <v>36</v>
      </c>
      <c r="L70">
        <v>5</v>
      </c>
      <c r="N70">
        <v>4.2</v>
      </c>
      <c r="O70">
        <v>3.1</v>
      </c>
      <c r="P70">
        <v>6.2</v>
      </c>
      <c r="Q70" t="s">
        <v>35</v>
      </c>
      <c r="R70" t="s">
        <v>42</v>
      </c>
      <c r="S70">
        <v>3.4</v>
      </c>
      <c r="T70">
        <v>6.3</v>
      </c>
      <c r="U70">
        <v>5.7</v>
      </c>
      <c r="V70">
        <v>5.9</v>
      </c>
      <c r="W70">
        <v>6.2</v>
      </c>
      <c r="X70">
        <v>7.5</v>
      </c>
      <c r="Y70">
        <v>2</v>
      </c>
      <c r="Z70">
        <v>10</v>
      </c>
      <c r="AA70">
        <v>4.2</v>
      </c>
      <c r="AB70">
        <v>1.4</v>
      </c>
      <c r="AC70">
        <v>7.7</v>
      </c>
      <c r="AD70" t="s">
        <v>53</v>
      </c>
      <c r="AE70" t="str">
        <f>IF(AND(data[[#This Row],[Age]]&gt;=18,data[[#This Row],[Age]]&lt;=24),"18-24",IF(AND(data[[#This Row],[Age]]&gt;=25,data[[#This Row],[Age]]&lt;=34),"25-34",IF(AND(data[[#This Row],[Age]]&gt;35,data[[#This Row],[Age]]&lt;=44),"35-44",IF(data[[#This Row],[Age]]&gt;44,"45+",IF(data[[#This Row],[Age]]&lt;18,"below 18 ")))))</f>
        <v xml:space="preserve">below 18 </v>
      </c>
    </row>
    <row r="71" spans="1:31" x14ac:dyDescent="0.25">
      <c r="A71" t="s">
        <v>124</v>
      </c>
      <c r="B71">
        <v>44</v>
      </c>
      <c r="C71" t="s">
        <v>47</v>
      </c>
      <c r="D71" t="s">
        <v>39</v>
      </c>
      <c r="E71" t="s">
        <v>58</v>
      </c>
      <c r="F71" t="s">
        <v>51</v>
      </c>
      <c r="G71">
        <v>4.5999999999999996</v>
      </c>
      <c r="H71">
        <v>1</v>
      </c>
      <c r="I71">
        <v>5</v>
      </c>
      <c r="J71" t="s">
        <v>42</v>
      </c>
      <c r="K71" t="s">
        <v>36</v>
      </c>
      <c r="L71">
        <v>48</v>
      </c>
      <c r="M71">
        <v>4.5</v>
      </c>
      <c r="N71">
        <v>5.3</v>
      </c>
      <c r="O71">
        <v>4.4000000000000004</v>
      </c>
      <c r="P71">
        <v>4</v>
      </c>
      <c r="Q71" t="s">
        <v>42</v>
      </c>
      <c r="R71" t="s">
        <v>42</v>
      </c>
      <c r="S71">
        <v>6.6</v>
      </c>
      <c r="T71">
        <v>6.6</v>
      </c>
      <c r="U71">
        <v>3.1</v>
      </c>
      <c r="V71">
        <v>5.0999999999999996</v>
      </c>
      <c r="W71">
        <v>9.6</v>
      </c>
      <c r="X71">
        <v>9.4</v>
      </c>
      <c r="Y71">
        <v>5.3</v>
      </c>
      <c r="Z71">
        <v>4.0999999999999996</v>
      </c>
      <c r="AA71">
        <v>1.3</v>
      </c>
      <c r="AB71">
        <v>3.1</v>
      </c>
      <c r="AC71">
        <v>6.6</v>
      </c>
      <c r="AD71" t="s">
        <v>53</v>
      </c>
      <c r="AE71" t="str">
        <f>IF(AND(data[[#This Row],[Age]]&gt;=18,data[[#This Row],[Age]]&lt;=24),"18-24",IF(AND(data[[#This Row],[Age]]&gt;=25,data[[#This Row],[Age]]&lt;=34),"25-34",IF(AND(data[[#This Row],[Age]]&gt;35,data[[#This Row],[Age]]&lt;=44),"35-44",IF(data[[#This Row],[Age]]&gt;44,"45+",IF(data[[#This Row],[Age]]&lt;18,"below 18 ")))))</f>
        <v>35-44</v>
      </c>
    </row>
    <row r="72" spans="1:31" x14ac:dyDescent="0.25">
      <c r="A72" t="s">
        <v>125</v>
      </c>
      <c r="B72">
        <v>22</v>
      </c>
      <c r="C72" t="s">
        <v>31</v>
      </c>
      <c r="D72" t="s">
        <v>32</v>
      </c>
      <c r="E72" t="s">
        <v>40</v>
      </c>
      <c r="F72" t="s">
        <v>34</v>
      </c>
      <c r="G72">
        <v>3.7</v>
      </c>
      <c r="H72">
        <v>4</v>
      </c>
      <c r="I72">
        <v>4</v>
      </c>
      <c r="J72" t="s">
        <v>42</v>
      </c>
      <c r="K72" t="s">
        <v>52</v>
      </c>
      <c r="L72">
        <v>126</v>
      </c>
      <c r="M72">
        <v>9.1999999999999993</v>
      </c>
      <c r="N72">
        <v>6.5</v>
      </c>
      <c r="P72">
        <v>4.5999999999999996</v>
      </c>
      <c r="Q72" t="s">
        <v>35</v>
      </c>
      <c r="R72" t="s">
        <v>42</v>
      </c>
      <c r="S72">
        <v>6</v>
      </c>
      <c r="T72">
        <v>2</v>
      </c>
      <c r="U72">
        <v>3.5</v>
      </c>
      <c r="V72">
        <v>4.5</v>
      </c>
      <c r="W72">
        <v>5.5</v>
      </c>
      <c r="X72">
        <v>5.9</v>
      </c>
      <c r="Y72">
        <v>3.5</v>
      </c>
      <c r="Z72">
        <v>8</v>
      </c>
      <c r="AA72">
        <v>4.4000000000000004</v>
      </c>
      <c r="AB72">
        <v>3.8</v>
      </c>
      <c r="AC72">
        <v>5.0999999999999996</v>
      </c>
      <c r="AD72" t="s">
        <v>43</v>
      </c>
      <c r="AE72" t="str">
        <f>IF(AND(data[[#This Row],[Age]]&gt;=18,data[[#This Row],[Age]]&lt;=24),"18-24",IF(AND(data[[#This Row],[Age]]&gt;=25,data[[#This Row],[Age]]&lt;=34),"25-34",IF(AND(data[[#This Row],[Age]]&gt;35,data[[#This Row],[Age]]&lt;=44),"35-44",IF(data[[#This Row],[Age]]&gt;44,"45+",IF(data[[#This Row],[Age]]&lt;18,"below 18 ")))))</f>
        <v>18-24</v>
      </c>
    </row>
    <row r="73" spans="1:31" x14ac:dyDescent="0.25">
      <c r="A73" t="s">
        <v>126</v>
      </c>
      <c r="B73">
        <v>38</v>
      </c>
      <c r="C73" t="s">
        <v>47</v>
      </c>
      <c r="D73" t="s">
        <v>39</v>
      </c>
      <c r="E73" t="s">
        <v>33</v>
      </c>
      <c r="F73" t="s">
        <v>34</v>
      </c>
      <c r="G73">
        <v>0.5</v>
      </c>
      <c r="H73">
        <v>5</v>
      </c>
      <c r="I73">
        <v>6</v>
      </c>
      <c r="J73" t="s">
        <v>42</v>
      </c>
      <c r="K73" t="s">
        <v>62</v>
      </c>
      <c r="L73">
        <v>31</v>
      </c>
      <c r="M73">
        <v>4.2</v>
      </c>
      <c r="N73">
        <v>8.8000000000000007</v>
      </c>
      <c r="O73">
        <v>1</v>
      </c>
      <c r="P73">
        <v>4.5</v>
      </c>
      <c r="Q73" t="s">
        <v>42</v>
      </c>
      <c r="R73" t="s">
        <v>42</v>
      </c>
      <c r="S73">
        <v>5.7</v>
      </c>
      <c r="T73">
        <v>3.4</v>
      </c>
      <c r="U73">
        <v>4.2</v>
      </c>
      <c r="V73">
        <v>3</v>
      </c>
      <c r="W73">
        <v>3.5</v>
      </c>
      <c r="X73">
        <v>7.8</v>
      </c>
      <c r="Y73">
        <v>6.7</v>
      </c>
      <c r="Z73">
        <v>3.6</v>
      </c>
      <c r="AA73">
        <v>7.8</v>
      </c>
      <c r="AB73">
        <v>4.3</v>
      </c>
      <c r="AC73">
        <v>7.1</v>
      </c>
      <c r="AD73" t="s">
        <v>53</v>
      </c>
      <c r="AE73" t="str">
        <f>IF(AND(data[[#This Row],[Age]]&gt;=18,data[[#This Row],[Age]]&lt;=24),"18-24",IF(AND(data[[#This Row],[Age]]&gt;=25,data[[#This Row],[Age]]&lt;=34),"25-34",IF(AND(data[[#This Row],[Age]]&gt;35,data[[#This Row],[Age]]&lt;=44),"35-44",IF(data[[#This Row],[Age]]&gt;44,"45+",IF(data[[#This Row],[Age]]&lt;18,"below 18 ")))))</f>
        <v>35-44</v>
      </c>
    </row>
    <row r="74" spans="1:31" x14ac:dyDescent="0.25">
      <c r="A74" t="s">
        <v>127</v>
      </c>
      <c r="B74">
        <v>43</v>
      </c>
      <c r="C74" t="s">
        <v>50</v>
      </c>
      <c r="D74" t="s">
        <v>39</v>
      </c>
      <c r="E74" t="s">
        <v>40</v>
      </c>
      <c r="F74" t="s">
        <v>48</v>
      </c>
      <c r="G74">
        <v>5.9</v>
      </c>
      <c r="H74">
        <v>3</v>
      </c>
      <c r="I74">
        <v>2</v>
      </c>
      <c r="J74" t="s">
        <v>35</v>
      </c>
      <c r="K74" t="s">
        <v>62</v>
      </c>
      <c r="L74">
        <v>87</v>
      </c>
      <c r="M74">
        <v>5.0999999999999996</v>
      </c>
      <c r="N74">
        <v>2.4</v>
      </c>
      <c r="O74">
        <v>0.5</v>
      </c>
      <c r="P74">
        <v>3.3</v>
      </c>
      <c r="Q74" t="s">
        <v>42</v>
      </c>
      <c r="R74" t="s">
        <v>42</v>
      </c>
      <c r="S74">
        <v>6.3</v>
      </c>
      <c r="T74">
        <v>0.9</v>
      </c>
      <c r="U74">
        <v>3.2</v>
      </c>
      <c r="W74">
        <v>4.7</v>
      </c>
      <c r="X74">
        <v>7.6</v>
      </c>
      <c r="Y74">
        <v>7.4</v>
      </c>
      <c r="Z74">
        <v>6</v>
      </c>
      <c r="AA74">
        <v>3.8</v>
      </c>
      <c r="AB74">
        <v>0.7</v>
      </c>
      <c r="AC74">
        <v>8.1</v>
      </c>
      <c r="AD74" t="s">
        <v>37</v>
      </c>
      <c r="AE74" t="str">
        <f>IF(AND(data[[#This Row],[Age]]&gt;=18,data[[#This Row],[Age]]&lt;=24),"18-24",IF(AND(data[[#This Row],[Age]]&gt;=25,data[[#This Row],[Age]]&lt;=34),"25-34",IF(AND(data[[#This Row],[Age]]&gt;35,data[[#This Row],[Age]]&lt;=44),"35-44",IF(data[[#This Row],[Age]]&gt;44,"45+",IF(data[[#This Row],[Age]]&lt;18,"below 18 ")))))</f>
        <v>35-44</v>
      </c>
    </row>
    <row r="75" spans="1:31" x14ac:dyDescent="0.25">
      <c r="A75" t="s">
        <v>128</v>
      </c>
      <c r="B75">
        <v>38</v>
      </c>
      <c r="C75" t="s">
        <v>47</v>
      </c>
      <c r="E75" t="s">
        <v>40</v>
      </c>
      <c r="F75" t="s">
        <v>41</v>
      </c>
      <c r="G75">
        <v>0.5</v>
      </c>
      <c r="H75">
        <v>7</v>
      </c>
      <c r="I75">
        <v>7</v>
      </c>
      <c r="J75" t="s">
        <v>42</v>
      </c>
      <c r="K75" t="s">
        <v>62</v>
      </c>
      <c r="L75">
        <v>74</v>
      </c>
      <c r="M75">
        <v>8.8000000000000007</v>
      </c>
      <c r="N75">
        <v>9.6999999999999993</v>
      </c>
      <c r="O75">
        <v>6.9</v>
      </c>
      <c r="P75">
        <v>6.9</v>
      </c>
      <c r="Q75" t="s">
        <v>35</v>
      </c>
      <c r="R75" t="s">
        <v>35</v>
      </c>
      <c r="S75">
        <v>7.2</v>
      </c>
      <c r="T75">
        <v>8.1999999999999993</v>
      </c>
      <c r="U75">
        <v>6.2</v>
      </c>
      <c r="V75">
        <v>8</v>
      </c>
      <c r="W75">
        <v>6.6</v>
      </c>
      <c r="X75">
        <v>6.2</v>
      </c>
      <c r="Y75">
        <v>3.5</v>
      </c>
      <c r="Z75">
        <v>6.9</v>
      </c>
      <c r="AA75">
        <v>5.3</v>
      </c>
      <c r="AB75">
        <v>4.8</v>
      </c>
      <c r="AC75">
        <v>6.6</v>
      </c>
      <c r="AD75" t="s">
        <v>53</v>
      </c>
      <c r="AE75" t="str">
        <f>IF(AND(data[[#This Row],[Age]]&gt;=18,data[[#This Row],[Age]]&lt;=24),"18-24",IF(AND(data[[#This Row],[Age]]&gt;=25,data[[#This Row],[Age]]&lt;=34),"25-34",IF(AND(data[[#This Row],[Age]]&gt;35,data[[#This Row],[Age]]&lt;=44),"35-44",IF(data[[#This Row],[Age]]&gt;44,"45+",IF(data[[#This Row],[Age]]&lt;18,"below 18 ")))))</f>
        <v>35-44</v>
      </c>
    </row>
    <row r="76" spans="1:31" x14ac:dyDescent="0.25">
      <c r="A76" t="s">
        <v>129</v>
      </c>
      <c r="B76">
        <v>15</v>
      </c>
      <c r="C76" t="s">
        <v>31</v>
      </c>
      <c r="D76" t="s">
        <v>64</v>
      </c>
      <c r="E76" t="s">
        <v>58</v>
      </c>
      <c r="F76" t="s">
        <v>34</v>
      </c>
      <c r="G76">
        <v>5.3</v>
      </c>
      <c r="H76">
        <v>6</v>
      </c>
      <c r="I76">
        <v>1</v>
      </c>
      <c r="J76" t="s">
        <v>42</v>
      </c>
      <c r="K76" t="s">
        <v>62</v>
      </c>
      <c r="L76">
        <v>83</v>
      </c>
      <c r="M76">
        <v>3.7</v>
      </c>
      <c r="N76">
        <v>6.6</v>
      </c>
      <c r="O76">
        <v>5.0999999999999996</v>
      </c>
      <c r="P76">
        <v>6.2</v>
      </c>
      <c r="Q76" t="s">
        <v>42</v>
      </c>
      <c r="R76" t="s">
        <v>42</v>
      </c>
      <c r="S76">
        <v>6.1</v>
      </c>
      <c r="T76">
        <v>4.9000000000000004</v>
      </c>
      <c r="U76">
        <v>5</v>
      </c>
      <c r="W76">
        <v>6.3</v>
      </c>
      <c r="X76">
        <v>5.2</v>
      </c>
      <c r="Y76">
        <v>6.4</v>
      </c>
      <c r="Z76">
        <v>5.5</v>
      </c>
      <c r="AA76">
        <v>3.1</v>
      </c>
      <c r="AB76">
        <v>6.8</v>
      </c>
      <c r="AC76">
        <v>6.3</v>
      </c>
      <c r="AD76" t="s">
        <v>45</v>
      </c>
      <c r="AE76" t="str">
        <f>IF(AND(data[[#This Row],[Age]]&gt;=18,data[[#This Row],[Age]]&lt;=24),"18-24",IF(AND(data[[#This Row],[Age]]&gt;=25,data[[#This Row],[Age]]&lt;=34),"25-34",IF(AND(data[[#This Row],[Age]]&gt;35,data[[#This Row],[Age]]&lt;=44),"35-44",IF(data[[#This Row],[Age]]&gt;44,"45+",IF(data[[#This Row],[Age]]&lt;18,"below 18 ")))))</f>
        <v xml:space="preserve">below 18 </v>
      </c>
    </row>
    <row r="77" spans="1:31" x14ac:dyDescent="0.25">
      <c r="A77" t="s">
        <v>130</v>
      </c>
      <c r="B77">
        <v>36</v>
      </c>
      <c r="C77" t="s">
        <v>31</v>
      </c>
      <c r="D77" t="s">
        <v>32</v>
      </c>
      <c r="E77" t="s">
        <v>33</v>
      </c>
      <c r="F77" t="s">
        <v>34</v>
      </c>
      <c r="G77">
        <v>3.8</v>
      </c>
      <c r="H77">
        <v>5</v>
      </c>
      <c r="I77">
        <v>6</v>
      </c>
      <c r="J77" t="s">
        <v>42</v>
      </c>
      <c r="K77" t="s">
        <v>36</v>
      </c>
      <c r="L77">
        <v>40</v>
      </c>
      <c r="M77">
        <v>8.1999999999999993</v>
      </c>
      <c r="N77">
        <v>7.5</v>
      </c>
      <c r="O77">
        <v>9</v>
      </c>
      <c r="P77">
        <v>7.3</v>
      </c>
      <c r="Q77" t="s">
        <v>35</v>
      </c>
      <c r="R77" t="s">
        <v>35</v>
      </c>
      <c r="T77">
        <v>5.0999999999999996</v>
      </c>
      <c r="U77">
        <v>4.5999999999999996</v>
      </c>
      <c r="V77">
        <v>5.4</v>
      </c>
      <c r="W77">
        <v>5.7</v>
      </c>
      <c r="X77">
        <v>7.9</v>
      </c>
      <c r="Y77">
        <v>6.6</v>
      </c>
      <c r="Z77">
        <v>8.1</v>
      </c>
      <c r="AA77">
        <v>4.9000000000000004</v>
      </c>
      <c r="AB77">
        <v>2.2000000000000002</v>
      </c>
      <c r="AC77">
        <v>4.0999999999999996</v>
      </c>
      <c r="AD77" t="s">
        <v>43</v>
      </c>
      <c r="AE77" t="str">
        <f>IF(AND(data[[#This Row],[Age]]&gt;=18,data[[#This Row],[Age]]&lt;=24),"18-24",IF(AND(data[[#This Row],[Age]]&gt;=25,data[[#This Row],[Age]]&lt;=34),"25-34",IF(AND(data[[#This Row],[Age]]&gt;35,data[[#This Row],[Age]]&lt;=44),"35-44",IF(data[[#This Row],[Age]]&gt;44,"45+",IF(data[[#This Row],[Age]]&lt;18,"below 18 ")))))</f>
        <v>35-44</v>
      </c>
    </row>
    <row r="78" spans="1:31" x14ac:dyDescent="0.25">
      <c r="A78" t="s">
        <v>131</v>
      </c>
      <c r="B78">
        <v>19</v>
      </c>
      <c r="C78" t="s">
        <v>47</v>
      </c>
      <c r="D78" t="s">
        <v>39</v>
      </c>
      <c r="E78" t="s">
        <v>58</v>
      </c>
      <c r="F78" t="s">
        <v>34</v>
      </c>
      <c r="G78">
        <v>3.2</v>
      </c>
      <c r="H78">
        <v>2</v>
      </c>
      <c r="I78">
        <v>2</v>
      </c>
      <c r="J78" t="s">
        <v>35</v>
      </c>
      <c r="K78" t="s">
        <v>52</v>
      </c>
      <c r="L78">
        <v>86</v>
      </c>
      <c r="M78">
        <v>5.5</v>
      </c>
      <c r="N78">
        <v>5.5</v>
      </c>
      <c r="O78">
        <v>6.3</v>
      </c>
      <c r="P78">
        <v>3.8</v>
      </c>
      <c r="Q78" t="s">
        <v>42</v>
      </c>
      <c r="R78" t="s">
        <v>42</v>
      </c>
      <c r="S78">
        <v>4.9000000000000004</v>
      </c>
      <c r="T78">
        <v>3.7</v>
      </c>
      <c r="U78">
        <v>3.1</v>
      </c>
      <c r="V78">
        <v>5.8</v>
      </c>
      <c r="W78">
        <v>5.9</v>
      </c>
      <c r="X78">
        <v>5.0999999999999996</v>
      </c>
      <c r="Y78">
        <v>5.5</v>
      </c>
      <c r="Z78">
        <v>5.5</v>
      </c>
      <c r="AA78">
        <v>3.7</v>
      </c>
      <c r="AB78">
        <v>2.8</v>
      </c>
      <c r="AC78">
        <v>6.1</v>
      </c>
      <c r="AD78" t="s">
        <v>53</v>
      </c>
      <c r="AE78" t="str">
        <f>IF(AND(data[[#This Row],[Age]]&gt;=18,data[[#This Row],[Age]]&lt;=24),"18-24",IF(AND(data[[#This Row],[Age]]&gt;=25,data[[#This Row],[Age]]&lt;=34),"25-34",IF(AND(data[[#This Row],[Age]]&gt;35,data[[#This Row],[Age]]&lt;=44),"35-44",IF(data[[#This Row],[Age]]&gt;44,"45+",IF(data[[#This Row],[Age]]&lt;18,"below 18 ")))))</f>
        <v>18-24</v>
      </c>
    </row>
    <row r="79" spans="1:31" x14ac:dyDescent="0.25">
      <c r="A79" t="s">
        <v>132</v>
      </c>
      <c r="B79">
        <v>18</v>
      </c>
      <c r="C79" t="s">
        <v>47</v>
      </c>
      <c r="D79" t="s">
        <v>64</v>
      </c>
      <c r="E79" t="s">
        <v>58</v>
      </c>
      <c r="F79" t="s">
        <v>59</v>
      </c>
      <c r="G79">
        <v>6.2</v>
      </c>
      <c r="H79">
        <v>2</v>
      </c>
      <c r="I79">
        <v>4</v>
      </c>
      <c r="J79" t="s">
        <v>42</v>
      </c>
      <c r="K79" t="s">
        <v>62</v>
      </c>
      <c r="L79">
        <v>118</v>
      </c>
      <c r="M79">
        <v>2.6</v>
      </c>
      <c r="N79">
        <v>8.5</v>
      </c>
      <c r="O79">
        <v>9</v>
      </c>
      <c r="P79">
        <v>3.9</v>
      </c>
      <c r="Q79" t="s">
        <v>42</v>
      </c>
      <c r="R79" t="s">
        <v>42</v>
      </c>
      <c r="S79">
        <v>8.1</v>
      </c>
      <c r="T79">
        <v>1</v>
      </c>
      <c r="U79">
        <v>4.8</v>
      </c>
      <c r="V79">
        <v>2.8</v>
      </c>
      <c r="X79">
        <v>5</v>
      </c>
      <c r="Y79">
        <v>4.2</v>
      </c>
      <c r="Z79">
        <v>4.9000000000000004</v>
      </c>
      <c r="AA79">
        <v>4.7</v>
      </c>
      <c r="AB79">
        <v>1</v>
      </c>
      <c r="AC79">
        <v>5.2</v>
      </c>
      <c r="AD79" t="s">
        <v>45</v>
      </c>
      <c r="AE79" t="str">
        <f>IF(AND(data[[#This Row],[Age]]&gt;=18,data[[#This Row],[Age]]&lt;=24),"18-24",IF(AND(data[[#This Row],[Age]]&gt;=25,data[[#This Row],[Age]]&lt;=34),"25-34",IF(AND(data[[#This Row],[Age]]&gt;35,data[[#This Row],[Age]]&lt;=44),"35-44",IF(data[[#This Row],[Age]]&gt;44,"45+",IF(data[[#This Row],[Age]]&lt;18,"below 18 ")))))</f>
        <v>18-24</v>
      </c>
    </row>
    <row r="80" spans="1:31" x14ac:dyDescent="0.25">
      <c r="A80" t="s">
        <v>133</v>
      </c>
      <c r="B80">
        <v>16</v>
      </c>
      <c r="C80" t="s">
        <v>47</v>
      </c>
      <c r="D80" t="s">
        <v>64</v>
      </c>
      <c r="E80" t="s">
        <v>58</v>
      </c>
      <c r="F80" t="s">
        <v>51</v>
      </c>
      <c r="G80">
        <v>2.8</v>
      </c>
      <c r="H80">
        <v>6</v>
      </c>
      <c r="I80">
        <v>3</v>
      </c>
      <c r="J80" t="s">
        <v>35</v>
      </c>
      <c r="K80" t="s">
        <v>36</v>
      </c>
      <c r="L80">
        <v>32</v>
      </c>
      <c r="M80">
        <v>7.5</v>
      </c>
      <c r="N80">
        <v>3.1</v>
      </c>
      <c r="P80">
        <v>2.1</v>
      </c>
      <c r="Q80" t="s">
        <v>35</v>
      </c>
      <c r="R80" t="s">
        <v>42</v>
      </c>
      <c r="S80">
        <v>6.4</v>
      </c>
      <c r="U80">
        <v>7</v>
      </c>
      <c r="V80">
        <v>5.0999999999999996</v>
      </c>
      <c r="W80">
        <v>3.2</v>
      </c>
      <c r="X80">
        <v>7.3</v>
      </c>
      <c r="Y80">
        <v>6.8</v>
      </c>
      <c r="Z80">
        <v>4.4000000000000004</v>
      </c>
      <c r="AA80">
        <v>4.7</v>
      </c>
      <c r="AB80">
        <v>3.5</v>
      </c>
      <c r="AC80">
        <v>6.2</v>
      </c>
      <c r="AD80" t="s">
        <v>45</v>
      </c>
      <c r="AE80" t="str">
        <f>IF(AND(data[[#This Row],[Age]]&gt;=18,data[[#This Row],[Age]]&lt;=24),"18-24",IF(AND(data[[#This Row],[Age]]&gt;=25,data[[#This Row],[Age]]&lt;=34),"25-34",IF(AND(data[[#This Row],[Age]]&gt;35,data[[#This Row],[Age]]&lt;=44),"35-44",IF(data[[#This Row],[Age]]&gt;44,"45+",IF(data[[#This Row],[Age]]&lt;18,"below 18 ")))))</f>
        <v xml:space="preserve">below 18 </v>
      </c>
    </row>
    <row r="81" spans="1:31" x14ac:dyDescent="0.25">
      <c r="A81" t="s">
        <v>134</v>
      </c>
      <c r="B81">
        <v>18</v>
      </c>
      <c r="C81" t="s">
        <v>47</v>
      </c>
      <c r="D81" t="s">
        <v>32</v>
      </c>
      <c r="E81" t="s">
        <v>33</v>
      </c>
      <c r="F81" t="s">
        <v>34</v>
      </c>
      <c r="G81">
        <v>2.4</v>
      </c>
      <c r="H81">
        <v>3</v>
      </c>
      <c r="I81">
        <v>3</v>
      </c>
      <c r="K81" t="s">
        <v>62</v>
      </c>
      <c r="L81">
        <v>73</v>
      </c>
      <c r="M81">
        <v>4.5</v>
      </c>
      <c r="N81">
        <v>6.5</v>
      </c>
      <c r="O81">
        <v>5.9</v>
      </c>
      <c r="P81">
        <v>7.2</v>
      </c>
      <c r="Q81" t="s">
        <v>42</v>
      </c>
      <c r="R81" t="s">
        <v>42</v>
      </c>
      <c r="S81">
        <v>6.3</v>
      </c>
      <c r="T81">
        <v>3.8</v>
      </c>
      <c r="U81">
        <v>2.7</v>
      </c>
      <c r="V81">
        <v>10</v>
      </c>
      <c r="W81">
        <v>7.3</v>
      </c>
      <c r="X81">
        <v>4.2</v>
      </c>
      <c r="Y81">
        <v>7.9</v>
      </c>
      <c r="Z81">
        <v>10</v>
      </c>
      <c r="AA81">
        <v>1.8</v>
      </c>
      <c r="AB81">
        <v>1.9</v>
      </c>
      <c r="AC81">
        <v>8.4</v>
      </c>
      <c r="AD81" t="s">
        <v>37</v>
      </c>
      <c r="AE81" t="str">
        <f>IF(AND(data[[#This Row],[Age]]&gt;=18,data[[#This Row],[Age]]&lt;=24),"18-24",IF(AND(data[[#This Row],[Age]]&gt;=25,data[[#This Row],[Age]]&lt;=34),"25-34",IF(AND(data[[#This Row],[Age]]&gt;35,data[[#This Row],[Age]]&lt;=44),"35-44",IF(data[[#This Row],[Age]]&gt;44,"45+",IF(data[[#This Row],[Age]]&lt;18,"below 18 ")))))</f>
        <v>18-24</v>
      </c>
    </row>
    <row r="82" spans="1:31" x14ac:dyDescent="0.25">
      <c r="A82" t="s">
        <v>135</v>
      </c>
      <c r="B82">
        <v>42</v>
      </c>
      <c r="C82" t="s">
        <v>47</v>
      </c>
      <c r="D82" t="s">
        <v>57</v>
      </c>
      <c r="E82" t="s">
        <v>33</v>
      </c>
      <c r="F82" t="s">
        <v>51</v>
      </c>
      <c r="G82">
        <v>5.2</v>
      </c>
      <c r="H82">
        <v>6</v>
      </c>
      <c r="I82">
        <v>2</v>
      </c>
      <c r="J82" t="s">
        <v>42</v>
      </c>
      <c r="K82" t="s">
        <v>36</v>
      </c>
      <c r="L82">
        <v>19</v>
      </c>
      <c r="M82">
        <v>7</v>
      </c>
      <c r="N82">
        <v>5.0999999999999996</v>
      </c>
      <c r="O82">
        <v>6.6</v>
      </c>
      <c r="P82">
        <v>8.1999999999999993</v>
      </c>
      <c r="Q82" t="s">
        <v>35</v>
      </c>
      <c r="R82" t="s">
        <v>35</v>
      </c>
      <c r="S82">
        <v>4.0999999999999996</v>
      </c>
      <c r="T82">
        <v>8.6999999999999993</v>
      </c>
      <c r="U82">
        <v>3.1</v>
      </c>
      <c r="V82">
        <v>8.3000000000000007</v>
      </c>
      <c r="W82">
        <v>4.7</v>
      </c>
      <c r="X82">
        <v>6.1</v>
      </c>
      <c r="Y82">
        <v>5.0999999999999996</v>
      </c>
      <c r="Z82">
        <v>8.5</v>
      </c>
      <c r="AB82">
        <v>3.1</v>
      </c>
      <c r="AC82">
        <v>6.1</v>
      </c>
      <c r="AD82" t="s">
        <v>45</v>
      </c>
      <c r="AE82" t="str">
        <f>IF(AND(data[[#This Row],[Age]]&gt;=18,data[[#This Row],[Age]]&lt;=24),"18-24",IF(AND(data[[#This Row],[Age]]&gt;=25,data[[#This Row],[Age]]&lt;=34),"25-34",IF(AND(data[[#This Row],[Age]]&gt;35,data[[#This Row],[Age]]&lt;=44),"35-44",IF(data[[#This Row],[Age]]&gt;44,"45+",IF(data[[#This Row],[Age]]&lt;18,"below 18 ")))))</f>
        <v>35-44</v>
      </c>
    </row>
    <row r="83" spans="1:31" x14ac:dyDescent="0.25">
      <c r="A83" t="s">
        <v>136</v>
      </c>
      <c r="B83">
        <v>42</v>
      </c>
      <c r="C83" t="s">
        <v>31</v>
      </c>
      <c r="D83" t="s">
        <v>39</v>
      </c>
      <c r="E83" t="s">
        <v>58</v>
      </c>
      <c r="F83" t="s">
        <v>51</v>
      </c>
      <c r="G83">
        <v>5</v>
      </c>
      <c r="H83">
        <v>2</v>
      </c>
      <c r="I83">
        <v>3</v>
      </c>
      <c r="J83" t="s">
        <v>42</v>
      </c>
      <c r="K83" t="s">
        <v>36</v>
      </c>
      <c r="L83">
        <v>88</v>
      </c>
      <c r="M83">
        <v>3.1</v>
      </c>
      <c r="N83">
        <v>7.1</v>
      </c>
      <c r="P83">
        <v>7.6</v>
      </c>
      <c r="Q83" t="s">
        <v>35</v>
      </c>
      <c r="R83" t="s">
        <v>42</v>
      </c>
      <c r="S83">
        <v>9</v>
      </c>
      <c r="T83">
        <v>3.8</v>
      </c>
      <c r="U83">
        <v>3</v>
      </c>
      <c r="V83">
        <v>6.4</v>
      </c>
      <c r="W83">
        <v>6.8</v>
      </c>
      <c r="X83">
        <v>6.4</v>
      </c>
      <c r="Y83">
        <v>3.1</v>
      </c>
      <c r="Z83">
        <v>4.7</v>
      </c>
      <c r="AA83">
        <v>0.7</v>
      </c>
      <c r="AB83">
        <v>4.7</v>
      </c>
      <c r="AC83">
        <v>4.4000000000000004</v>
      </c>
      <c r="AD83" t="s">
        <v>43</v>
      </c>
      <c r="AE83" t="str">
        <f>IF(AND(data[[#This Row],[Age]]&gt;=18,data[[#This Row],[Age]]&lt;=24),"18-24",IF(AND(data[[#This Row],[Age]]&gt;=25,data[[#This Row],[Age]]&lt;=34),"25-34",IF(AND(data[[#This Row],[Age]]&gt;35,data[[#This Row],[Age]]&lt;=44),"35-44",IF(data[[#This Row],[Age]]&gt;44,"45+",IF(data[[#This Row],[Age]]&lt;18,"below 18 ")))))</f>
        <v>35-44</v>
      </c>
    </row>
    <row r="84" spans="1:31" x14ac:dyDescent="0.25">
      <c r="A84" t="s">
        <v>137</v>
      </c>
      <c r="B84">
        <v>16</v>
      </c>
      <c r="C84" t="s">
        <v>50</v>
      </c>
      <c r="D84" t="s">
        <v>32</v>
      </c>
      <c r="E84" t="s">
        <v>58</v>
      </c>
      <c r="F84" t="s">
        <v>41</v>
      </c>
      <c r="G84">
        <v>3</v>
      </c>
      <c r="H84">
        <v>2</v>
      </c>
      <c r="I84">
        <v>3</v>
      </c>
      <c r="J84" t="s">
        <v>42</v>
      </c>
      <c r="K84" t="s">
        <v>36</v>
      </c>
      <c r="L84">
        <v>32</v>
      </c>
      <c r="M84">
        <v>7</v>
      </c>
      <c r="N84">
        <v>3.5</v>
      </c>
      <c r="P84">
        <v>1.2</v>
      </c>
      <c r="Q84" t="s">
        <v>35</v>
      </c>
      <c r="R84" t="s">
        <v>42</v>
      </c>
      <c r="S84">
        <v>2.5</v>
      </c>
      <c r="T84">
        <v>3.1</v>
      </c>
      <c r="U84">
        <v>1.6</v>
      </c>
      <c r="V84">
        <v>5</v>
      </c>
      <c r="W84">
        <v>3.3</v>
      </c>
      <c r="X84">
        <v>3</v>
      </c>
      <c r="Y84">
        <v>1.9</v>
      </c>
      <c r="Z84">
        <v>8.8000000000000007</v>
      </c>
      <c r="AA84">
        <v>3.8</v>
      </c>
      <c r="AB84">
        <v>0</v>
      </c>
      <c r="AC84">
        <v>6.9</v>
      </c>
      <c r="AD84" t="s">
        <v>53</v>
      </c>
      <c r="AE84" t="str">
        <f>IF(AND(data[[#This Row],[Age]]&gt;=18,data[[#This Row],[Age]]&lt;=24),"18-24",IF(AND(data[[#This Row],[Age]]&gt;=25,data[[#This Row],[Age]]&lt;=34),"25-34",IF(AND(data[[#This Row],[Age]]&gt;35,data[[#This Row],[Age]]&lt;=44),"35-44",IF(data[[#This Row],[Age]]&gt;44,"45+",IF(data[[#This Row],[Age]]&lt;18,"below 18 ")))))</f>
        <v xml:space="preserve">below 18 </v>
      </c>
    </row>
    <row r="85" spans="1:31" x14ac:dyDescent="0.25">
      <c r="A85" t="s">
        <v>138</v>
      </c>
      <c r="B85">
        <v>34</v>
      </c>
      <c r="C85" t="s">
        <v>47</v>
      </c>
      <c r="D85" t="s">
        <v>64</v>
      </c>
      <c r="E85" t="s">
        <v>58</v>
      </c>
      <c r="F85" t="s">
        <v>34</v>
      </c>
      <c r="G85">
        <v>2.9</v>
      </c>
      <c r="H85">
        <v>1</v>
      </c>
      <c r="I85">
        <v>6</v>
      </c>
      <c r="J85" t="s">
        <v>35</v>
      </c>
      <c r="K85" t="s">
        <v>62</v>
      </c>
      <c r="L85">
        <v>130</v>
      </c>
      <c r="M85">
        <v>7.1</v>
      </c>
      <c r="N85">
        <v>7.7</v>
      </c>
      <c r="O85">
        <v>7.9</v>
      </c>
      <c r="P85">
        <v>6.6</v>
      </c>
      <c r="Q85" t="s">
        <v>42</v>
      </c>
      <c r="R85" t="s">
        <v>35</v>
      </c>
      <c r="S85">
        <v>5.8</v>
      </c>
      <c r="T85">
        <v>2.9</v>
      </c>
      <c r="U85">
        <v>3.4</v>
      </c>
      <c r="V85">
        <v>8.3000000000000007</v>
      </c>
      <c r="W85">
        <v>7.9</v>
      </c>
      <c r="X85">
        <v>5.5</v>
      </c>
      <c r="Y85">
        <v>6</v>
      </c>
      <c r="Z85">
        <v>7.2</v>
      </c>
      <c r="AA85">
        <v>3.3</v>
      </c>
      <c r="AB85">
        <v>0</v>
      </c>
      <c r="AC85">
        <v>7.5</v>
      </c>
      <c r="AD85" t="s">
        <v>37</v>
      </c>
      <c r="AE85" t="str">
        <f>IF(AND(data[[#This Row],[Age]]&gt;=18,data[[#This Row],[Age]]&lt;=24),"18-24",IF(AND(data[[#This Row],[Age]]&gt;=25,data[[#This Row],[Age]]&lt;=34),"25-34",IF(AND(data[[#This Row],[Age]]&gt;35,data[[#This Row],[Age]]&lt;=44),"35-44",IF(data[[#This Row],[Age]]&gt;44,"45+",IF(data[[#This Row],[Age]]&lt;18,"below 18 ")))))</f>
        <v>25-34</v>
      </c>
    </row>
    <row r="86" spans="1:31" x14ac:dyDescent="0.25">
      <c r="A86" t="s">
        <v>139</v>
      </c>
      <c r="B86">
        <v>42</v>
      </c>
      <c r="C86" t="s">
        <v>31</v>
      </c>
      <c r="D86" t="s">
        <v>57</v>
      </c>
      <c r="E86" t="s">
        <v>58</v>
      </c>
      <c r="F86" t="s">
        <v>48</v>
      </c>
      <c r="G86">
        <v>2.9</v>
      </c>
      <c r="H86">
        <v>4</v>
      </c>
      <c r="I86">
        <v>3</v>
      </c>
      <c r="J86" t="s">
        <v>35</v>
      </c>
      <c r="K86" t="s">
        <v>36</v>
      </c>
      <c r="L86">
        <v>15</v>
      </c>
      <c r="M86">
        <v>6.4</v>
      </c>
      <c r="N86">
        <v>4.5</v>
      </c>
      <c r="O86">
        <v>5.8</v>
      </c>
      <c r="P86">
        <v>6.2</v>
      </c>
      <c r="Q86" t="s">
        <v>35</v>
      </c>
      <c r="R86" t="s">
        <v>42</v>
      </c>
      <c r="S86">
        <v>2.9</v>
      </c>
      <c r="T86">
        <v>1.5</v>
      </c>
      <c r="U86">
        <v>6.1</v>
      </c>
      <c r="V86">
        <v>5.2</v>
      </c>
      <c r="W86">
        <v>3.2</v>
      </c>
      <c r="X86">
        <v>6.4</v>
      </c>
      <c r="Y86">
        <v>9</v>
      </c>
      <c r="Z86">
        <v>8.1999999999999993</v>
      </c>
      <c r="AA86">
        <v>0</v>
      </c>
      <c r="AB86">
        <v>4</v>
      </c>
      <c r="AC86">
        <v>5.6</v>
      </c>
      <c r="AD86" t="s">
        <v>45</v>
      </c>
      <c r="AE86" t="str">
        <f>IF(AND(data[[#This Row],[Age]]&gt;=18,data[[#This Row],[Age]]&lt;=24),"18-24",IF(AND(data[[#This Row],[Age]]&gt;=25,data[[#This Row],[Age]]&lt;=34),"25-34",IF(AND(data[[#This Row],[Age]]&gt;35,data[[#This Row],[Age]]&lt;=44),"35-44",IF(data[[#This Row],[Age]]&gt;44,"45+",IF(data[[#This Row],[Age]]&lt;18,"below 18 ")))))</f>
        <v>35-44</v>
      </c>
    </row>
    <row r="87" spans="1:31" x14ac:dyDescent="0.25">
      <c r="A87" t="s">
        <v>140</v>
      </c>
      <c r="B87">
        <v>19</v>
      </c>
      <c r="C87" t="s">
        <v>47</v>
      </c>
      <c r="D87" t="s">
        <v>39</v>
      </c>
      <c r="E87" t="s">
        <v>58</v>
      </c>
      <c r="F87" t="s">
        <v>41</v>
      </c>
      <c r="G87">
        <v>5.2</v>
      </c>
      <c r="H87">
        <v>3</v>
      </c>
      <c r="I87">
        <v>2</v>
      </c>
      <c r="J87" t="s">
        <v>42</v>
      </c>
      <c r="K87" t="s">
        <v>62</v>
      </c>
      <c r="L87">
        <v>24</v>
      </c>
      <c r="M87">
        <v>10</v>
      </c>
      <c r="N87">
        <v>6.7</v>
      </c>
      <c r="O87">
        <v>4.5999999999999996</v>
      </c>
      <c r="P87">
        <v>4.0999999999999996</v>
      </c>
      <c r="Q87" t="s">
        <v>42</v>
      </c>
      <c r="R87" t="s">
        <v>42</v>
      </c>
      <c r="S87">
        <v>5.6</v>
      </c>
      <c r="T87">
        <v>1.7</v>
      </c>
      <c r="U87">
        <v>0.6</v>
      </c>
      <c r="V87">
        <v>4.8</v>
      </c>
      <c r="W87">
        <v>4.3</v>
      </c>
      <c r="X87">
        <v>7.1</v>
      </c>
      <c r="Y87">
        <v>6.6</v>
      </c>
      <c r="Z87">
        <v>7.9</v>
      </c>
      <c r="AA87">
        <v>1.9</v>
      </c>
      <c r="AB87">
        <v>5.2</v>
      </c>
      <c r="AC87">
        <v>6.6</v>
      </c>
      <c r="AD87" t="s">
        <v>53</v>
      </c>
      <c r="AE87" t="str">
        <f>IF(AND(data[[#This Row],[Age]]&gt;=18,data[[#This Row],[Age]]&lt;=24),"18-24",IF(AND(data[[#This Row],[Age]]&gt;=25,data[[#This Row],[Age]]&lt;=34),"25-34",IF(AND(data[[#This Row],[Age]]&gt;35,data[[#This Row],[Age]]&lt;=44),"35-44",IF(data[[#This Row],[Age]]&gt;44,"45+",IF(data[[#This Row],[Age]]&lt;18,"below 18 ")))))</f>
        <v>18-24</v>
      </c>
    </row>
    <row r="88" spans="1:31" x14ac:dyDescent="0.25">
      <c r="A88" t="s">
        <v>141</v>
      </c>
      <c r="B88">
        <v>34</v>
      </c>
      <c r="C88" t="s">
        <v>31</v>
      </c>
      <c r="D88" t="s">
        <v>32</v>
      </c>
      <c r="E88" t="s">
        <v>40</v>
      </c>
      <c r="F88" t="s">
        <v>48</v>
      </c>
      <c r="G88">
        <v>5.5</v>
      </c>
      <c r="H88">
        <v>3</v>
      </c>
      <c r="I88">
        <v>2</v>
      </c>
      <c r="J88" t="s">
        <v>35</v>
      </c>
      <c r="K88" t="s">
        <v>52</v>
      </c>
      <c r="L88">
        <v>33</v>
      </c>
      <c r="M88">
        <v>2.8</v>
      </c>
      <c r="N88">
        <v>5.2</v>
      </c>
      <c r="O88">
        <v>6</v>
      </c>
      <c r="P88">
        <v>2.5</v>
      </c>
      <c r="Q88" t="s">
        <v>42</v>
      </c>
      <c r="R88" t="s">
        <v>42</v>
      </c>
      <c r="S88">
        <v>3.8</v>
      </c>
      <c r="T88">
        <v>5.7</v>
      </c>
      <c r="U88">
        <v>2.4</v>
      </c>
      <c r="V88">
        <v>5.8</v>
      </c>
      <c r="W88">
        <v>8.4</v>
      </c>
      <c r="X88">
        <v>6.4</v>
      </c>
      <c r="Y88">
        <v>3</v>
      </c>
      <c r="Z88">
        <v>9.4</v>
      </c>
      <c r="AA88">
        <v>1.5</v>
      </c>
      <c r="AB88">
        <v>3.3</v>
      </c>
      <c r="AC88">
        <v>10</v>
      </c>
      <c r="AD88" t="s">
        <v>37</v>
      </c>
      <c r="AE88" t="str">
        <f>IF(AND(data[[#This Row],[Age]]&gt;=18,data[[#This Row],[Age]]&lt;=24),"18-24",IF(AND(data[[#This Row],[Age]]&gt;=25,data[[#This Row],[Age]]&lt;=34),"25-34",IF(AND(data[[#This Row],[Age]]&gt;35,data[[#This Row],[Age]]&lt;=44),"35-44",IF(data[[#This Row],[Age]]&gt;44,"45+",IF(data[[#This Row],[Age]]&lt;18,"below 18 ")))))</f>
        <v>25-34</v>
      </c>
    </row>
    <row r="89" spans="1:31" x14ac:dyDescent="0.25">
      <c r="A89" t="s">
        <v>142</v>
      </c>
      <c r="B89">
        <v>16</v>
      </c>
      <c r="C89" t="s">
        <v>31</v>
      </c>
      <c r="D89" t="s">
        <v>39</v>
      </c>
      <c r="E89" t="s">
        <v>58</v>
      </c>
      <c r="F89" t="s">
        <v>41</v>
      </c>
      <c r="G89">
        <v>6.3</v>
      </c>
      <c r="H89">
        <v>2</v>
      </c>
      <c r="I89">
        <v>6</v>
      </c>
      <c r="J89" t="s">
        <v>42</v>
      </c>
      <c r="K89" t="s">
        <v>52</v>
      </c>
      <c r="L89">
        <v>72</v>
      </c>
      <c r="M89">
        <v>6.4</v>
      </c>
      <c r="N89">
        <v>5.6</v>
      </c>
      <c r="O89">
        <v>4.4000000000000004</v>
      </c>
      <c r="P89">
        <v>7.5</v>
      </c>
      <c r="Q89" t="s">
        <v>42</v>
      </c>
      <c r="R89" t="s">
        <v>42</v>
      </c>
      <c r="S89">
        <v>7.4</v>
      </c>
      <c r="T89">
        <v>7.4</v>
      </c>
      <c r="U89">
        <v>3.4</v>
      </c>
      <c r="V89">
        <v>4.7</v>
      </c>
      <c r="W89">
        <v>3.4</v>
      </c>
      <c r="X89">
        <v>8.4</v>
      </c>
      <c r="Y89">
        <v>5.6</v>
      </c>
      <c r="Z89">
        <v>6.3</v>
      </c>
      <c r="AA89">
        <v>3</v>
      </c>
      <c r="AB89">
        <v>2.9</v>
      </c>
      <c r="AC89">
        <v>4.4000000000000004</v>
      </c>
      <c r="AD89" t="s">
        <v>43</v>
      </c>
      <c r="AE89" t="str">
        <f>IF(AND(data[[#This Row],[Age]]&gt;=18,data[[#This Row],[Age]]&lt;=24),"18-24",IF(AND(data[[#This Row],[Age]]&gt;=25,data[[#This Row],[Age]]&lt;=34),"25-34",IF(AND(data[[#This Row],[Age]]&gt;35,data[[#This Row],[Age]]&lt;=44),"35-44",IF(data[[#This Row],[Age]]&gt;44,"45+",IF(data[[#This Row],[Age]]&lt;18,"below 18 ")))))</f>
        <v xml:space="preserve">below 18 </v>
      </c>
    </row>
    <row r="90" spans="1:31" x14ac:dyDescent="0.25">
      <c r="A90" t="s">
        <v>143</v>
      </c>
      <c r="B90">
        <v>42</v>
      </c>
      <c r="C90" t="s">
        <v>31</v>
      </c>
      <c r="D90" t="s">
        <v>39</v>
      </c>
      <c r="E90" t="s">
        <v>33</v>
      </c>
      <c r="F90" t="s">
        <v>70</v>
      </c>
      <c r="G90">
        <v>4.3</v>
      </c>
      <c r="H90">
        <v>6</v>
      </c>
      <c r="I90">
        <v>8</v>
      </c>
      <c r="J90" t="s">
        <v>42</v>
      </c>
      <c r="K90" t="s">
        <v>36</v>
      </c>
      <c r="L90">
        <v>77</v>
      </c>
      <c r="M90">
        <v>5.0999999999999996</v>
      </c>
      <c r="N90">
        <v>8.6999999999999993</v>
      </c>
      <c r="O90">
        <v>8.4</v>
      </c>
      <c r="P90">
        <v>7.8</v>
      </c>
      <c r="Q90" t="s">
        <v>42</v>
      </c>
      <c r="R90" t="s">
        <v>42</v>
      </c>
      <c r="S90">
        <v>7</v>
      </c>
      <c r="T90">
        <v>5</v>
      </c>
      <c r="U90">
        <v>1.2</v>
      </c>
      <c r="V90">
        <v>6.1</v>
      </c>
      <c r="W90">
        <v>6.1</v>
      </c>
      <c r="X90">
        <v>7.4</v>
      </c>
      <c r="Y90">
        <v>4.8</v>
      </c>
      <c r="AA90">
        <v>0</v>
      </c>
      <c r="AB90">
        <v>4.5</v>
      </c>
      <c r="AC90">
        <v>4.3</v>
      </c>
      <c r="AD90" t="s">
        <v>43</v>
      </c>
      <c r="AE90" t="str">
        <f>IF(AND(data[[#This Row],[Age]]&gt;=18,data[[#This Row],[Age]]&lt;=24),"18-24",IF(AND(data[[#This Row],[Age]]&gt;=25,data[[#This Row],[Age]]&lt;=34),"25-34",IF(AND(data[[#This Row],[Age]]&gt;35,data[[#This Row],[Age]]&lt;=44),"35-44",IF(data[[#This Row],[Age]]&gt;44,"45+",IF(data[[#This Row],[Age]]&lt;18,"below 18 ")))))</f>
        <v>35-44</v>
      </c>
    </row>
    <row r="91" spans="1:31" x14ac:dyDescent="0.25">
      <c r="A91" t="s">
        <v>144</v>
      </c>
      <c r="B91">
        <v>40</v>
      </c>
      <c r="C91" t="s">
        <v>47</v>
      </c>
      <c r="D91" t="s">
        <v>32</v>
      </c>
      <c r="E91" t="s">
        <v>58</v>
      </c>
      <c r="F91" t="s">
        <v>51</v>
      </c>
      <c r="G91">
        <v>2.6</v>
      </c>
      <c r="H91">
        <v>1</v>
      </c>
      <c r="I91">
        <v>4</v>
      </c>
      <c r="J91" t="s">
        <v>35</v>
      </c>
      <c r="K91" t="s">
        <v>62</v>
      </c>
      <c r="L91">
        <v>5</v>
      </c>
      <c r="M91">
        <v>3.8</v>
      </c>
      <c r="N91">
        <v>4.8</v>
      </c>
      <c r="O91">
        <v>10</v>
      </c>
      <c r="P91">
        <v>2.2999999999999998</v>
      </c>
      <c r="Q91" t="s">
        <v>42</v>
      </c>
      <c r="R91" t="s">
        <v>35</v>
      </c>
      <c r="S91">
        <v>7.7</v>
      </c>
      <c r="T91">
        <v>5.0999999999999996</v>
      </c>
      <c r="V91">
        <v>7</v>
      </c>
      <c r="W91">
        <v>8</v>
      </c>
      <c r="X91">
        <v>6.3</v>
      </c>
      <c r="Y91">
        <v>6.7</v>
      </c>
      <c r="Z91">
        <v>5</v>
      </c>
      <c r="AA91">
        <v>2.1</v>
      </c>
      <c r="AC91">
        <v>8.8000000000000007</v>
      </c>
      <c r="AD91" t="s">
        <v>37</v>
      </c>
      <c r="AE91" t="str">
        <f>IF(AND(data[[#This Row],[Age]]&gt;=18,data[[#This Row],[Age]]&lt;=24),"18-24",IF(AND(data[[#This Row],[Age]]&gt;=25,data[[#This Row],[Age]]&lt;=34),"25-34",IF(AND(data[[#This Row],[Age]]&gt;35,data[[#This Row],[Age]]&lt;=44),"35-44",IF(data[[#This Row],[Age]]&gt;44,"45+",IF(data[[#This Row],[Age]]&lt;18,"below 18 ")))))</f>
        <v>35-44</v>
      </c>
    </row>
    <row r="92" spans="1:31" x14ac:dyDescent="0.25">
      <c r="A92" t="s">
        <v>145</v>
      </c>
      <c r="B92">
        <v>20</v>
      </c>
      <c r="C92" t="s">
        <v>31</v>
      </c>
      <c r="D92" t="s">
        <v>32</v>
      </c>
      <c r="E92" t="s">
        <v>33</v>
      </c>
      <c r="F92" t="s">
        <v>51</v>
      </c>
      <c r="G92">
        <v>6.1</v>
      </c>
      <c r="H92">
        <v>3</v>
      </c>
      <c r="I92">
        <v>5</v>
      </c>
      <c r="J92" t="s">
        <v>35</v>
      </c>
      <c r="K92" t="s">
        <v>36</v>
      </c>
      <c r="L92">
        <v>17</v>
      </c>
      <c r="M92">
        <v>7.5</v>
      </c>
      <c r="N92">
        <v>7.4</v>
      </c>
      <c r="O92">
        <v>4.5</v>
      </c>
      <c r="P92">
        <v>4.3</v>
      </c>
      <c r="Q92" t="s">
        <v>42</v>
      </c>
      <c r="R92" t="s">
        <v>42</v>
      </c>
      <c r="S92">
        <v>2.8</v>
      </c>
      <c r="T92">
        <v>3.3</v>
      </c>
      <c r="U92">
        <v>6.9</v>
      </c>
      <c r="V92">
        <v>5.8</v>
      </c>
      <c r="W92">
        <v>1.7</v>
      </c>
      <c r="X92">
        <v>5.9</v>
      </c>
      <c r="Y92">
        <v>5.2</v>
      </c>
      <c r="Z92">
        <v>7.8</v>
      </c>
      <c r="AA92">
        <v>0.8</v>
      </c>
      <c r="AB92">
        <v>2.8</v>
      </c>
      <c r="AC92">
        <v>4.7</v>
      </c>
      <c r="AD92" t="s">
        <v>43</v>
      </c>
      <c r="AE92" t="str">
        <f>IF(AND(data[[#This Row],[Age]]&gt;=18,data[[#This Row],[Age]]&lt;=24),"18-24",IF(AND(data[[#This Row],[Age]]&gt;=25,data[[#This Row],[Age]]&lt;=34),"25-34",IF(AND(data[[#This Row],[Age]]&gt;35,data[[#This Row],[Age]]&lt;=44),"35-44",IF(data[[#This Row],[Age]]&gt;44,"45+",IF(data[[#This Row],[Age]]&lt;18,"below 18 ")))))</f>
        <v>18-24</v>
      </c>
    </row>
    <row r="93" spans="1:31" x14ac:dyDescent="0.25">
      <c r="A93" t="s">
        <v>146</v>
      </c>
      <c r="B93">
        <v>24</v>
      </c>
      <c r="C93" t="s">
        <v>47</v>
      </c>
      <c r="D93" t="s">
        <v>39</v>
      </c>
      <c r="E93" t="s">
        <v>58</v>
      </c>
      <c r="F93" t="s">
        <v>48</v>
      </c>
      <c r="G93">
        <v>10.199999999999999</v>
      </c>
      <c r="H93">
        <v>6</v>
      </c>
      <c r="I93">
        <v>2</v>
      </c>
      <c r="J93" t="s">
        <v>42</v>
      </c>
      <c r="K93" t="s">
        <v>36</v>
      </c>
      <c r="L93">
        <v>31</v>
      </c>
      <c r="M93">
        <v>6.3</v>
      </c>
      <c r="N93">
        <v>6.7</v>
      </c>
      <c r="O93">
        <v>5</v>
      </c>
      <c r="P93">
        <v>4.4000000000000004</v>
      </c>
      <c r="Q93" t="s">
        <v>35</v>
      </c>
      <c r="R93" t="s">
        <v>35</v>
      </c>
      <c r="S93">
        <v>4.8</v>
      </c>
      <c r="T93">
        <v>6.4</v>
      </c>
      <c r="U93">
        <v>1.8</v>
      </c>
      <c r="V93">
        <v>6.2</v>
      </c>
      <c r="W93">
        <v>5.5</v>
      </c>
      <c r="X93">
        <v>6.2</v>
      </c>
      <c r="Y93">
        <v>6.2</v>
      </c>
      <c r="Z93">
        <v>5.8</v>
      </c>
      <c r="AA93">
        <v>2.5</v>
      </c>
      <c r="AB93">
        <v>0.5</v>
      </c>
      <c r="AC93">
        <v>5</v>
      </c>
      <c r="AD93" t="s">
        <v>45</v>
      </c>
      <c r="AE93" t="str">
        <f>IF(AND(data[[#This Row],[Age]]&gt;=18,data[[#This Row],[Age]]&lt;=24),"18-24",IF(AND(data[[#This Row],[Age]]&gt;=25,data[[#This Row],[Age]]&lt;=34),"25-34",IF(AND(data[[#This Row],[Age]]&gt;35,data[[#This Row],[Age]]&lt;=44),"35-44",IF(data[[#This Row],[Age]]&gt;44,"45+",IF(data[[#This Row],[Age]]&lt;18,"below 18 ")))))</f>
        <v>18-24</v>
      </c>
    </row>
    <row r="94" spans="1:31" x14ac:dyDescent="0.25">
      <c r="A94" t="s">
        <v>147</v>
      </c>
      <c r="B94">
        <v>44</v>
      </c>
      <c r="C94" t="s">
        <v>31</v>
      </c>
      <c r="D94" t="s">
        <v>39</v>
      </c>
      <c r="E94" t="s">
        <v>33</v>
      </c>
      <c r="F94" t="s">
        <v>41</v>
      </c>
      <c r="G94">
        <v>8</v>
      </c>
      <c r="H94">
        <v>3</v>
      </c>
      <c r="I94">
        <v>5</v>
      </c>
      <c r="J94" t="s">
        <v>42</v>
      </c>
      <c r="K94" t="s">
        <v>52</v>
      </c>
      <c r="L94">
        <v>121</v>
      </c>
      <c r="M94">
        <v>5.4</v>
      </c>
      <c r="N94">
        <v>2.7</v>
      </c>
      <c r="O94">
        <v>9.5</v>
      </c>
      <c r="P94">
        <v>5.9</v>
      </c>
      <c r="Q94" t="s">
        <v>35</v>
      </c>
      <c r="R94" t="s">
        <v>35</v>
      </c>
      <c r="S94">
        <v>6.5</v>
      </c>
      <c r="T94">
        <v>4.3</v>
      </c>
      <c r="U94">
        <v>3.5</v>
      </c>
      <c r="V94">
        <v>5.2</v>
      </c>
      <c r="W94">
        <v>8.9</v>
      </c>
      <c r="X94">
        <v>5.0999999999999996</v>
      </c>
      <c r="Y94">
        <v>1.5</v>
      </c>
      <c r="Z94">
        <v>7.2</v>
      </c>
      <c r="AA94">
        <v>4</v>
      </c>
      <c r="AB94">
        <v>2.9</v>
      </c>
      <c r="AC94">
        <v>5.6</v>
      </c>
      <c r="AD94" t="s">
        <v>53</v>
      </c>
      <c r="AE94" t="str">
        <f>IF(AND(data[[#This Row],[Age]]&gt;=18,data[[#This Row],[Age]]&lt;=24),"18-24",IF(AND(data[[#This Row],[Age]]&gt;=25,data[[#This Row],[Age]]&lt;=34),"25-34",IF(AND(data[[#This Row],[Age]]&gt;35,data[[#This Row],[Age]]&lt;=44),"35-44",IF(data[[#This Row],[Age]]&gt;44,"45+",IF(data[[#This Row],[Age]]&lt;18,"below 18 ")))))</f>
        <v>35-44</v>
      </c>
    </row>
    <row r="95" spans="1:31" x14ac:dyDescent="0.25">
      <c r="A95" t="s">
        <v>148</v>
      </c>
      <c r="B95">
        <v>32</v>
      </c>
      <c r="C95" t="s">
        <v>47</v>
      </c>
      <c r="D95" t="s">
        <v>57</v>
      </c>
      <c r="E95" t="s">
        <v>58</v>
      </c>
      <c r="F95" t="s">
        <v>41</v>
      </c>
      <c r="G95">
        <v>2.2999999999999998</v>
      </c>
      <c r="H95">
        <v>1</v>
      </c>
      <c r="I95">
        <v>3</v>
      </c>
      <c r="J95" t="s">
        <v>42</v>
      </c>
      <c r="K95" t="s">
        <v>36</v>
      </c>
      <c r="L95">
        <v>62</v>
      </c>
      <c r="M95">
        <v>6.2</v>
      </c>
      <c r="N95">
        <v>10</v>
      </c>
      <c r="O95">
        <v>5.0999999999999996</v>
      </c>
      <c r="P95">
        <v>10</v>
      </c>
      <c r="Q95" t="s">
        <v>42</v>
      </c>
      <c r="R95" t="s">
        <v>42</v>
      </c>
      <c r="S95">
        <v>4.0999999999999996</v>
      </c>
      <c r="T95">
        <v>6.6</v>
      </c>
      <c r="U95">
        <v>1.2</v>
      </c>
      <c r="V95">
        <v>6.8</v>
      </c>
      <c r="W95">
        <v>8.6999999999999993</v>
      </c>
      <c r="X95">
        <v>7.3</v>
      </c>
      <c r="Y95">
        <v>1.4</v>
      </c>
      <c r="Z95">
        <v>5.3</v>
      </c>
      <c r="AA95">
        <v>1.9</v>
      </c>
      <c r="AB95">
        <v>2.7</v>
      </c>
      <c r="AC95">
        <v>5.3</v>
      </c>
      <c r="AD95" t="s">
        <v>45</v>
      </c>
      <c r="AE95" t="str">
        <f>IF(AND(data[[#This Row],[Age]]&gt;=18,data[[#This Row],[Age]]&lt;=24),"18-24",IF(AND(data[[#This Row],[Age]]&gt;=25,data[[#This Row],[Age]]&lt;=34),"25-34",IF(AND(data[[#This Row],[Age]]&gt;35,data[[#This Row],[Age]]&lt;=44),"35-44",IF(data[[#This Row],[Age]]&gt;44,"45+",IF(data[[#This Row],[Age]]&lt;18,"below 18 ")))))</f>
        <v>25-34</v>
      </c>
    </row>
    <row r="96" spans="1:31" x14ac:dyDescent="0.25">
      <c r="A96" t="s">
        <v>149</v>
      </c>
      <c r="B96">
        <v>17</v>
      </c>
      <c r="C96" t="s">
        <v>31</v>
      </c>
      <c r="D96" t="s">
        <v>32</v>
      </c>
      <c r="E96" t="s">
        <v>58</v>
      </c>
      <c r="F96" t="s">
        <v>48</v>
      </c>
      <c r="G96">
        <v>6.2</v>
      </c>
      <c r="H96">
        <v>1</v>
      </c>
      <c r="I96">
        <v>3</v>
      </c>
      <c r="J96" t="s">
        <v>35</v>
      </c>
      <c r="K96" t="s">
        <v>62</v>
      </c>
      <c r="L96">
        <v>9</v>
      </c>
      <c r="M96">
        <v>9</v>
      </c>
      <c r="N96">
        <v>4.8</v>
      </c>
      <c r="O96">
        <v>4.8</v>
      </c>
      <c r="P96">
        <v>0</v>
      </c>
      <c r="Q96" t="s">
        <v>35</v>
      </c>
      <c r="R96" t="s">
        <v>42</v>
      </c>
      <c r="S96">
        <v>5.9</v>
      </c>
      <c r="T96">
        <v>5.8</v>
      </c>
      <c r="U96">
        <v>7.1</v>
      </c>
      <c r="V96">
        <v>7.9</v>
      </c>
      <c r="W96">
        <v>3.9</v>
      </c>
      <c r="X96">
        <v>5.8</v>
      </c>
      <c r="Y96">
        <v>2.1</v>
      </c>
      <c r="Z96">
        <v>2.7</v>
      </c>
      <c r="AA96">
        <v>2</v>
      </c>
      <c r="AB96">
        <v>2.5</v>
      </c>
      <c r="AC96">
        <v>8</v>
      </c>
      <c r="AD96" t="s">
        <v>37</v>
      </c>
      <c r="AE96" t="str">
        <f>IF(AND(data[[#This Row],[Age]]&gt;=18,data[[#This Row],[Age]]&lt;=24),"18-24",IF(AND(data[[#This Row],[Age]]&gt;=25,data[[#This Row],[Age]]&lt;=34),"25-34",IF(AND(data[[#This Row],[Age]]&gt;35,data[[#This Row],[Age]]&lt;=44),"35-44",IF(data[[#This Row],[Age]]&gt;44,"45+",IF(data[[#This Row],[Age]]&lt;18,"below 18 ")))))</f>
        <v xml:space="preserve">below 18 </v>
      </c>
    </row>
    <row r="97" spans="1:31" x14ac:dyDescent="0.25">
      <c r="A97" t="s">
        <v>150</v>
      </c>
      <c r="B97">
        <v>34</v>
      </c>
      <c r="C97" t="s">
        <v>47</v>
      </c>
      <c r="D97" t="s">
        <v>32</v>
      </c>
      <c r="E97" t="s">
        <v>58</v>
      </c>
      <c r="F97" t="s">
        <v>41</v>
      </c>
      <c r="G97">
        <v>4.3</v>
      </c>
      <c r="H97">
        <v>7</v>
      </c>
      <c r="I97">
        <v>3</v>
      </c>
      <c r="J97" t="s">
        <v>42</v>
      </c>
      <c r="K97" t="s">
        <v>36</v>
      </c>
      <c r="L97">
        <v>83</v>
      </c>
      <c r="M97">
        <v>4.0999999999999996</v>
      </c>
      <c r="N97">
        <v>2.6</v>
      </c>
      <c r="O97">
        <v>5.4</v>
      </c>
      <c r="P97">
        <v>3</v>
      </c>
      <c r="Q97" t="s">
        <v>42</v>
      </c>
      <c r="R97" t="s">
        <v>42</v>
      </c>
      <c r="S97">
        <v>8.1999999999999993</v>
      </c>
      <c r="T97">
        <v>0.3</v>
      </c>
      <c r="U97">
        <v>6.9</v>
      </c>
      <c r="V97">
        <v>4</v>
      </c>
      <c r="W97">
        <v>5.0999999999999996</v>
      </c>
      <c r="X97">
        <v>6.2</v>
      </c>
      <c r="Y97">
        <v>3.3</v>
      </c>
      <c r="Z97">
        <v>6.9</v>
      </c>
      <c r="AA97">
        <v>1.6</v>
      </c>
      <c r="AB97">
        <v>5.2</v>
      </c>
      <c r="AC97">
        <v>4.8</v>
      </c>
      <c r="AD97" t="s">
        <v>43</v>
      </c>
      <c r="AE97" t="str">
        <f>IF(AND(data[[#This Row],[Age]]&gt;=18,data[[#This Row],[Age]]&lt;=24),"18-24",IF(AND(data[[#This Row],[Age]]&gt;=25,data[[#This Row],[Age]]&lt;=34),"25-34",IF(AND(data[[#This Row],[Age]]&gt;35,data[[#This Row],[Age]]&lt;=44),"35-44",IF(data[[#This Row],[Age]]&gt;44,"45+",IF(data[[#This Row],[Age]]&lt;18,"below 18 ")))))</f>
        <v>25-34</v>
      </c>
    </row>
    <row r="98" spans="1:31" x14ac:dyDescent="0.25">
      <c r="A98" t="s">
        <v>151</v>
      </c>
      <c r="B98">
        <v>33</v>
      </c>
      <c r="C98" t="s">
        <v>50</v>
      </c>
      <c r="D98" t="s">
        <v>39</v>
      </c>
      <c r="E98" t="s">
        <v>33</v>
      </c>
      <c r="F98" t="s">
        <v>51</v>
      </c>
      <c r="G98">
        <v>4.3</v>
      </c>
      <c r="H98">
        <v>3</v>
      </c>
      <c r="I98">
        <v>1</v>
      </c>
      <c r="J98" t="s">
        <v>42</v>
      </c>
      <c r="K98" t="s">
        <v>36</v>
      </c>
      <c r="L98">
        <v>69</v>
      </c>
      <c r="M98">
        <v>6.3</v>
      </c>
      <c r="N98">
        <v>5.4</v>
      </c>
      <c r="O98">
        <v>6.5</v>
      </c>
      <c r="P98">
        <v>7.9</v>
      </c>
      <c r="Q98" t="s">
        <v>35</v>
      </c>
      <c r="R98" t="s">
        <v>42</v>
      </c>
      <c r="S98">
        <v>8</v>
      </c>
      <c r="T98">
        <v>3.7</v>
      </c>
      <c r="U98">
        <v>4.3</v>
      </c>
      <c r="V98">
        <v>5.4</v>
      </c>
      <c r="W98">
        <v>5.8</v>
      </c>
      <c r="X98">
        <v>3.9</v>
      </c>
      <c r="Y98">
        <v>3.3</v>
      </c>
      <c r="Z98">
        <v>6.7</v>
      </c>
      <c r="AA98">
        <v>5.5</v>
      </c>
      <c r="AB98">
        <v>1.9</v>
      </c>
      <c r="AC98">
        <v>4.5</v>
      </c>
      <c r="AD98" t="s">
        <v>43</v>
      </c>
      <c r="AE98" t="str">
        <f>IF(AND(data[[#This Row],[Age]]&gt;=18,data[[#This Row],[Age]]&lt;=24),"18-24",IF(AND(data[[#This Row],[Age]]&gt;=25,data[[#This Row],[Age]]&lt;=34),"25-34",IF(AND(data[[#This Row],[Age]]&gt;35,data[[#This Row],[Age]]&lt;=44),"35-44",IF(data[[#This Row],[Age]]&gt;44,"45+",IF(data[[#This Row],[Age]]&lt;18,"below 18 ")))))</f>
        <v>25-34</v>
      </c>
    </row>
    <row r="99" spans="1:31" x14ac:dyDescent="0.25">
      <c r="A99" t="s">
        <v>152</v>
      </c>
      <c r="B99">
        <v>33</v>
      </c>
      <c r="C99" t="s">
        <v>31</v>
      </c>
      <c r="D99" t="s">
        <v>32</v>
      </c>
      <c r="E99" t="s">
        <v>58</v>
      </c>
      <c r="F99" t="s">
        <v>48</v>
      </c>
      <c r="G99">
        <v>3.9</v>
      </c>
      <c r="H99">
        <v>1</v>
      </c>
      <c r="I99">
        <v>4</v>
      </c>
      <c r="J99" t="s">
        <v>42</v>
      </c>
      <c r="K99" t="s">
        <v>52</v>
      </c>
      <c r="L99">
        <v>47</v>
      </c>
      <c r="M99">
        <v>0.5</v>
      </c>
      <c r="N99">
        <v>2.5</v>
      </c>
      <c r="O99">
        <v>5.0999999999999996</v>
      </c>
      <c r="P99">
        <v>7.8</v>
      </c>
      <c r="Q99" t="s">
        <v>35</v>
      </c>
      <c r="R99" t="s">
        <v>42</v>
      </c>
      <c r="S99">
        <v>7.3</v>
      </c>
      <c r="T99">
        <v>3.8</v>
      </c>
      <c r="U99">
        <v>6</v>
      </c>
      <c r="V99">
        <v>4.5999999999999996</v>
      </c>
      <c r="W99">
        <v>4.0999999999999996</v>
      </c>
      <c r="X99">
        <v>9.3000000000000007</v>
      </c>
      <c r="Y99">
        <v>5.4</v>
      </c>
      <c r="Z99">
        <v>7</v>
      </c>
      <c r="AA99">
        <v>3.9</v>
      </c>
      <c r="AB99">
        <v>5.2</v>
      </c>
      <c r="AC99">
        <v>7</v>
      </c>
      <c r="AD99" t="s">
        <v>53</v>
      </c>
      <c r="AE99" t="str">
        <f>IF(AND(data[[#This Row],[Age]]&gt;=18,data[[#This Row],[Age]]&lt;=24),"18-24",IF(AND(data[[#This Row],[Age]]&gt;=25,data[[#This Row],[Age]]&lt;=34),"25-34",IF(AND(data[[#This Row],[Age]]&gt;35,data[[#This Row],[Age]]&lt;=44),"35-44",IF(data[[#This Row],[Age]]&gt;44,"45+",IF(data[[#This Row],[Age]]&lt;18,"below 18 ")))))</f>
        <v>25-34</v>
      </c>
    </row>
    <row r="100" spans="1:31" x14ac:dyDescent="0.25">
      <c r="A100" t="s">
        <v>153</v>
      </c>
      <c r="B100">
        <v>36</v>
      </c>
      <c r="C100" t="s">
        <v>31</v>
      </c>
      <c r="D100" t="s">
        <v>39</v>
      </c>
      <c r="E100" t="s">
        <v>58</v>
      </c>
      <c r="F100" t="s">
        <v>41</v>
      </c>
      <c r="G100">
        <v>2.7</v>
      </c>
      <c r="H100">
        <v>4</v>
      </c>
      <c r="I100">
        <v>4</v>
      </c>
      <c r="J100" t="s">
        <v>42</v>
      </c>
      <c r="K100" t="s">
        <v>52</v>
      </c>
      <c r="L100">
        <v>124</v>
      </c>
      <c r="M100">
        <v>7.7</v>
      </c>
      <c r="N100">
        <v>0.9</v>
      </c>
      <c r="O100">
        <v>6.4</v>
      </c>
      <c r="P100">
        <v>2.6</v>
      </c>
      <c r="Q100" t="s">
        <v>35</v>
      </c>
      <c r="R100" t="s">
        <v>35</v>
      </c>
      <c r="S100">
        <v>6.9</v>
      </c>
      <c r="T100">
        <v>0.9</v>
      </c>
      <c r="U100">
        <v>3.4</v>
      </c>
      <c r="V100">
        <v>5.5</v>
      </c>
      <c r="W100">
        <v>2.8</v>
      </c>
      <c r="X100">
        <v>8.1999999999999993</v>
      </c>
      <c r="Y100">
        <v>5.2</v>
      </c>
      <c r="Z100">
        <v>4.8</v>
      </c>
      <c r="AA100">
        <v>1.6</v>
      </c>
      <c r="AC100">
        <v>6.8</v>
      </c>
      <c r="AD100" t="s">
        <v>53</v>
      </c>
      <c r="AE100" t="str">
        <f>IF(AND(data[[#This Row],[Age]]&gt;=18,data[[#This Row],[Age]]&lt;=24),"18-24",IF(AND(data[[#This Row],[Age]]&gt;=25,data[[#This Row],[Age]]&lt;=34),"25-34",IF(AND(data[[#This Row],[Age]]&gt;35,data[[#This Row],[Age]]&lt;=44),"35-44",IF(data[[#This Row],[Age]]&gt;44,"45+",IF(data[[#This Row],[Age]]&lt;18,"below 18 ")))))</f>
        <v>35-44</v>
      </c>
    </row>
    <row r="101" spans="1:31" x14ac:dyDescent="0.25">
      <c r="A101" t="s">
        <v>154</v>
      </c>
      <c r="B101">
        <v>38</v>
      </c>
      <c r="C101" t="s">
        <v>47</v>
      </c>
      <c r="E101" t="s">
        <v>40</v>
      </c>
      <c r="F101" t="s">
        <v>59</v>
      </c>
      <c r="G101">
        <v>1.2</v>
      </c>
      <c r="H101">
        <v>3</v>
      </c>
      <c r="I101">
        <v>6</v>
      </c>
      <c r="J101" t="s">
        <v>42</v>
      </c>
      <c r="K101" t="s">
        <v>62</v>
      </c>
      <c r="L101">
        <v>66</v>
      </c>
      <c r="M101">
        <v>4.0999999999999996</v>
      </c>
      <c r="N101">
        <v>5.2</v>
      </c>
      <c r="O101">
        <v>7</v>
      </c>
      <c r="P101">
        <v>5.4</v>
      </c>
      <c r="Q101" t="s">
        <v>42</v>
      </c>
      <c r="R101" t="s">
        <v>35</v>
      </c>
      <c r="S101">
        <v>5.8</v>
      </c>
      <c r="T101">
        <v>7.6</v>
      </c>
      <c r="U101">
        <v>5.8</v>
      </c>
      <c r="V101">
        <v>6.6</v>
      </c>
      <c r="W101">
        <v>4.7</v>
      </c>
      <c r="X101">
        <v>4.3</v>
      </c>
      <c r="Y101">
        <v>6.7</v>
      </c>
      <c r="Z101">
        <v>3.3</v>
      </c>
      <c r="AA101">
        <v>4.3</v>
      </c>
      <c r="AB101">
        <v>1.2</v>
      </c>
      <c r="AC101">
        <v>7.6</v>
      </c>
      <c r="AD101" t="s">
        <v>37</v>
      </c>
      <c r="AE101" t="str">
        <f>IF(AND(data[[#This Row],[Age]]&gt;=18,data[[#This Row],[Age]]&lt;=24),"18-24",IF(AND(data[[#This Row],[Age]]&gt;=25,data[[#This Row],[Age]]&lt;=34),"25-34",IF(AND(data[[#This Row],[Age]]&gt;35,data[[#This Row],[Age]]&lt;=44),"35-44",IF(data[[#This Row],[Age]]&gt;44,"45+",IF(data[[#This Row],[Age]]&lt;18,"below 18 ")))))</f>
        <v>35-44</v>
      </c>
    </row>
    <row r="102" spans="1:31" x14ac:dyDescent="0.25">
      <c r="A102" t="s">
        <v>155</v>
      </c>
      <c r="B102">
        <v>18</v>
      </c>
      <c r="C102" t="s">
        <v>47</v>
      </c>
      <c r="D102" t="s">
        <v>39</v>
      </c>
      <c r="E102" t="s">
        <v>33</v>
      </c>
      <c r="F102" t="s">
        <v>70</v>
      </c>
      <c r="G102">
        <v>5.5</v>
      </c>
      <c r="H102">
        <v>3</v>
      </c>
      <c r="I102">
        <v>3</v>
      </c>
      <c r="J102" t="s">
        <v>35</v>
      </c>
      <c r="K102" t="s">
        <v>52</v>
      </c>
      <c r="L102">
        <v>63</v>
      </c>
      <c r="M102">
        <v>3.8</v>
      </c>
      <c r="N102">
        <v>4.9000000000000004</v>
      </c>
      <c r="O102">
        <v>4.2</v>
      </c>
      <c r="P102">
        <v>7.1</v>
      </c>
      <c r="Q102" t="s">
        <v>42</v>
      </c>
      <c r="R102" t="s">
        <v>42</v>
      </c>
      <c r="S102">
        <v>5.5</v>
      </c>
      <c r="T102">
        <v>7.8</v>
      </c>
      <c r="U102">
        <v>3.6</v>
      </c>
      <c r="V102">
        <v>9</v>
      </c>
      <c r="W102">
        <v>5.6</v>
      </c>
      <c r="X102">
        <v>6</v>
      </c>
      <c r="Y102">
        <v>2.7</v>
      </c>
      <c r="Z102">
        <v>8.5</v>
      </c>
      <c r="AA102">
        <v>5.0999999999999996</v>
      </c>
      <c r="AB102">
        <v>0</v>
      </c>
      <c r="AC102">
        <v>7.4</v>
      </c>
      <c r="AD102" t="s">
        <v>53</v>
      </c>
      <c r="AE102" t="str">
        <f>IF(AND(data[[#This Row],[Age]]&gt;=18,data[[#This Row],[Age]]&lt;=24),"18-24",IF(AND(data[[#This Row],[Age]]&gt;=25,data[[#This Row],[Age]]&lt;=34),"25-34",IF(AND(data[[#This Row],[Age]]&gt;35,data[[#This Row],[Age]]&lt;=44),"35-44",IF(data[[#This Row],[Age]]&gt;44,"45+",IF(data[[#This Row],[Age]]&lt;18,"below 18 ")))))</f>
        <v>18-24</v>
      </c>
    </row>
    <row r="103" spans="1:31" x14ac:dyDescent="0.25">
      <c r="A103" t="s">
        <v>156</v>
      </c>
      <c r="B103">
        <v>26</v>
      </c>
      <c r="C103" t="s">
        <v>31</v>
      </c>
      <c r="D103" t="s">
        <v>32</v>
      </c>
      <c r="E103" t="s">
        <v>58</v>
      </c>
      <c r="F103" t="s">
        <v>41</v>
      </c>
      <c r="G103">
        <v>2.2999999999999998</v>
      </c>
      <c r="H103">
        <v>2</v>
      </c>
      <c r="I103">
        <v>4</v>
      </c>
      <c r="J103" t="s">
        <v>42</v>
      </c>
      <c r="K103" t="s">
        <v>62</v>
      </c>
      <c r="L103">
        <v>10</v>
      </c>
      <c r="M103">
        <v>5.9</v>
      </c>
      <c r="N103">
        <v>2.7</v>
      </c>
      <c r="O103">
        <v>5.2</v>
      </c>
      <c r="P103">
        <v>3.4</v>
      </c>
      <c r="Q103" t="s">
        <v>42</v>
      </c>
      <c r="R103" t="s">
        <v>35</v>
      </c>
      <c r="S103">
        <v>10</v>
      </c>
      <c r="T103">
        <v>5</v>
      </c>
      <c r="U103">
        <v>6.3</v>
      </c>
      <c r="V103">
        <v>6.8</v>
      </c>
      <c r="W103">
        <v>5.3</v>
      </c>
      <c r="X103">
        <v>6.8</v>
      </c>
      <c r="Y103">
        <v>10</v>
      </c>
      <c r="Z103">
        <v>3.6</v>
      </c>
      <c r="AA103">
        <v>3.4</v>
      </c>
      <c r="AB103">
        <v>2.8</v>
      </c>
      <c r="AC103">
        <v>8</v>
      </c>
      <c r="AD103" t="s">
        <v>37</v>
      </c>
      <c r="AE103" t="str">
        <f>IF(AND(data[[#This Row],[Age]]&gt;=18,data[[#This Row],[Age]]&lt;=24),"18-24",IF(AND(data[[#This Row],[Age]]&gt;=25,data[[#This Row],[Age]]&lt;=34),"25-34",IF(AND(data[[#This Row],[Age]]&gt;35,data[[#This Row],[Age]]&lt;=44),"35-44",IF(data[[#This Row],[Age]]&gt;44,"45+",IF(data[[#This Row],[Age]]&lt;18,"below 18 ")))))</f>
        <v>25-34</v>
      </c>
    </row>
    <row r="104" spans="1:31" x14ac:dyDescent="0.25">
      <c r="A104" t="s">
        <v>157</v>
      </c>
      <c r="B104">
        <v>41</v>
      </c>
      <c r="C104" t="s">
        <v>47</v>
      </c>
      <c r="D104" t="s">
        <v>32</v>
      </c>
      <c r="E104" t="s">
        <v>33</v>
      </c>
      <c r="F104" t="s">
        <v>51</v>
      </c>
      <c r="G104">
        <v>3.3</v>
      </c>
      <c r="H104">
        <v>6</v>
      </c>
      <c r="I104">
        <v>4</v>
      </c>
      <c r="K104" t="s">
        <v>62</v>
      </c>
      <c r="L104">
        <v>5</v>
      </c>
      <c r="M104">
        <v>5.5</v>
      </c>
      <c r="N104">
        <v>7.6</v>
      </c>
      <c r="O104">
        <v>4</v>
      </c>
      <c r="P104">
        <v>8.4</v>
      </c>
      <c r="Q104" t="s">
        <v>35</v>
      </c>
      <c r="R104" t="s">
        <v>42</v>
      </c>
      <c r="S104">
        <v>1</v>
      </c>
      <c r="T104">
        <v>1.4</v>
      </c>
      <c r="U104">
        <v>4.4000000000000004</v>
      </c>
      <c r="V104">
        <v>5.7</v>
      </c>
      <c r="W104">
        <v>3</v>
      </c>
      <c r="X104">
        <v>6.1</v>
      </c>
      <c r="Y104">
        <v>4.3</v>
      </c>
      <c r="Z104">
        <v>9.6</v>
      </c>
      <c r="AA104">
        <v>2.7</v>
      </c>
      <c r="AB104">
        <v>4.5</v>
      </c>
      <c r="AC104">
        <v>6.8</v>
      </c>
      <c r="AD104" t="s">
        <v>53</v>
      </c>
      <c r="AE104" t="str">
        <f>IF(AND(data[[#This Row],[Age]]&gt;=18,data[[#This Row],[Age]]&lt;=24),"18-24",IF(AND(data[[#This Row],[Age]]&gt;=25,data[[#This Row],[Age]]&lt;=34),"25-34",IF(AND(data[[#This Row],[Age]]&gt;35,data[[#This Row],[Age]]&lt;=44),"35-44",IF(data[[#This Row],[Age]]&gt;44,"45+",IF(data[[#This Row],[Age]]&lt;18,"below 18 ")))))</f>
        <v>35-44</v>
      </c>
    </row>
    <row r="105" spans="1:31" x14ac:dyDescent="0.25">
      <c r="A105" t="s">
        <v>158</v>
      </c>
      <c r="B105">
        <v>30</v>
      </c>
      <c r="C105" t="s">
        <v>47</v>
      </c>
      <c r="D105" t="s">
        <v>32</v>
      </c>
      <c r="E105" t="s">
        <v>33</v>
      </c>
      <c r="F105" t="s">
        <v>41</v>
      </c>
      <c r="G105">
        <v>3.7</v>
      </c>
      <c r="H105">
        <v>1</v>
      </c>
      <c r="I105">
        <v>2</v>
      </c>
      <c r="J105" t="s">
        <v>35</v>
      </c>
      <c r="K105" t="s">
        <v>52</v>
      </c>
      <c r="L105">
        <v>42</v>
      </c>
      <c r="M105">
        <v>6</v>
      </c>
      <c r="N105">
        <v>2.8</v>
      </c>
      <c r="O105">
        <v>3.3</v>
      </c>
      <c r="P105">
        <v>9.1999999999999993</v>
      </c>
      <c r="Q105" t="s">
        <v>35</v>
      </c>
      <c r="R105" t="s">
        <v>42</v>
      </c>
      <c r="S105">
        <v>3.8</v>
      </c>
      <c r="T105">
        <v>2.1</v>
      </c>
      <c r="U105">
        <v>6</v>
      </c>
      <c r="V105">
        <v>10</v>
      </c>
      <c r="W105">
        <v>2.5</v>
      </c>
      <c r="X105">
        <v>6.1</v>
      </c>
      <c r="Y105">
        <v>6.7</v>
      </c>
      <c r="Z105">
        <v>2.7</v>
      </c>
      <c r="AA105">
        <v>5</v>
      </c>
      <c r="AB105">
        <v>2.9</v>
      </c>
      <c r="AC105">
        <v>6.5</v>
      </c>
      <c r="AD105" t="s">
        <v>45</v>
      </c>
      <c r="AE105" t="str">
        <f>IF(AND(data[[#This Row],[Age]]&gt;=18,data[[#This Row],[Age]]&lt;=24),"18-24",IF(AND(data[[#This Row],[Age]]&gt;=25,data[[#This Row],[Age]]&lt;=34),"25-34",IF(AND(data[[#This Row],[Age]]&gt;35,data[[#This Row],[Age]]&lt;=44),"35-44",IF(data[[#This Row],[Age]]&gt;44,"45+",IF(data[[#This Row],[Age]]&lt;18,"below 18 ")))))</f>
        <v>25-34</v>
      </c>
    </row>
    <row r="106" spans="1:31" x14ac:dyDescent="0.25">
      <c r="A106" t="s">
        <v>159</v>
      </c>
      <c r="B106">
        <v>31</v>
      </c>
      <c r="C106" t="s">
        <v>47</v>
      </c>
      <c r="D106" t="s">
        <v>39</v>
      </c>
      <c r="E106" t="s">
        <v>58</v>
      </c>
      <c r="F106" t="s">
        <v>48</v>
      </c>
      <c r="G106">
        <v>4.7</v>
      </c>
      <c r="H106">
        <v>3</v>
      </c>
      <c r="I106">
        <v>5</v>
      </c>
      <c r="K106" t="s">
        <v>36</v>
      </c>
      <c r="L106">
        <v>65</v>
      </c>
      <c r="M106">
        <v>4.8</v>
      </c>
      <c r="N106">
        <v>7.4</v>
      </c>
      <c r="O106">
        <v>3.9</v>
      </c>
      <c r="P106">
        <v>8.6</v>
      </c>
      <c r="Q106" t="s">
        <v>35</v>
      </c>
      <c r="R106" t="s">
        <v>42</v>
      </c>
      <c r="S106">
        <v>5.7</v>
      </c>
      <c r="T106">
        <v>0.1</v>
      </c>
      <c r="U106">
        <v>6.3</v>
      </c>
      <c r="V106">
        <v>3.7</v>
      </c>
      <c r="X106">
        <v>5.2</v>
      </c>
      <c r="Y106">
        <v>3.2</v>
      </c>
      <c r="AA106">
        <v>2.7</v>
      </c>
      <c r="AB106">
        <v>1.3</v>
      </c>
      <c r="AC106">
        <v>4.3</v>
      </c>
      <c r="AD106" t="s">
        <v>43</v>
      </c>
      <c r="AE106" t="str">
        <f>IF(AND(data[[#This Row],[Age]]&gt;=18,data[[#This Row],[Age]]&lt;=24),"18-24",IF(AND(data[[#This Row],[Age]]&gt;=25,data[[#This Row],[Age]]&lt;=34),"25-34",IF(AND(data[[#This Row],[Age]]&gt;35,data[[#This Row],[Age]]&lt;=44),"35-44",IF(data[[#This Row],[Age]]&gt;44,"45+",IF(data[[#This Row],[Age]]&lt;18,"below 18 ")))))</f>
        <v>25-34</v>
      </c>
    </row>
    <row r="107" spans="1:31" x14ac:dyDescent="0.25">
      <c r="A107" t="s">
        <v>160</v>
      </c>
      <c r="B107">
        <v>27</v>
      </c>
      <c r="C107" t="s">
        <v>31</v>
      </c>
      <c r="D107" t="s">
        <v>32</v>
      </c>
      <c r="E107" t="s">
        <v>58</v>
      </c>
      <c r="F107" t="s">
        <v>48</v>
      </c>
      <c r="G107">
        <v>3.6</v>
      </c>
      <c r="H107">
        <v>1</v>
      </c>
      <c r="I107">
        <v>7</v>
      </c>
      <c r="J107" t="s">
        <v>35</v>
      </c>
      <c r="K107" t="s">
        <v>36</v>
      </c>
      <c r="L107">
        <v>35</v>
      </c>
      <c r="M107">
        <v>7.7</v>
      </c>
      <c r="N107">
        <v>6.1</v>
      </c>
      <c r="O107">
        <v>6.6</v>
      </c>
      <c r="P107">
        <v>3.6</v>
      </c>
      <c r="Q107" t="s">
        <v>35</v>
      </c>
      <c r="R107" t="s">
        <v>42</v>
      </c>
      <c r="S107">
        <v>5.0999999999999996</v>
      </c>
      <c r="T107">
        <v>4.3</v>
      </c>
      <c r="U107">
        <v>8.8000000000000007</v>
      </c>
      <c r="V107">
        <v>4.4000000000000004</v>
      </c>
      <c r="W107">
        <v>3.8</v>
      </c>
      <c r="X107">
        <v>7.1</v>
      </c>
      <c r="Y107">
        <v>4.2</v>
      </c>
      <c r="Z107">
        <v>6.1</v>
      </c>
      <c r="AA107">
        <v>3.8</v>
      </c>
      <c r="AB107">
        <v>3.7</v>
      </c>
      <c r="AC107">
        <v>5.9</v>
      </c>
      <c r="AD107" t="s">
        <v>45</v>
      </c>
      <c r="AE107" t="str">
        <f>IF(AND(data[[#This Row],[Age]]&gt;=18,data[[#This Row],[Age]]&lt;=24),"18-24",IF(AND(data[[#This Row],[Age]]&gt;=25,data[[#This Row],[Age]]&lt;=34),"25-34",IF(AND(data[[#This Row],[Age]]&gt;35,data[[#This Row],[Age]]&lt;=44),"35-44",IF(data[[#This Row],[Age]]&gt;44,"45+",IF(data[[#This Row],[Age]]&lt;18,"below 18 ")))))</f>
        <v>25-34</v>
      </c>
    </row>
    <row r="108" spans="1:31" x14ac:dyDescent="0.25">
      <c r="A108" t="s">
        <v>161</v>
      </c>
      <c r="B108">
        <v>44</v>
      </c>
      <c r="C108" t="s">
        <v>47</v>
      </c>
      <c r="D108" t="s">
        <v>64</v>
      </c>
      <c r="E108" t="s">
        <v>58</v>
      </c>
      <c r="F108" t="s">
        <v>59</v>
      </c>
      <c r="G108">
        <v>4.2</v>
      </c>
      <c r="H108">
        <v>2</v>
      </c>
      <c r="I108">
        <v>4</v>
      </c>
      <c r="J108" t="s">
        <v>42</v>
      </c>
      <c r="K108" t="s">
        <v>52</v>
      </c>
      <c r="L108">
        <v>64</v>
      </c>
      <c r="M108">
        <v>3.9</v>
      </c>
      <c r="N108">
        <v>4.4000000000000004</v>
      </c>
      <c r="O108">
        <v>1.9</v>
      </c>
      <c r="P108">
        <v>3.9</v>
      </c>
      <c r="Q108" t="s">
        <v>42</v>
      </c>
      <c r="R108" t="s">
        <v>35</v>
      </c>
      <c r="S108">
        <v>4.8</v>
      </c>
      <c r="T108">
        <v>3.9</v>
      </c>
      <c r="U108">
        <v>1.7</v>
      </c>
      <c r="V108">
        <v>4.5</v>
      </c>
      <c r="W108">
        <v>4.5999999999999996</v>
      </c>
      <c r="X108">
        <v>8.3000000000000007</v>
      </c>
      <c r="Y108">
        <v>3.6</v>
      </c>
      <c r="Z108">
        <v>4</v>
      </c>
      <c r="AA108">
        <v>4.9000000000000004</v>
      </c>
      <c r="AB108">
        <v>2.9</v>
      </c>
      <c r="AC108">
        <v>8.8000000000000007</v>
      </c>
      <c r="AD108" t="s">
        <v>37</v>
      </c>
      <c r="AE108" t="str">
        <f>IF(AND(data[[#This Row],[Age]]&gt;=18,data[[#This Row],[Age]]&lt;=24),"18-24",IF(AND(data[[#This Row],[Age]]&gt;=25,data[[#This Row],[Age]]&lt;=34),"25-34",IF(AND(data[[#This Row],[Age]]&gt;35,data[[#This Row],[Age]]&lt;=44),"35-44",IF(data[[#This Row],[Age]]&gt;44,"45+",IF(data[[#This Row],[Age]]&lt;18,"below 18 ")))))</f>
        <v>35-44</v>
      </c>
    </row>
    <row r="109" spans="1:31" x14ac:dyDescent="0.25">
      <c r="A109" t="s">
        <v>162</v>
      </c>
      <c r="B109">
        <v>26</v>
      </c>
      <c r="C109" t="s">
        <v>47</v>
      </c>
      <c r="D109" t="s">
        <v>64</v>
      </c>
      <c r="E109" t="s">
        <v>40</v>
      </c>
      <c r="F109" t="s">
        <v>41</v>
      </c>
      <c r="G109">
        <v>3.6</v>
      </c>
      <c r="H109">
        <v>1</v>
      </c>
      <c r="I109">
        <v>2</v>
      </c>
      <c r="J109" t="s">
        <v>42</v>
      </c>
      <c r="K109" t="s">
        <v>52</v>
      </c>
      <c r="L109">
        <v>16</v>
      </c>
      <c r="M109">
        <v>1</v>
      </c>
      <c r="N109">
        <v>6.6</v>
      </c>
      <c r="O109">
        <v>8</v>
      </c>
      <c r="P109">
        <v>5.3</v>
      </c>
      <c r="Q109" t="s">
        <v>35</v>
      </c>
      <c r="R109" t="s">
        <v>42</v>
      </c>
      <c r="S109">
        <v>7.6</v>
      </c>
      <c r="T109">
        <v>2</v>
      </c>
      <c r="U109">
        <v>5.4</v>
      </c>
      <c r="V109">
        <v>7.1</v>
      </c>
      <c r="W109">
        <v>6.3</v>
      </c>
      <c r="X109">
        <v>6.5</v>
      </c>
      <c r="Y109">
        <v>0.8</v>
      </c>
      <c r="Z109">
        <v>5.2</v>
      </c>
      <c r="AA109">
        <v>4.3</v>
      </c>
      <c r="AB109">
        <v>4.3</v>
      </c>
      <c r="AC109">
        <v>6.2</v>
      </c>
      <c r="AD109" t="s">
        <v>53</v>
      </c>
      <c r="AE109" t="str">
        <f>IF(AND(data[[#This Row],[Age]]&gt;=18,data[[#This Row],[Age]]&lt;=24),"18-24",IF(AND(data[[#This Row],[Age]]&gt;=25,data[[#This Row],[Age]]&lt;=34),"25-34",IF(AND(data[[#This Row],[Age]]&gt;35,data[[#This Row],[Age]]&lt;=44),"35-44",IF(data[[#This Row],[Age]]&gt;44,"45+",IF(data[[#This Row],[Age]]&lt;18,"below 18 ")))))</f>
        <v>25-34</v>
      </c>
    </row>
    <row r="110" spans="1:31" x14ac:dyDescent="0.25">
      <c r="A110" t="s">
        <v>163</v>
      </c>
      <c r="B110">
        <v>24</v>
      </c>
      <c r="C110" t="s">
        <v>31</v>
      </c>
      <c r="D110" t="s">
        <v>64</v>
      </c>
      <c r="E110" t="s">
        <v>58</v>
      </c>
      <c r="F110" t="s">
        <v>34</v>
      </c>
      <c r="G110">
        <v>5.0999999999999996</v>
      </c>
      <c r="H110">
        <v>4</v>
      </c>
      <c r="I110">
        <v>3</v>
      </c>
      <c r="J110" t="s">
        <v>35</v>
      </c>
      <c r="K110" t="s">
        <v>52</v>
      </c>
      <c r="L110">
        <v>7</v>
      </c>
      <c r="M110">
        <v>9.1</v>
      </c>
      <c r="N110">
        <v>4.8</v>
      </c>
      <c r="O110">
        <v>4.5999999999999996</v>
      </c>
      <c r="P110">
        <v>1.9</v>
      </c>
      <c r="Q110" t="s">
        <v>35</v>
      </c>
      <c r="R110" t="s">
        <v>35</v>
      </c>
      <c r="S110">
        <v>4.5999999999999996</v>
      </c>
      <c r="T110">
        <v>4.0999999999999996</v>
      </c>
      <c r="U110">
        <v>3.9</v>
      </c>
      <c r="W110">
        <v>7.9</v>
      </c>
      <c r="X110">
        <v>8.5</v>
      </c>
      <c r="Y110">
        <v>5</v>
      </c>
      <c r="Z110">
        <v>6.5</v>
      </c>
      <c r="AA110">
        <v>6.1</v>
      </c>
      <c r="AB110">
        <v>5</v>
      </c>
      <c r="AC110">
        <v>7.6</v>
      </c>
      <c r="AD110" t="s">
        <v>37</v>
      </c>
      <c r="AE110" t="str">
        <f>IF(AND(data[[#This Row],[Age]]&gt;=18,data[[#This Row],[Age]]&lt;=24),"18-24",IF(AND(data[[#This Row],[Age]]&gt;=25,data[[#This Row],[Age]]&lt;=34),"25-34",IF(AND(data[[#This Row],[Age]]&gt;35,data[[#This Row],[Age]]&lt;=44),"35-44",IF(data[[#This Row],[Age]]&gt;44,"45+",IF(data[[#This Row],[Age]]&lt;18,"below 18 ")))))</f>
        <v>18-24</v>
      </c>
    </row>
    <row r="111" spans="1:31" x14ac:dyDescent="0.25">
      <c r="A111" t="s">
        <v>164</v>
      </c>
      <c r="B111">
        <v>24</v>
      </c>
      <c r="C111" t="s">
        <v>31</v>
      </c>
      <c r="D111" t="s">
        <v>39</v>
      </c>
      <c r="E111" t="s">
        <v>58</v>
      </c>
      <c r="F111" t="s">
        <v>34</v>
      </c>
      <c r="G111">
        <v>5.3</v>
      </c>
      <c r="H111">
        <v>2</v>
      </c>
      <c r="I111">
        <v>5</v>
      </c>
      <c r="J111" t="s">
        <v>35</v>
      </c>
      <c r="K111" t="s">
        <v>52</v>
      </c>
      <c r="L111">
        <v>124</v>
      </c>
      <c r="M111">
        <v>5.4</v>
      </c>
      <c r="N111">
        <v>8.6</v>
      </c>
      <c r="O111">
        <v>4.3</v>
      </c>
      <c r="P111">
        <v>7.9</v>
      </c>
      <c r="Q111" t="s">
        <v>42</v>
      </c>
      <c r="R111" t="s">
        <v>35</v>
      </c>
      <c r="S111">
        <v>4.2</v>
      </c>
      <c r="T111">
        <v>5.5</v>
      </c>
      <c r="U111">
        <v>2.8</v>
      </c>
      <c r="V111">
        <v>10</v>
      </c>
      <c r="W111">
        <v>7.2</v>
      </c>
      <c r="X111">
        <v>9.1</v>
      </c>
      <c r="Y111">
        <v>8.4</v>
      </c>
      <c r="Z111">
        <v>3.7</v>
      </c>
      <c r="AA111">
        <v>1.9</v>
      </c>
      <c r="AB111">
        <v>0.3</v>
      </c>
      <c r="AC111">
        <v>7.3</v>
      </c>
      <c r="AD111" t="s">
        <v>53</v>
      </c>
      <c r="AE111" t="str">
        <f>IF(AND(data[[#This Row],[Age]]&gt;=18,data[[#This Row],[Age]]&lt;=24),"18-24",IF(AND(data[[#This Row],[Age]]&gt;=25,data[[#This Row],[Age]]&lt;=34),"25-34",IF(AND(data[[#This Row],[Age]]&gt;35,data[[#This Row],[Age]]&lt;=44),"35-44",IF(data[[#This Row],[Age]]&gt;44,"45+",IF(data[[#This Row],[Age]]&lt;18,"below 18 ")))))</f>
        <v>18-24</v>
      </c>
    </row>
    <row r="112" spans="1:31" x14ac:dyDescent="0.25">
      <c r="A112" t="s">
        <v>165</v>
      </c>
      <c r="B112">
        <v>27</v>
      </c>
      <c r="C112" t="s">
        <v>47</v>
      </c>
      <c r="D112" t="s">
        <v>32</v>
      </c>
      <c r="E112" t="s">
        <v>40</v>
      </c>
      <c r="F112" t="s">
        <v>51</v>
      </c>
      <c r="G112">
        <v>7.7</v>
      </c>
      <c r="H112">
        <v>1</v>
      </c>
      <c r="I112">
        <v>9</v>
      </c>
      <c r="J112" t="s">
        <v>42</v>
      </c>
      <c r="K112" t="s">
        <v>36</v>
      </c>
      <c r="L112">
        <v>56</v>
      </c>
      <c r="M112">
        <v>6.9</v>
      </c>
      <c r="N112">
        <v>3</v>
      </c>
      <c r="O112">
        <v>0</v>
      </c>
      <c r="P112">
        <v>2.7</v>
      </c>
      <c r="Q112" t="s">
        <v>35</v>
      </c>
      <c r="R112" t="s">
        <v>35</v>
      </c>
      <c r="S112">
        <v>5.8</v>
      </c>
      <c r="T112">
        <v>3.2</v>
      </c>
      <c r="U112">
        <v>6.1</v>
      </c>
      <c r="V112">
        <v>8.9</v>
      </c>
      <c r="W112">
        <v>2.4</v>
      </c>
      <c r="X112">
        <v>5.7</v>
      </c>
      <c r="Y112">
        <v>7.2</v>
      </c>
      <c r="Z112">
        <v>2.6</v>
      </c>
      <c r="AA112">
        <v>4</v>
      </c>
      <c r="AB112">
        <v>1.5</v>
      </c>
      <c r="AC112">
        <v>7.2</v>
      </c>
      <c r="AD112" t="s">
        <v>45</v>
      </c>
      <c r="AE112" t="str">
        <f>IF(AND(data[[#This Row],[Age]]&gt;=18,data[[#This Row],[Age]]&lt;=24),"18-24",IF(AND(data[[#This Row],[Age]]&gt;=25,data[[#This Row],[Age]]&lt;=34),"25-34",IF(AND(data[[#This Row],[Age]]&gt;35,data[[#This Row],[Age]]&lt;=44),"35-44",IF(data[[#This Row],[Age]]&gt;44,"45+",IF(data[[#This Row],[Age]]&lt;18,"below 18 ")))))</f>
        <v>25-34</v>
      </c>
    </row>
    <row r="113" spans="1:31" x14ac:dyDescent="0.25">
      <c r="A113" t="s">
        <v>166</v>
      </c>
      <c r="B113">
        <v>18</v>
      </c>
      <c r="C113" t="s">
        <v>47</v>
      </c>
      <c r="D113" t="s">
        <v>32</v>
      </c>
      <c r="E113" t="s">
        <v>33</v>
      </c>
      <c r="F113" t="s">
        <v>51</v>
      </c>
      <c r="G113">
        <v>5.8</v>
      </c>
      <c r="H113">
        <v>4</v>
      </c>
      <c r="I113">
        <v>4</v>
      </c>
      <c r="K113" t="s">
        <v>62</v>
      </c>
      <c r="L113">
        <v>53</v>
      </c>
      <c r="M113">
        <v>3.4</v>
      </c>
      <c r="N113">
        <v>3.9</v>
      </c>
      <c r="O113">
        <v>7.2</v>
      </c>
      <c r="P113">
        <v>6.4</v>
      </c>
      <c r="Q113" t="s">
        <v>35</v>
      </c>
      <c r="R113" t="s">
        <v>35</v>
      </c>
      <c r="S113">
        <v>0.5</v>
      </c>
      <c r="T113">
        <v>5.3</v>
      </c>
      <c r="U113">
        <v>3.9</v>
      </c>
      <c r="V113">
        <v>3.8</v>
      </c>
      <c r="W113">
        <v>6.4</v>
      </c>
      <c r="X113">
        <v>5.9</v>
      </c>
      <c r="Y113">
        <v>1.7</v>
      </c>
      <c r="Z113">
        <v>5.6</v>
      </c>
      <c r="AA113">
        <v>2.6</v>
      </c>
      <c r="AB113">
        <v>5.0999999999999996</v>
      </c>
      <c r="AC113">
        <v>7.7</v>
      </c>
      <c r="AD113" t="s">
        <v>37</v>
      </c>
      <c r="AE113" t="str">
        <f>IF(AND(data[[#This Row],[Age]]&gt;=18,data[[#This Row],[Age]]&lt;=24),"18-24",IF(AND(data[[#This Row],[Age]]&gt;=25,data[[#This Row],[Age]]&lt;=34),"25-34",IF(AND(data[[#This Row],[Age]]&gt;35,data[[#This Row],[Age]]&lt;=44),"35-44",IF(data[[#This Row],[Age]]&gt;44,"45+",IF(data[[#This Row],[Age]]&lt;18,"below 18 ")))))</f>
        <v>18-24</v>
      </c>
    </row>
    <row r="114" spans="1:31" x14ac:dyDescent="0.25">
      <c r="A114" t="s">
        <v>167</v>
      </c>
      <c r="B114">
        <v>29</v>
      </c>
      <c r="C114" t="s">
        <v>47</v>
      </c>
      <c r="D114" t="s">
        <v>39</v>
      </c>
      <c r="E114" t="s">
        <v>58</v>
      </c>
      <c r="F114" t="s">
        <v>41</v>
      </c>
      <c r="G114">
        <v>3.3</v>
      </c>
      <c r="H114">
        <v>5</v>
      </c>
      <c r="I114">
        <v>7</v>
      </c>
      <c r="J114" t="s">
        <v>35</v>
      </c>
      <c r="K114" t="s">
        <v>62</v>
      </c>
      <c r="L114">
        <v>93</v>
      </c>
      <c r="M114">
        <v>5.7</v>
      </c>
      <c r="N114">
        <v>3.8</v>
      </c>
      <c r="O114">
        <v>4</v>
      </c>
      <c r="P114">
        <v>4</v>
      </c>
      <c r="Q114" t="s">
        <v>35</v>
      </c>
      <c r="R114" t="s">
        <v>35</v>
      </c>
      <c r="T114">
        <v>2.8</v>
      </c>
      <c r="U114">
        <v>4.3</v>
      </c>
      <c r="V114">
        <v>7.4</v>
      </c>
      <c r="W114">
        <v>3</v>
      </c>
      <c r="X114">
        <v>6.6</v>
      </c>
      <c r="Y114">
        <v>9.8000000000000007</v>
      </c>
      <c r="Z114">
        <v>6.7</v>
      </c>
      <c r="AA114">
        <v>1.2</v>
      </c>
      <c r="AB114">
        <v>4.5999999999999996</v>
      </c>
      <c r="AC114">
        <v>6.9</v>
      </c>
      <c r="AD114" t="s">
        <v>37</v>
      </c>
      <c r="AE114" t="str">
        <f>IF(AND(data[[#This Row],[Age]]&gt;=18,data[[#This Row],[Age]]&lt;=24),"18-24",IF(AND(data[[#This Row],[Age]]&gt;=25,data[[#This Row],[Age]]&lt;=34),"25-34",IF(AND(data[[#This Row],[Age]]&gt;35,data[[#This Row],[Age]]&lt;=44),"35-44",IF(data[[#This Row],[Age]]&gt;44,"45+",IF(data[[#This Row],[Age]]&lt;18,"below 18 ")))))</f>
        <v>25-34</v>
      </c>
    </row>
    <row r="115" spans="1:31" x14ac:dyDescent="0.25">
      <c r="A115" t="s">
        <v>168</v>
      </c>
      <c r="B115">
        <v>29</v>
      </c>
      <c r="C115" t="s">
        <v>47</v>
      </c>
      <c r="D115" t="s">
        <v>32</v>
      </c>
      <c r="E115" t="s">
        <v>58</v>
      </c>
      <c r="F115" t="s">
        <v>41</v>
      </c>
      <c r="G115">
        <v>5.8</v>
      </c>
      <c r="H115">
        <v>3</v>
      </c>
      <c r="I115">
        <v>6</v>
      </c>
      <c r="J115" t="s">
        <v>42</v>
      </c>
      <c r="K115" t="s">
        <v>36</v>
      </c>
      <c r="L115">
        <v>54</v>
      </c>
      <c r="M115">
        <v>1.4</v>
      </c>
      <c r="N115">
        <v>8.3000000000000007</v>
      </c>
      <c r="O115">
        <v>5.0999999999999996</v>
      </c>
      <c r="P115">
        <v>5.4</v>
      </c>
      <c r="Q115" t="s">
        <v>35</v>
      </c>
      <c r="R115" t="s">
        <v>42</v>
      </c>
      <c r="S115">
        <v>2.2999999999999998</v>
      </c>
      <c r="T115">
        <v>6</v>
      </c>
      <c r="U115">
        <v>4.4000000000000004</v>
      </c>
      <c r="V115">
        <v>3.5</v>
      </c>
      <c r="W115">
        <v>4.9000000000000004</v>
      </c>
      <c r="X115">
        <v>7.7</v>
      </c>
      <c r="Y115">
        <v>6.9</v>
      </c>
      <c r="Z115">
        <v>1.3</v>
      </c>
      <c r="AA115">
        <v>2.4</v>
      </c>
      <c r="AB115">
        <v>5.6</v>
      </c>
      <c r="AC115">
        <v>4.4000000000000004</v>
      </c>
      <c r="AD115" t="s">
        <v>43</v>
      </c>
      <c r="AE115" t="str">
        <f>IF(AND(data[[#This Row],[Age]]&gt;=18,data[[#This Row],[Age]]&lt;=24),"18-24",IF(AND(data[[#This Row],[Age]]&gt;=25,data[[#This Row],[Age]]&lt;=34),"25-34",IF(AND(data[[#This Row],[Age]]&gt;35,data[[#This Row],[Age]]&lt;=44),"35-44",IF(data[[#This Row],[Age]]&gt;44,"45+",IF(data[[#This Row],[Age]]&lt;18,"below 18 ")))))</f>
        <v>25-34</v>
      </c>
    </row>
    <row r="116" spans="1:31" x14ac:dyDescent="0.25">
      <c r="A116" t="s">
        <v>169</v>
      </c>
      <c r="B116">
        <v>43</v>
      </c>
      <c r="C116" t="s">
        <v>31</v>
      </c>
      <c r="D116" t="s">
        <v>64</v>
      </c>
      <c r="E116" t="s">
        <v>40</v>
      </c>
      <c r="F116" t="s">
        <v>41</v>
      </c>
      <c r="G116">
        <v>6.5</v>
      </c>
      <c r="H116">
        <v>3</v>
      </c>
      <c r="I116">
        <v>2</v>
      </c>
      <c r="J116" t="s">
        <v>42</v>
      </c>
      <c r="K116" t="s">
        <v>62</v>
      </c>
      <c r="L116">
        <v>48</v>
      </c>
      <c r="M116">
        <v>10</v>
      </c>
      <c r="N116">
        <v>8.6</v>
      </c>
      <c r="O116">
        <v>7.3</v>
      </c>
      <c r="P116">
        <v>3.3</v>
      </c>
      <c r="Q116" t="s">
        <v>42</v>
      </c>
      <c r="R116" t="s">
        <v>35</v>
      </c>
      <c r="S116">
        <v>5.5</v>
      </c>
      <c r="T116">
        <v>4.9000000000000004</v>
      </c>
      <c r="U116">
        <v>0.3</v>
      </c>
      <c r="V116">
        <v>4.2</v>
      </c>
      <c r="W116">
        <v>5</v>
      </c>
      <c r="X116">
        <v>7.4</v>
      </c>
      <c r="Y116">
        <v>6.6</v>
      </c>
      <c r="Z116">
        <v>10</v>
      </c>
      <c r="AA116">
        <v>3.2</v>
      </c>
      <c r="AC116">
        <v>6</v>
      </c>
      <c r="AD116" t="s">
        <v>53</v>
      </c>
      <c r="AE116" t="str">
        <f>IF(AND(data[[#This Row],[Age]]&gt;=18,data[[#This Row],[Age]]&lt;=24),"18-24",IF(AND(data[[#This Row],[Age]]&gt;=25,data[[#This Row],[Age]]&lt;=34),"25-34",IF(AND(data[[#This Row],[Age]]&gt;35,data[[#This Row],[Age]]&lt;=44),"35-44",IF(data[[#This Row],[Age]]&gt;44,"45+",IF(data[[#This Row],[Age]]&lt;18,"below 18 ")))))</f>
        <v>35-44</v>
      </c>
    </row>
    <row r="117" spans="1:31" x14ac:dyDescent="0.25">
      <c r="A117" t="s">
        <v>170</v>
      </c>
      <c r="B117">
        <v>35</v>
      </c>
      <c r="C117" t="s">
        <v>31</v>
      </c>
      <c r="D117" t="s">
        <v>32</v>
      </c>
      <c r="E117" t="s">
        <v>58</v>
      </c>
      <c r="F117" t="s">
        <v>59</v>
      </c>
      <c r="G117">
        <v>3.3</v>
      </c>
      <c r="H117">
        <v>2</v>
      </c>
      <c r="I117">
        <v>4</v>
      </c>
      <c r="J117" t="s">
        <v>35</v>
      </c>
      <c r="K117" t="s">
        <v>36</v>
      </c>
      <c r="L117">
        <v>44</v>
      </c>
      <c r="M117">
        <v>6.2</v>
      </c>
      <c r="N117">
        <v>2.2999999999999998</v>
      </c>
      <c r="O117">
        <v>6.6</v>
      </c>
      <c r="P117">
        <v>4.5999999999999996</v>
      </c>
      <c r="Q117" t="s">
        <v>42</v>
      </c>
      <c r="R117" t="s">
        <v>42</v>
      </c>
      <c r="S117">
        <v>6.7</v>
      </c>
      <c r="T117">
        <v>8.5</v>
      </c>
      <c r="U117">
        <v>3.3</v>
      </c>
      <c r="V117">
        <v>4.8</v>
      </c>
      <c r="W117">
        <v>3.7</v>
      </c>
      <c r="X117">
        <v>5.3</v>
      </c>
      <c r="Y117">
        <v>3</v>
      </c>
      <c r="AA117">
        <v>4.2</v>
      </c>
      <c r="AB117">
        <v>5.2</v>
      </c>
      <c r="AC117">
        <v>7.8</v>
      </c>
      <c r="AD117" t="s">
        <v>37</v>
      </c>
      <c r="AE117" t="b">
        <f>IF(AND(data[[#This Row],[Age]]&gt;=18,data[[#This Row],[Age]]&lt;=24),"18-24",IF(AND(data[[#This Row],[Age]]&gt;=25,data[[#This Row],[Age]]&lt;=34),"25-34",IF(AND(data[[#This Row],[Age]]&gt;35,data[[#This Row],[Age]]&lt;=44),"35-44",IF(data[[#This Row],[Age]]&gt;44,"45+",IF(data[[#This Row],[Age]]&lt;18,"below 18 ")))))</f>
        <v>0</v>
      </c>
    </row>
    <row r="118" spans="1:31" x14ac:dyDescent="0.25">
      <c r="A118" t="s">
        <v>171</v>
      </c>
      <c r="B118">
        <v>36</v>
      </c>
      <c r="C118" t="s">
        <v>47</v>
      </c>
      <c r="D118" t="s">
        <v>32</v>
      </c>
      <c r="E118" t="s">
        <v>40</v>
      </c>
      <c r="F118" t="s">
        <v>48</v>
      </c>
      <c r="G118">
        <v>3.3</v>
      </c>
      <c r="H118">
        <v>1</v>
      </c>
      <c r="I118">
        <v>10</v>
      </c>
      <c r="J118" t="s">
        <v>42</v>
      </c>
      <c r="K118" t="s">
        <v>52</v>
      </c>
      <c r="L118">
        <v>58</v>
      </c>
      <c r="M118">
        <v>6.8</v>
      </c>
      <c r="N118">
        <v>4.5</v>
      </c>
      <c r="O118">
        <v>6.8</v>
      </c>
      <c r="P118">
        <v>1.9</v>
      </c>
      <c r="Q118" t="s">
        <v>35</v>
      </c>
      <c r="R118" t="s">
        <v>42</v>
      </c>
      <c r="S118">
        <v>5.8</v>
      </c>
      <c r="T118">
        <v>3</v>
      </c>
      <c r="U118">
        <v>2.4</v>
      </c>
      <c r="V118">
        <v>6.4</v>
      </c>
      <c r="W118">
        <v>6.5</v>
      </c>
      <c r="X118">
        <v>8</v>
      </c>
      <c r="Y118">
        <v>8.4</v>
      </c>
      <c r="Z118">
        <v>6</v>
      </c>
      <c r="AA118">
        <v>2</v>
      </c>
      <c r="AB118">
        <v>0.5</v>
      </c>
      <c r="AC118">
        <v>7.9</v>
      </c>
      <c r="AD118" t="s">
        <v>37</v>
      </c>
      <c r="AE118" t="str">
        <f>IF(AND(data[[#This Row],[Age]]&gt;=18,data[[#This Row],[Age]]&lt;=24),"18-24",IF(AND(data[[#This Row],[Age]]&gt;=25,data[[#This Row],[Age]]&lt;=34),"25-34",IF(AND(data[[#This Row],[Age]]&gt;35,data[[#This Row],[Age]]&lt;=44),"35-44",IF(data[[#This Row],[Age]]&gt;44,"45+",IF(data[[#This Row],[Age]]&lt;18,"below 18 ")))))</f>
        <v>35-44</v>
      </c>
    </row>
    <row r="119" spans="1:31" x14ac:dyDescent="0.25">
      <c r="A119" t="s">
        <v>172</v>
      </c>
      <c r="B119">
        <v>43</v>
      </c>
      <c r="C119" t="s">
        <v>47</v>
      </c>
      <c r="D119" t="s">
        <v>39</v>
      </c>
      <c r="E119" t="s">
        <v>33</v>
      </c>
      <c r="F119" t="s">
        <v>41</v>
      </c>
      <c r="G119">
        <v>0.5</v>
      </c>
      <c r="H119">
        <v>5</v>
      </c>
      <c r="I119">
        <v>4</v>
      </c>
      <c r="J119" t="s">
        <v>35</v>
      </c>
      <c r="K119" t="s">
        <v>52</v>
      </c>
      <c r="L119">
        <v>79</v>
      </c>
      <c r="M119">
        <v>8.4</v>
      </c>
      <c r="N119">
        <v>5.7</v>
      </c>
      <c r="O119">
        <v>4.5999999999999996</v>
      </c>
      <c r="P119">
        <v>2.8</v>
      </c>
      <c r="Q119" t="s">
        <v>35</v>
      </c>
      <c r="R119" t="s">
        <v>42</v>
      </c>
      <c r="S119">
        <v>5.8</v>
      </c>
      <c r="T119">
        <v>3.4</v>
      </c>
      <c r="V119">
        <v>2</v>
      </c>
      <c r="W119">
        <v>6.2</v>
      </c>
      <c r="X119">
        <v>8.1999999999999993</v>
      </c>
      <c r="Y119">
        <v>5.2</v>
      </c>
      <c r="AA119">
        <v>2.1</v>
      </c>
      <c r="AB119">
        <v>3.5</v>
      </c>
      <c r="AC119">
        <v>6.7</v>
      </c>
      <c r="AD119" t="s">
        <v>53</v>
      </c>
      <c r="AE119" t="str">
        <f>IF(AND(data[[#This Row],[Age]]&gt;=18,data[[#This Row],[Age]]&lt;=24),"18-24",IF(AND(data[[#This Row],[Age]]&gt;=25,data[[#This Row],[Age]]&lt;=34),"25-34",IF(AND(data[[#This Row],[Age]]&gt;35,data[[#This Row],[Age]]&lt;=44),"35-44",IF(data[[#This Row],[Age]]&gt;44,"45+",IF(data[[#This Row],[Age]]&lt;18,"below 18 ")))))</f>
        <v>35-44</v>
      </c>
    </row>
    <row r="120" spans="1:31" x14ac:dyDescent="0.25">
      <c r="A120" t="s">
        <v>173</v>
      </c>
      <c r="B120">
        <v>30</v>
      </c>
      <c r="C120" t="s">
        <v>31</v>
      </c>
      <c r="D120" t="s">
        <v>39</v>
      </c>
      <c r="E120" t="s">
        <v>58</v>
      </c>
      <c r="F120" t="s">
        <v>59</v>
      </c>
      <c r="G120">
        <v>7.8</v>
      </c>
      <c r="H120">
        <v>4</v>
      </c>
      <c r="I120">
        <v>4</v>
      </c>
      <c r="J120" t="s">
        <v>42</v>
      </c>
      <c r="K120" t="s">
        <v>62</v>
      </c>
      <c r="L120">
        <v>5</v>
      </c>
      <c r="M120">
        <v>4.0999999999999996</v>
      </c>
      <c r="N120">
        <v>4</v>
      </c>
      <c r="O120">
        <v>7.5</v>
      </c>
      <c r="P120">
        <v>7.5</v>
      </c>
      <c r="Q120" t="s">
        <v>42</v>
      </c>
      <c r="R120" t="s">
        <v>35</v>
      </c>
      <c r="S120">
        <v>6.5</v>
      </c>
      <c r="T120">
        <v>4.9000000000000004</v>
      </c>
      <c r="V120">
        <v>6.4</v>
      </c>
      <c r="W120">
        <v>5</v>
      </c>
      <c r="X120">
        <v>8.6999999999999993</v>
      </c>
      <c r="Y120">
        <v>9.1</v>
      </c>
      <c r="Z120">
        <v>6.9</v>
      </c>
      <c r="AA120">
        <v>2.7</v>
      </c>
      <c r="AB120">
        <v>1.8</v>
      </c>
      <c r="AC120">
        <v>6.6</v>
      </c>
      <c r="AD120" t="s">
        <v>53</v>
      </c>
      <c r="AE120" t="str">
        <f>IF(AND(data[[#This Row],[Age]]&gt;=18,data[[#This Row],[Age]]&lt;=24),"18-24",IF(AND(data[[#This Row],[Age]]&gt;=25,data[[#This Row],[Age]]&lt;=34),"25-34",IF(AND(data[[#This Row],[Age]]&gt;35,data[[#This Row],[Age]]&lt;=44),"35-44",IF(data[[#This Row],[Age]]&gt;44,"45+",IF(data[[#This Row],[Age]]&lt;18,"below 18 ")))))</f>
        <v>25-34</v>
      </c>
    </row>
    <row r="121" spans="1:31" x14ac:dyDescent="0.25">
      <c r="A121" t="s">
        <v>174</v>
      </c>
      <c r="B121">
        <v>42</v>
      </c>
      <c r="C121" t="s">
        <v>50</v>
      </c>
      <c r="D121" t="s">
        <v>32</v>
      </c>
      <c r="E121" t="s">
        <v>58</v>
      </c>
      <c r="F121" t="s">
        <v>41</v>
      </c>
      <c r="G121">
        <v>4.9000000000000004</v>
      </c>
      <c r="H121">
        <v>1</v>
      </c>
      <c r="I121">
        <v>1</v>
      </c>
      <c r="J121" t="s">
        <v>35</v>
      </c>
      <c r="K121" t="s">
        <v>36</v>
      </c>
      <c r="L121">
        <v>66</v>
      </c>
      <c r="M121">
        <v>5.6</v>
      </c>
      <c r="N121">
        <v>8.6999999999999993</v>
      </c>
      <c r="O121">
        <v>8.1999999999999993</v>
      </c>
      <c r="P121">
        <v>10</v>
      </c>
      <c r="Q121" t="s">
        <v>35</v>
      </c>
      <c r="R121" t="s">
        <v>35</v>
      </c>
      <c r="S121">
        <v>7</v>
      </c>
      <c r="T121">
        <v>3.7</v>
      </c>
      <c r="U121">
        <v>5.2</v>
      </c>
      <c r="V121">
        <v>4.0999999999999996</v>
      </c>
      <c r="W121">
        <v>7.5</v>
      </c>
      <c r="X121">
        <v>6.8</v>
      </c>
      <c r="Y121">
        <v>5.3</v>
      </c>
      <c r="Z121">
        <v>0.6</v>
      </c>
      <c r="AA121">
        <v>0.4</v>
      </c>
      <c r="AB121">
        <v>0.7</v>
      </c>
      <c r="AC121">
        <v>4.3</v>
      </c>
      <c r="AD121" t="s">
        <v>43</v>
      </c>
      <c r="AE121" t="str">
        <f>IF(AND(data[[#This Row],[Age]]&gt;=18,data[[#This Row],[Age]]&lt;=24),"18-24",IF(AND(data[[#This Row],[Age]]&gt;=25,data[[#This Row],[Age]]&lt;=34),"25-34",IF(AND(data[[#This Row],[Age]]&gt;35,data[[#This Row],[Age]]&lt;=44),"35-44",IF(data[[#This Row],[Age]]&gt;44,"45+",IF(data[[#This Row],[Age]]&lt;18,"below 18 ")))))</f>
        <v>35-44</v>
      </c>
    </row>
    <row r="122" spans="1:31" x14ac:dyDescent="0.25">
      <c r="A122" t="s">
        <v>175</v>
      </c>
      <c r="B122">
        <v>18</v>
      </c>
      <c r="C122" t="s">
        <v>47</v>
      </c>
      <c r="D122" t="s">
        <v>32</v>
      </c>
      <c r="E122" t="s">
        <v>58</v>
      </c>
      <c r="F122" t="s">
        <v>41</v>
      </c>
      <c r="G122">
        <v>7.5</v>
      </c>
      <c r="H122">
        <v>3</v>
      </c>
      <c r="I122">
        <v>3</v>
      </c>
      <c r="J122" t="s">
        <v>35</v>
      </c>
      <c r="K122" t="s">
        <v>52</v>
      </c>
      <c r="L122">
        <v>95</v>
      </c>
      <c r="M122">
        <v>5.3</v>
      </c>
      <c r="N122">
        <v>3.4</v>
      </c>
      <c r="O122">
        <v>4.2</v>
      </c>
      <c r="P122">
        <v>5.2</v>
      </c>
      <c r="Q122" t="s">
        <v>35</v>
      </c>
      <c r="R122" t="s">
        <v>35</v>
      </c>
      <c r="S122">
        <v>6.1</v>
      </c>
      <c r="T122">
        <v>8.6999999999999993</v>
      </c>
      <c r="U122">
        <v>5</v>
      </c>
      <c r="V122">
        <v>5.9</v>
      </c>
      <c r="W122">
        <v>5.0999999999999996</v>
      </c>
      <c r="X122">
        <v>5.8</v>
      </c>
      <c r="Y122">
        <v>7.9</v>
      </c>
      <c r="Z122">
        <v>8</v>
      </c>
      <c r="AA122">
        <v>0.3</v>
      </c>
      <c r="AB122">
        <v>4</v>
      </c>
      <c r="AC122">
        <v>7.1</v>
      </c>
      <c r="AD122" t="s">
        <v>37</v>
      </c>
      <c r="AE122" t="str">
        <f>IF(AND(data[[#This Row],[Age]]&gt;=18,data[[#This Row],[Age]]&lt;=24),"18-24",IF(AND(data[[#This Row],[Age]]&gt;=25,data[[#This Row],[Age]]&lt;=34),"25-34",IF(AND(data[[#This Row],[Age]]&gt;35,data[[#This Row],[Age]]&lt;=44),"35-44",IF(data[[#This Row],[Age]]&gt;44,"45+",IF(data[[#This Row],[Age]]&lt;18,"below 18 ")))))</f>
        <v>18-24</v>
      </c>
    </row>
    <row r="123" spans="1:31" x14ac:dyDescent="0.25">
      <c r="A123" t="s">
        <v>176</v>
      </c>
      <c r="B123">
        <v>31</v>
      </c>
      <c r="C123" t="s">
        <v>31</v>
      </c>
      <c r="D123" t="s">
        <v>39</v>
      </c>
      <c r="E123" t="s">
        <v>58</v>
      </c>
      <c r="F123" t="s">
        <v>51</v>
      </c>
      <c r="G123">
        <v>1.2</v>
      </c>
      <c r="H123">
        <v>1</v>
      </c>
      <c r="I123">
        <v>4</v>
      </c>
      <c r="K123" t="s">
        <v>62</v>
      </c>
      <c r="L123">
        <v>33</v>
      </c>
      <c r="M123">
        <v>4.3</v>
      </c>
      <c r="N123">
        <v>2</v>
      </c>
      <c r="O123">
        <v>5.0999999999999996</v>
      </c>
      <c r="P123">
        <v>5</v>
      </c>
      <c r="Q123" t="s">
        <v>42</v>
      </c>
      <c r="R123" t="s">
        <v>35</v>
      </c>
      <c r="S123">
        <v>5.6</v>
      </c>
      <c r="T123">
        <v>3.2</v>
      </c>
      <c r="U123">
        <v>1.1000000000000001</v>
      </c>
      <c r="V123">
        <v>3.8</v>
      </c>
      <c r="W123">
        <v>4.5999999999999996</v>
      </c>
      <c r="X123">
        <v>4.9000000000000004</v>
      </c>
      <c r="Y123">
        <v>6.3</v>
      </c>
      <c r="Z123">
        <v>8.5</v>
      </c>
      <c r="AA123">
        <v>2.2999999999999998</v>
      </c>
      <c r="AB123">
        <v>1.7</v>
      </c>
      <c r="AC123">
        <v>8.1</v>
      </c>
      <c r="AD123" t="s">
        <v>37</v>
      </c>
      <c r="AE123" t="str">
        <f>IF(AND(data[[#This Row],[Age]]&gt;=18,data[[#This Row],[Age]]&lt;=24),"18-24",IF(AND(data[[#This Row],[Age]]&gt;=25,data[[#This Row],[Age]]&lt;=34),"25-34",IF(AND(data[[#This Row],[Age]]&gt;35,data[[#This Row],[Age]]&lt;=44),"35-44",IF(data[[#This Row],[Age]]&gt;44,"45+",IF(data[[#This Row],[Age]]&lt;18,"below 18 ")))))</f>
        <v>25-34</v>
      </c>
    </row>
    <row r="124" spans="1:31" x14ac:dyDescent="0.25">
      <c r="A124" t="s">
        <v>177</v>
      </c>
      <c r="B124">
        <v>19</v>
      </c>
      <c r="C124" t="s">
        <v>47</v>
      </c>
      <c r="D124" t="s">
        <v>39</v>
      </c>
      <c r="E124" t="s">
        <v>40</v>
      </c>
      <c r="F124" t="s">
        <v>59</v>
      </c>
      <c r="G124">
        <v>0.5</v>
      </c>
      <c r="H124">
        <v>1</v>
      </c>
      <c r="I124">
        <v>4</v>
      </c>
      <c r="J124" t="s">
        <v>35</v>
      </c>
      <c r="K124" t="s">
        <v>52</v>
      </c>
      <c r="L124">
        <v>46</v>
      </c>
      <c r="M124">
        <v>5.0999999999999996</v>
      </c>
      <c r="N124">
        <v>5.9</v>
      </c>
      <c r="O124">
        <v>4.7</v>
      </c>
      <c r="P124">
        <v>4</v>
      </c>
      <c r="Q124" t="s">
        <v>35</v>
      </c>
      <c r="R124" t="s">
        <v>42</v>
      </c>
      <c r="S124">
        <v>6.5</v>
      </c>
      <c r="T124">
        <v>4.7</v>
      </c>
      <c r="U124">
        <v>8</v>
      </c>
      <c r="V124">
        <v>7</v>
      </c>
      <c r="W124">
        <v>6.9</v>
      </c>
      <c r="X124">
        <v>6.4</v>
      </c>
      <c r="Y124">
        <v>6.1</v>
      </c>
      <c r="Z124">
        <v>6.7</v>
      </c>
      <c r="AA124">
        <v>5.0999999999999996</v>
      </c>
      <c r="AB124">
        <v>4.3</v>
      </c>
      <c r="AC124">
        <v>8</v>
      </c>
      <c r="AD124" t="s">
        <v>37</v>
      </c>
      <c r="AE124" t="str">
        <f>IF(AND(data[[#This Row],[Age]]&gt;=18,data[[#This Row],[Age]]&lt;=24),"18-24",IF(AND(data[[#This Row],[Age]]&gt;=25,data[[#This Row],[Age]]&lt;=34),"25-34",IF(AND(data[[#This Row],[Age]]&gt;35,data[[#This Row],[Age]]&lt;=44),"35-44",IF(data[[#This Row],[Age]]&gt;44,"45+",IF(data[[#This Row],[Age]]&lt;18,"below 18 ")))))</f>
        <v>18-24</v>
      </c>
    </row>
    <row r="125" spans="1:31" x14ac:dyDescent="0.25">
      <c r="A125" t="s">
        <v>178</v>
      </c>
      <c r="B125">
        <v>26</v>
      </c>
      <c r="C125" t="s">
        <v>31</v>
      </c>
      <c r="D125" t="s">
        <v>39</v>
      </c>
      <c r="E125" t="s">
        <v>40</v>
      </c>
      <c r="F125" t="s">
        <v>41</v>
      </c>
      <c r="G125">
        <v>5.2</v>
      </c>
      <c r="H125">
        <v>4</v>
      </c>
      <c r="I125">
        <v>4</v>
      </c>
      <c r="J125" t="s">
        <v>42</v>
      </c>
      <c r="K125" t="s">
        <v>52</v>
      </c>
      <c r="L125">
        <v>5</v>
      </c>
      <c r="M125">
        <v>2.6</v>
      </c>
      <c r="N125">
        <v>4.4000000000000004</v>
      </c>
      <c r="O125">
        <v>6.7</v>
      </c>
      <c r="P125">
        <v>4.7</v>
      </c>
      <c r="Q125" t="s">
        <v>42</v>
      </c>
      <c r="R125" t="s">
        <v>42</v>
      </c>
      <c r="S125">
        <v>4</v>
      </c>
      <c r="T125">
        <v>5.8</v>
      </c>
      <c r="U125">
        <v>1.4</v>
      </c>
      <c r="V125">
        <v>6.8</v>
      </c>
      <c r="W125">
        <v>5.6</v>
      </c>
      <c r="X125">
        <v>4.7</v>
      </c>
      <c r="Y125">
        <v>5.2</v>
      </c>
      <c r="Z125">
        <v>1.7</v>
      </c>
      <c r="AA125">
        <v>4.5</v>
      </c>
      <c r="AB125">
        <v>3.9</v>
      </c>
      <c r="AC125">
        <v>6.3</v>
      </c>
      <c r="AD125" t="s">
        <v>53</v>
      </c>
      <c r="AE125" t="str">
        <f>IF(AND(data[[#This Row],[Age]]&gt;=18,data[[#This Row],[Age]]&lt;=24),"18-24",IF(AND(data[[#This Row],[Age]]&gt;=25,data[[#This Row],[Age]]&lt;=34),"25-34",IF(AND(data[[#This Row],[Age]]&gt;35,data[[#This Row],[Age]]&lt;=44),"35-44",IF(data[[#This Row],[Age]]&gt;44,"45+",IF(data[[#This Row],[Age]]&lt;18,"below 18 ")))))</f>
        <v>25-34</v>
      </c>
    </row>
    <row r="126" spans="1:31" x14ac:dyDescent="0.25">
      <c r="A126" t="s">
        <v>179</v>
      </c>
      <c r="B126">
        <v>23</v>
      </c>
      <c r="C126" t="s">
        <v>31</v>
      </c>
      <c r="D126" t="s">
        <v>32</v>
      </c>
      <c r="E126" t="s">
        <v>40</v>
      </c>
      <c r="F126" t="s">
        <v>41</v>
      </c>
      <c r="G126">
        <v>2.7</v>
      </c>
      <c r="H126">
        <v>3</v>
      </c>
      <c r="I126">
        <v>4</v>
      </c>
      <c r="J126" t="s">
        <v>35</v>
      </c>
      <c r="K126" t="s">
        <v>36</v>
      </c>
      <c r="L126">
        <v>59</v>
      </c>
      <c r="M126">
        <v>6.1</v>
      </c>
      <c r="N126">
        <v>5.5</v>
      </c>
      <c r="O126">
        <v>4.5999999999999996</v>
      </c>
      <c r="P126">
        <v>4.3</v>
      </c>
      <c r="Q126" t="s">
        <v>42</v>
      </c>
      <c r="R126" t="s">
        <v>35</v>
      </c>
      <c r="S126">
        <v>6.1</v>
      </c>
      <c r="T126">
        <v>5.0999999999999996</v>
      </c>
      <c r="U126">
        <v>5.8</v>
      </c>
      <c r="V126">
        <v>2.6</v>
      </c>
      <c r="W126">
        <v>6.2</v>
      </c>
      <c r="X126">
        <v>5.8</v>
      </c>
      <c r="Y126">
        <v>7.3</v>
      </c>
      <c r="Z126">
        <v>6.5</v>
      </c>
      <c r="AA126">
        <v>5.0999999999999996</v>
      </c>
      <c r="AB126">
        <v>2.8</v>
      </c>
      <c r="AC126">
        <v>6.2</v>
      </c>
      <c r="AD126" t="s">
        <v>53</v>
      </c>
      <c r="AE126" t="str">
        <f>IF(AND(data[[#This Row],[Age]]&gt;=18,data[[#This Row],[Age]]&lt;=24),"18-24",IF(AND(data[[#This Row],[Age]]&gt;=25,data[[#This Row],[Age]]&lt;=34),"25-34",IF(AND(data[[#This Row],[Age]]&gt;35,data[[#This Row],[Age]]&lt;=44),"35-44",IF(data[[#This Row],[Age]]&gt;44,"45+",IF(data[[#This Row],[Age]]&lt;18,"below 18 ")))))</f>
        <v>18-24</v>
      </c>
    </row>
    <row r="127" spans="1:31" x14ac:dyDescent="0.25">
      <c r="A127" t="s">
        <v>180</v>
      </c>
      <c r="B127">
        <v>41</v>
      </c>
      <c r="C127" t="s">
        <v>47</v>
      </c>
      <c r="D127" t="s">
        <v>39</v>
      </c>
      <c r="E127" t="s">
        <v>40</v>
      </c>
      <c r="F127" t="s">
        <v>48</v>
      </c>
      <c r="G127">
        <v>4.9000000000000004</v>
      </c>
      <c r="H127">
        <v>3</v>
      </c>
      <c r="I127">
        <v>5</v>
      </c>
      <c r="J127" t="s">
        <v>35</v>
      </c>
      <c r="K127" t="s">
        <v>36</v>
      </c>
      <c r="L127">
        <v>70</v>
      </c>
      <c r="M127">
        <v>2.6</v>
      </c>
      <c r="N127">
        <v>4.0999999999999996</v>
      </c>
      <c r="O127">
        <v>4.4000000000000004</v>
      </c>
      <c r="P127">
        <v>1.2</v>
      </c>
      <c r="Q127" t="s">
        <v>35</v>
      </c>
      <c r="R127" t="s">
        <v>42</v>
      </c>
      <c r="S127">
        <v>4.9000000000000004</v>
      </c>
      <c r="T127">
        <v>4.8</v>
      </c>
      <c r="U127">
        <v>4.7</v>
      </c>
      <c r="V127">
        <v>8.1999999999999993</v>
      </c>
      <c r="W127">
        <v>5.3</v>
      </c>
      <c r="X127">
        <v>7.8</v>
      </c>
      <c r="Y127">
        <v>3.1</v>
      </c>
      <c r="Z127">
        <v>5.5</v>
      </c>
      <c r="AA127">
        <v>1</v>
      </c>
      <c r="AB127">
        <v>4.4000000000000004</v>
      </c>
      <c r="AC127">
        <v>8.1999999999999993</v>
      </c>
      <c r="AD127" t="s">
        <v>37</v>
      </c>
      <c r="AE127" t="str">
        <f>IF(AND(data[[#This Row],[Age]]&gt;=18,data[[#This Row],[Age]]&lt;=24),"18-24",IF(AND(data[[#This Row],[Age]]&gt;=25,data[[#This Row],[Age]]&lt;=34),"25-34",IF(AND(data[[#This Row],[Age]]&gt;35,data[[#This Row],[Age]]&lt;=44),"35-44",IF(data[[#This Row],[Age]]&gt;44,"45+",IF(data[[#This Row],[Age]]&lt;18,"below 18 ")))))</f>
        <v>35-44</v>
      </c>
    </row>
    <row r="128" spans="1:31" x14ac:dyDescent="0.25">
      <c r="A128" t="s">
        <v>181</v>
      </c>
      <c r="B128">
        <v>41</v>
      </c>
      <c r="C128" t="s">
        <v>47</v>
      </c>
      <c r="D128" t="s">
        <v>32</v>
      </c>
      <c r="E128" t="s">
        <v>58</v>
      </c>
      <c r="F128" t="s">
        <v>41</v>
      </c>
      <c r="G128">
        <v>2.9</v>
      </c>
      <c r="H128">
        <v>1</v>
      </c>
      <c r="I128">
        <v>3</v>
      </c>
      <c r="J128" t="s">
        <v>42</v>
      </c>
      <c r="K128" t="s">
        <v>52</v>
      </c>
      <c r="L128">
        <v>103</v>
      </c>
      <c r="M128">
        <v>5.3</v>
      </c>
      <c r="N128">
        <v>1.4</v>
      </c>
      <c r="O128">
        <v>9.6</v>
      </c>
      <c r="P128">
        <v>6.7</v>
      </c>
      <c r="Q128" t="s">
        <v>42</v>
      </c>
      <c r="R128" t="s">
        <v>42</v>
      </c>
      <c r="S128">
        <v>8.5</v>
      </c>
      <c r="T128">
        <v>4.4000000000000004</v>
      </c>
      <c r="U128">
        <v>6.7</v>
      </c>
      <c r="V128">
        <v>5.8</v>
      </c>
      <c r="W128">
        <v>4.5</v>
      </c>
      <c r="X128">
        <v>7</v>
      </c>
      <c r="Y128">
        <v>4</v>
      </c>
      <c r="Z128">
        <v>3.7</v>
      </c>
      <c r="AA128">
        <v>3.3</v>
      </c>
      <c r="AB128">
        <v>3.7</v>
      </c>
      <c r="AC128">
        <v>5.2</v>
      </c>
      <c r="AD128" t="s">
        <v>45</v>
      </c>
      <c r="AE128" t="str">
        <f>IF(AND(data[[#This Row],[Age]]&gt;=18,data[[#This Row],[Age]]&lt;=24),"18-24",IF(AND(data[[#This Row],[Age]]&gt;=25,data[[#This Row],[Age]]&lt;=34),"25-34",IF(AND(data[[#This Row],[Age]]&gt;35,data[[#This Row],[Age]]&lt;=44),"35-44",IF(data[[#This Row],[Age]]&gt;44,"45+",IF(data[[#This Row],[Age]]&lt;18,"below 18 ")))))</f>
        <v>35-44</v>
      </c>
    </row>
    <row r="129" spans="1:31" x14ac:dyDescent="0.25">
      <c r="A129" t="s">
        <v>182</v>
      </c>
      <c r="B129">
        <v>37</v>
      </c>
      <c r="C129" t="s">
        <v>31</v>
      </c>
      <c r="D129" t="s">
        <v>39</v>
      </c>
      <c r="E129" t="s">
        <v>58</v>
      </c>
      <c r="F129" t="s">
        <v>48</v>
      </c>
      <c r="G129">
        <v>6.3</v>
      </c>
      <c r="H129">
        <v>4</v>
      </c>
      <c r="I129">
        <v>4</v>
      </c>
      <c r="J129" t="s">
        <v>42</v>
      </c>
      <c r="K129" t="s">
        <v>52</v>
      </c>
      <c r="L129">
        <v>6</v>
      </c>
      <c r="M129">
        <v>4.3</v>
      </c>
      <c r="N129">
        <v>6.9</v>
      </c>
      <c r="O129">
        <v>4.3</v>
      </c>
      <c r="P129">
        <v>6.3</v>
      </c>
      <c r="Q129" t="s">
        <v>42</v>
      </c>
      <c r="R129" t="s">
        <v>35</v>
      </c>
      <c r="S129">
        <v>6.5</v>
      </c>
      <c r="T129">
        <v>3.4</v>
      </c>
      <c r="U129">
        <v>6.1</v>
      </c>
      <c r="V129">
        <v>0.3</v>
      </c>
      <c r="W129">
        <v>6.2</v>
      </c>
      <c r="X129">
        <v>6.5</v>
      </c>
      <c r="Z129">
        <v>2.2999999999999998</v>
      </c>
      <c r="AA129">
        <v>3.6</v>
      </c>
      <c r="AB129">
        <v>2.6</v>
      </c>
      <c r="AC129">
        <v>6.1</v>
      </c>
      <c r="AD129" t="s">
        <v>53</v>
      </c>
      <c r="AE129" t="str">
        <f>IF(AND(data[[#This Row],[Age]]&gt;=18,data[[#This Row],[Age]]&lt;=24),"18-24",IF(AND(data[[#This Row],[Age]]&gt;=25,data[[#This Row],[Age]]&lt;=34),"25-34",IF(AND(data[[#This Row],[Age]]&gt;35,data[[#This Row],[Age]]&lt;=44),"35-44",IF(data[[#This Row],[Age]]&gt;44,"45+",IF(data[[#This Row],[Age]]&lt;18,"below 18 ")))))</f>
        <v>35-44</v>
      </c>
    </row>
    <row r="130" spans="1:31" x14ac:dyDescent="0.25">
      <c r="A130" t="s">
        <v>183</v>
      </c>
      <c r="B130">
        <v>26</v>
      </c>
      <c r="C130" t="s">
        <v>31</v>
      </c>
      <c r="D130" t="s">
        <v>32</v>
      </c>
      <c r="E130" t="s">
        <v>40</v>
      </c>
      <c r="F130" t="s">
        <v>48</v>
      </c>
      <c r="G130">
        <v>3.8</v>
      </c>
      <c r="H130">
        <v>3</v>
      </c>
      <c r="I130">
        <v>4</v>
      </c>
      <c r="J130" t="s">
        <v>35</v>
      </c>
      <c r="K130" t="s">
        <v>62</v>
      </c>
      <c r="L130">
        <v>33</v>
      </c>
      <c r="M130">
        <v>4.8</v>
      </c>
      <c r="N130">
        <v>0.9</v>
      </c>
      <c r="O130">
        <v>2.1</v>
      </c>
      <c r="P130">
        <v>6.7</v>
      </c>
      <c r="Q130" t="s">
        <v>42</v>
      </c>
      <c r="R130" t="s">
        <v>42</v>
      </c>
      <c r="S130">
        <v>7.3</v>
      </c>
      <c r="T130">
        <v>0</v>
      </c>
      <c r="V130">
        <v>5.3</v>
      </c>
      <c r="W130">
        <v>6.3</v>
      </c>
      <c r="X130">
        <v>6.4</v>
      </c>
      <c r="Y130">
        <v>10</v>
      </c>
      <c r="Z130">
        <v>6.3</v>
      </c>
      <c r="AA130">
        <v>1</v>
      </c>
      <c r="AB130">
        <v>0</v>
      </c>
      <c r="AC130">
        <v>8.4</v>
      </c>
      <c r="AD130" t="s">
        <v>37</v>
      </c>
      <c r="AE130" t="str">
        <f>IF(AND(data[[#This Row],[Age]]&gt;=18,data[[#This Row],[Age]]&lt;=24),"18-24",IF(AND(data[[#This Row],[Age]]&gt;=25,data[[#This Row],[Age]]&lt;=34),"25-34",IF(AND(data[[#This Row],[Age]]&gt;35,data[[#This Row],[Age]]&lt;=44),"35-44",IF(data[[#This Row],[Age]]&gt;44,"45+",IF(data[[#This Row],[Age]]&lt;18,"below 18 ")))))</f>
        <v>25-34</v>
      </c>
    </row>
    <row r="131" spans="1:31" x14ac:dyDescent="0.25">
      <c r="A131" t="s">
        <v>184</v>
      </c>
      <c r="B131">
        <v>30</v>
      </c>
      <c r="C131" t="s">
        <v>47</v>
      </c>
      <c r="D131" t="s">
        <v>39</v>
      </c>
      <c r="E131" t="s">
        <v>40</v>
      </c>
      <c r="F131" t="s">
        <v>34</v>
      </c>
      <c r="G131">
        <v>4.2</v>
      </c>
      <c r="H131">
        <v>4</v>
      </c>
      <c r="I131">
        <v>7</v>
      </c>
      <c r="J131" t="s">
        <v>35</v>
      </c>
      <c r="K131" t="s">
        <v>52</v>
      </c>
      <c r="L131">
        <v>58</v>
      </c>
      <c r="M131">
        <v>4.5999999999999996</v>
      </c>
      <c r="N131">
        <v>5.0999999999999996</v>
      </c>
      <c r="O131">
        <v>6.9</v>
      </c>
      <c r="P131">
        <v>5.5</v>
      </c>
      <c r="Q131" t="s">
        <v>42</v>
      </c>
      <c r="R131" t="s">
        <v>35</v>
      </c>
      <c r="S131">
        <v>9.6</v>
      </c>
      <c r="T131">
        <v>3.3</v>
      </c>
      <c r="U131">
        <v>3</v>
      </c>
      <c r="V131">
        <v>9.4</v>
      </c>
      <c r="W131">
        <v>2.1</v>
      </c>
      <c r="X131">
        <v>6.7</v>
      </c>
      <c r="Y131">
        <v>3.7</v>
      </c>
      <c r="Z131">
        <v>7.7</v>
      </c>
      <c r="AA131">
        <v>0.5</v>
      </c>
      <c r="AB131">
        <v>0.4</v>
      </c>
      <c r="AC131">
        <v>8.1</v>
      </c>
      <c r="AD131" t="s">
        <v>37</v>
      </c>
      <c r="AE131" t="str">
        <f>IF(AND(data[[#This Row],[Age]]&gt;=18,data[[#This Row],[Age]]&lt;=24),"18-24",IF(AND(data[[#This Row],[Age]]&gt;=25,data[[#This Row],[Age]]&lt;=34),"25-34",IF(AND(data[[#This Row],[Age]]&gt;35,data[[#This Row],[Age]]&lt;=44),"35-44",IF(data[[#This Row],[Age]]&gt;44,"45+",IF(data[[#This Row],[Age]]&lt;18,"below 18 ")))))</f>
        <v>25-34</v>
      </c>
    </row>
    <row r="132" spans="1:31" x14ac:dyDescent="0.25">
      <c r="A132" t="s">
        <v>185</v>
      </c>
      <c r="B132">
        <v>38</v>
      </c>
      <c r="C132" t="s">
        <v>31</v>
      </c>
      <c r="D132" t="s">
        <v>64</v>
      </c>
      <c r="F132" t="s">
        <v>51</v>
      </c>
      <c r="G132">
        <v>5.6</v>
      </c>
      <c r="H132">
        <v>4</v>
      </c>
      <c r="I132">
        <v>2</v>
      </c>
      <c r="J132" t="s">
        <v>42</v>
      </c>
      <c r="K132" t="s">
        <v>36</v>
      </c>
      <c r="L132">
        <v>63</v>
      </c>
      <c r="M132">
        <v>8.3000000000000007</v>
      </c>
      <c r="N132">
        <v>3.3</v>
      </c>
      <c r="O132">
        <v>4.9000000000000004</v>
      </c>
      <c r="P132">
        <v>6.9</v>
      </c>
      <c r="Q132" t="s">
        <v>35</v>
      </c>
      <c r="R132" t="s">
        <v>35</v>
      </c>
      <c r="T132">
        <v>5.4</v>
      </c>
      <c r="U132">
        <v>3</v>
      </c>
      <c r="V132">
        <v>4.4000000000000004</v>
      </c>
      <c r="W132">
        <v>10</v>
      </c>
      <c r="Y132">
        <v>2.2999999999999998</v>
      </c>
      <c r="Z132">
        <v>7</v>
      </c>
      <c r="AA132">
        <v>3.8</v>
      </c>
      <c r="AB132">
        <v>3.3</v>
      </c>
      <c r="AC132">
        <v>5.8</v>
      </c>
      <c r="AD132" t="s">
        <v>45</v>
      </c>
      <c r="AE132" t="str">
        <f>IF(AND(data[[#This Row],[Age]]&gt;=18,data[[#This Row],[Age]]&lt;=24),"18-24",IF(AND(data[[#This Row],[Age]]&gt;=25,data[[#This Row],[Age]]&lt;=34),"25-34",IF(AND(data[[#This Row],[Age]]&gt;35,data[[#This Row],[Age]]&lt;=44),"35-44",IF(data[[#This Row],[Age]]&gt;44,"45+",IF(data[[#This Row],[Age]]&lt;18,"below 18 ")))))</f>
        <v>35-44</v>
      </c>
    </row>
    <row r="133" spans="1:31" x14ac:dyDescent="0.25">
      <c r="A133" t="s">
        <v>186</v>
      </c>
      <c r="B133">
        <v>28</v>
      </c>
      <c r="C133" t="s">
        <v>31</v>
      </c>
      <c r="D133" t="s">
        <v>39</v>
      </c>
      <c r="E133" t="s">
        <v>58</v>
      </c>
      <c r="F133" t="s">
        <v>34</v>
      </c>
      <c r="G133">
        <v>3.6</v>
      </c>
      <c r="H133">
        <v>1</v>
      </c>
      <c r="I133">
        <v>6</v>
      </c>
      <c r="J133" t="s">
        <v>35</v>
      </c>
      <c r="K133" t="s">
        <v>62</v>
      </c>
      <c r="L133">
        <v>80</v>
      </c>
      <c r="M133">
        <v>4.2</v>
      </c>
      <c r="N133">
        <v>6.6</v>
      </c>
      <c r="O133">
        <v>4.8</v>
      </c>
      <c r="P133">
        <v>2.1</v>
      </c>
      <c r="Q133" t="s">
        <v>42</v>
      </c>
      <c r="R133" t="s">
        <v>42</v>
      </c>
      <c r="S133">
        <v>10</v>
      </c>
      <c r="T133">
        <v>5.2</v>
      </c>
      <c r="U133">
        <v>4.8</v>
      </c>
      <c r="V133">
        <v>7.1</v>
      </c>
      <c r="W133">
        <v>5.9</v>
      </c>
      <c r="X133">
        <v>8</v>
      </c>
      <c r="Y133">
        <v>6.5</v>
      </c>
      <c r="Z133">
        <v>4.3</v>
      </c>
      <c r="AA133">
        <v>0.7</v>
      </c>
      <c r="AB133">
        <v>3.4</v>
      </c>
      <c r="AC133">
        <v>6.8</v>
      </c>
      <c r="AD133" t="s">
        <v>53</v>
      </c>
      <c r="AE133" t="str">
        <f>IF(AND(data[[#This Row],[Age]]&gt;=18,data[[#This Row],[Age]]&lt;=24),"18-24",IF(AND(data[[#This Row],[Age]]&gt;=25,data[[#This Row],[Age]]&lt;=34),"25-34",IF(AND(data[[#This Row],[Age]]&gt;35,data[[#This Row],[Age]]&lt;=44),"35-44",IF(data[[#This Row],[Age]]&gt;44,"45+",IF(data[[#This Row],[Age]]&lt;18,"below 18 ")))))</f>
        <v>25-34</v>
      </c>
    </row>
    <row r="134" spans="1:31" x14ac:dyDescent="0.25">
      <c r="A134" t="s">
        <v>187</v>
      </c>
      <c r="B134">
        <v>33</v>
      </c>
      <c r="C134" t="s">
        <v>31</v>
      </c>
      <c r="D134" t="s">
        <v>39</v>
      </c>
      <c r="E134" t="s">
        <v>40</v>
      </c>
      <c r="F134" t="s">
        <v>59</v>
      </c>
      <c r="H134">
        <v>4</v>
      </c>
      <c r="I134">
        <v>4</v>
      </c>
      <c r="J134" t="s">
        <v>35</v>
      </c>
      <c r="K134" t="s">
        <v>62</v>
      </c>
      <c r="L134">
        <v>116</v>
      </c>
      <c r="M134">
        <v>0</v>
      </c>
      <c r="N134">
        <v>5.5</v>
      </c>
      <c r="O134">
        <v>3.5</v>
      </c>
      <c r="P134">
        <v>3.4</v>
      </c>
      <c r="Q134" t="s">
        <v>42</v>
      </c>
      <c r="R134" t="s">
        <v>42</v>
      </c>
      <c r="S134">
        <v>8</v>
      </c>
      <c r="T134">
        <v>3.7</v>
      </c>
      <c r="U134">
        <v>2.7</v>
      </c>
      <c r="V134">
        <v>6.4</v>
      </c>
      <c r="W134">
        <v>9.3000000000000007</v>
      </c>
      <c r="X134">
        <v>6.6</v>
      </c>
      <c r="Y134">
        <v>8.6</v>
      </c>
      <c r="Z134">
        <v>9</v>
      </c>
      <c r="AA134">
        <v>2.4</v>
      </c>
      <c r="AB134">
        <v>1.8</v>
      </c>
      <c r="AC134">
        <v>7.5</v>
      </c>
      <c r="AD134" t="s">
        <v>37</v>
      </c>
      <c r="AE134" t="str">
        <f>IF(AND(data[[#This Row],[Age]]&gt;=18,data[[#This Row],[Age]]&lt;=24),"18-24",IF(AND(data[[#This Row],[Age]]&gt;=25,data[[#This Row],[Age]]&lt;=34),"25-34",IF(AND(data[[#This Row],[Age]]&gt;35,data[[#This Row],[Age]]&lt;=44),"35-44",IF(data[[#This Row],[Age]]&gt;44,"45+",IF(data[[#This Row],[Age]]&lt;18,"below 18 ")))))</f>
        <v>25-34</v>
      </c>
    </row>
    <row r="135" spans="1:31" x14ac:dyDescent="0.25">
      <c r="A135" t="s">
        <v>188</v>
      </c>
      <c r="B135">
        <v>22</v>
      </c>
      <c r="C135" t="s">
        <v>47</v>
      </c>
      <c r="D135" t="s">
        <v>64</v>
      </c>
      <c r="E135" t="s">
        <v>58</v>
      </c>
      <c r="F135" t="s">
        <v>41</v>
      </c>
      <c r="G135">
        <v>7.3</v>
      </c>
      <c r="H135">
        <v>3</v>
      </c>
      <c r="I135">
        <v>4</v>
      </c>
      <c r="J135" t="s">
        <v>35</v>
      </c>
      <c r="K135" t="s">
        <v>36</v>
      </c>
      <c r="L135">
        <v>60</v>
      </c>
      <c r="M135">
        <v>7.8</v>
      </c>
      <c r="N135">
        <v>3.5</v>
      </c>
      <c r="O135">
        <v>5.3</v>
      </c>
      <c r="P135">
        <v>3.2</v>
      </c>
      <c r="Q135" t="s">
        <v>35</v>
      </c>
      <c r="R135" t="s">
        <v>42</v>
      </c>
      <c r="S135">
        <v>3.7</v>
      </c>
      <c r="T135">
        <v>3.6</v>
      </c>
      <c r="U135">
        <v>2.4</v>
      </c>
      <c r="V135">
        <v>5.4</v>
      </c>
      <c r="W135">
        <v>5.5</v>
      </c>
      <c r="X135">
        <v>6.6</v>
      </c>
      <c r="Y135">
        <v>7</v>
      </c>
      <c r="Z135">
        <v>6.1</v>
      </c>
      <c r="AA135">
        <v>4.5</v>
      </c>
      <c r="AB135">
        <v>6</v>
      </c>
      <c r="AC135">
        <v>6.6</v>
      </c>
      <c r="AD135" t="s">
        <v>45</v>
      </c>
      <c r="AE135" t="str">
        <f>IF(AND(data[[#This Row],[Age]]&gt;=18,data[[#This Row],[Age]]&lt;=24),"18-24",IF(AND(data[[#This Row],[Age]]&gt;=25,data[[#This Row],[Age]]&lt;=34),"25-34",IF(AND(data[[#This Row],[Age]]&gt;35,data[[#This Row],[Age]]&lt;=44),"35-44",IF(data[[#This Row],[Age]]&gt;44,"45+",IF(data[[#This Row],[Age]]&lt;18,"below 18 ")))))</f>
        <v>18-24</v>
      </c>
    </row>
    <row r="136" spans="1:31" x14ac:dyDescent="0.25">
      <c r="A136" t="s">
        <v>189</v>
      </c>
      <c r="B136">
        <v>18</v>
      </c>
      <c r="C136" t="s">
        <v>31</v>
      </c>
      <c r="D136" t="s">
        <v>39</v>
      </c>
      <c r="E136" t="s">
        <v>58</v>
      </c>
      <c r="F136" t="s">
        <v>41</v>
      </c>
      <c r="G136">
        <v>4.4000000000000004</v>
      </c>
      <c r="H136">
        <v>2</v>
      </c>
      <c r="I136">
        <v>1</v>
      </c>
      <c r="J136" t="s">
        <v>35</v>
      </c>
      <c r="K136" t="s">
        <v>62</v>
      </c>
      <c r="L136">
        <v>88</v>
      </c>
      <c r="M136">
        <v>3.3</v>
      </c>
      <c r="N136">
        <v>4.9000000000000004</v>
      </c>
      <c r="O136">
        <v>3.6</v>
      </c>
      <c r="P136">
        <v>7.7</v>
      </c>
      <c r="Q136" t="s">
        <v>35</v>
      </c>
      <c r="R136" t="s">
        <v>35</v>
      </c>
      <c r="S136">
        <v>6.3</v>
      </c>
      <c r="T136">
        <v>6.5</v>
      </c>
      <c r="U136">
        <v>2.9</v>
      </c>
      <c r="V136">
        <v>4.8</v>
      </c>
      <c r="W136">
        <v>7.8</v>
      </c>
      <c r="X136">
        <v>6</v>
      </c>
      <c r="Y136">
        <v>5.3</v>
      </c>
      <c r="Z136">
        <v>3.8</v>
      </c>
      <c r="AA136">
        <v>3.4</v>
      </c>
      <c r="AB136">
        <v>0.1</v>
      </c>
      <c r="AC136">
        <v>7.4</v>
      </c>
      <c r="AD136" t="s">
        <v>37</v>
      </c>
      <c r="AE136" t="str">
        <f>IF(AND(data[[#This Row],[Age]]&gt;=18,data[[#This Row],[Age]]&lt;=24),"18-24",IF(AND(data[[#This Row],[Age]]&gt;=25,data[[#This Row],[Age]]&lt;=34),"25-34",IF(AND(data[[#This Row],[Age]]&gt;35,data[[#This Row],[Age]]&lt;=44),"35-44",IF(data[[#This Row],[Age]]&gt;44,"45+",IF(data[[#This Row],[Age]]&lt;18,"below 18 ")))))</f>
        <v>18-24</v>
      </c>
    </row>
    <row r="137" spans="1:31" x14ac:dyDescent="0.25">
      <c r="A137" t="s">
        <v>190</v>
      </c>
      <c r="B137">
        <v>44</v>
      </c>
      <c r="C137" t="s">
        <v>31</v>
      </c>
      <c r="D137" t="s">
        <v>32</v>
      </c>
      <c r="F137" t="s">
        <v>51</v>
      </c>
      <c r="G137">
        <v>5.0999999999999996</v>
      </c>
      <c r="H137">
        <v>4</v>
      </c>
      <c r="I137">
        <v>4</v>
      </c>
      <c r="J137" t="s">
        <v>35</v>
      </c>
      <c r="K137" t="s">
        <v>36</v>
      </c>
      <c r="L137">
        <v>28</v>
      </c>
      <c r="M137">
        <v>5.3</v>
      </c>
      <c r="N137">
        <v>7</v>
      </c>
      <c r="O137">
        <v>5.4</v>
      </c>
      <c r="P137">
        <v>4.4000000000000004</v>
      </c>
      <c r="Q137" t="s">
        <v>42</v>
      </c>
      <c r="R137" t="s">
        <v>42</v>
      </c>
      <c r="S137">
        <v>2.9</v>
      </c>
      <c r="T137">
        <v>10</v>
      </c>
      <c r="U137">
        <v>2.9</v>
      </c>
      <c r="V137">
        <v>2.2000000000000002</v>
      </c>
      <c r="W137">
        <v>5.2</v>
      </c>
      <c r="X137">
        <v>8.3000000000000007</v>
      </c>
      <c r="Y137">
        <v>4.2</v>
      </c>
      <c r="Z137">
        <v>10</v>
      </c>
      <c r="AB137">
        <v>4.2</v>
      </c>
      <c r="AC137">
        <v>6.6</v>
      </c>
      <c r="AD137" t="s">
        <v>53</v>
      </c>
      <c r="AE137" t="str">
        <f>IF(AND(data[[#This Row],[Age]]&gt;=18,data[[#This Row],[Age]]&lt;=24),"18-24",IF(AND(data[[#This Row],[Age]]&gt;=25,data[[#This Row],[Age]]&lt;=34),"25-34",IF(AND(data[[#This Row],[Age]]&gt;35,data[[#This Row],[Age]]&lt;=44),"35-44",IF(data[[#This Row],[Age]]&gt;44,"45+",IF(data[[#This Row],[Age]]&lt;18,"below 18 ")))))</f>
        <v>35-44</v>
      </c>
    </row>
    <row r="138" spans="1:31" x14ac:dyDescent="0.25">
      <c r="A138" t="s">
        <v>191</v>
      </c>
      <c r="B138">
        <v>27</v>
      </c>
      <c r="C138" t="s">
        <v>47</v>
      </c>
      <c r="D138" t="s">
        <v>39</v>
      </c>
      <c r="E138" t="s">
        <v>33</v>
      </c>
      <c r="F138" t="s">
        <v>34</v>
      </c>
      <c r="G138">
        <v>5.7</v>
      </c>
      <c r="H138">
        <v>3</v>
      </c>
      <c r="I138">
        <v>3</v>
      </c>
      <c r="J138" t="s">
        <v>35</v>
      </c>
      <c r="K138" t="s">
        <v>36</v>
      </c>
      <c r="L138">
        <v>81</v>
      </c>
      <c r="M138">
        <v>6.5</v>
      </c>
      <c r="N138">
        <v>4.9000000000000004</v>
      </c>
      <c r="O138">
        <v>5.6</v>
      </c>
      <c r="P138">
        <v>2.5</v>
      </c>
      <c r="Q138" t="s">
        <v>42</v>
      </c>
      <c r="R138" t="s">
        <v>35</v>
      </c>
      <c r="S138">
        <v>2.8</v>
      </c>
      <c r="T138">
        <v>3.6</v>
      </c>
      <c r="U138">
        <v>3.5</v>
      </c>
      <c r="V138">
        <v>7</v>
      </c>
      <c r="W138">
        <v>6.9</v>
      </c>
      <c r="X138">
        <v>7.3</v>
      </c>
      <c r="Y138">
        <v>7.3</v>
      </c>
      <c r="Z138">
        <v>8.3000000000000007</v>
      </c>
      <c r="AA138">
        <v>3.3</v>
      </c>
      <c r="AB138">
        <v>3.6</v>
      </c>
      <c r="AC138">
        <v>7.4</v>
      </c>
      <c r="AD138" t="s">
        <v>53</v>
      </c>
      <c r="AE138" t="str">
        <f>IF(AND(data[[#This Row],[Age]]&gt;=18,data[[#This Row],[Age]]&lt;=24),"18-24",IF(AND(data[[#This Row],[Age]]&gt;=25,data[[#This Row],[Age]]&lt;=34),"25-34",IF(AND(data[[#This Row],[Age]]&gt;35,data[[#This Row],[Age]]&lt;=44),"35-44",IF(data[[#This Row],[Age]]&gt;44,"45+",IF(data[[#This Row],[Age]]&lt;18,"below 18 ")))))</f>
        <v>25-34</v>
      </c>
    </row>
    <row r="139" spans="1:31" x14ac:dyDescent="0.25">
      <c r="A139" t="s">
        <v>192</v>
      </c>
      <c r="B139">
        <v>27</v>
      </c>
      <c r="C139" t="s">
        <v>47</v>
      </c>
      <c r="D139" t="s">
        <v>39</v>
      </c>
      <c r="E139" t="s">
        <v>33</v>
      </c>
      <c r="F139" t="s">
        <v>70</v>
      </c>
      <c r="G139">
        <v>4.8</v>
      </c>
      <c r="H139">
        <v>3</v>
      </c>
      <c r="I139">
        <v>2</v>
      </c>
      <c r="J139" t="s">
        <v>42</v>
      </c>
      <c r="K139" t="s">
        <v>36</v>
      </c>
      <c r="L139">
        <v>147</v>
      </c>
      <c r="M139">
        <v>6.4</v>
      </c>
      <c r="N139">
        <v>7.3</v>
      </c>
      <c r="O139">
        <v>6.2</v>
      </c>
      <c r="P139">
        <v>7.4</v>
      </c>
      <c r="Q139" t="s">
        <v>35</v>
      </c>
      <c r="R139" t="s">
        <v>42</v>
      </c>
      <c r="S139">
        <v>4.8</v>
      </c>
      <c r="T139">
        <v>5.9</v>
      </c>
      <c r="V139">
        <v>6.1</v>
      </c>
      <c r="W139">
        <v>5.5</v>
      </c>
      <c r="X139">
        <v>6.5</v>
      </c>
      <c r="Y139">
        <v>6.5</v>
      </c>
      <c r="Z139">
        <v>8.6</v>
      </c>
      <c r="AA139">
        <v>2.2000000000000002</v>
      </c>
      <c r="AB139">
        <v>1.5</v>
      </c>
      <c r="AC139">
        <v>4.0999999999999996</v>
      </c>
      <c r="AD139" t="s">
        <v>43</v>
      </c>
      <c r="AE139" t="str">
        <f>IF(AND(data[[#This Row],[Age]]&gt;=18,data[[#This Row],[Age]]&lt;=24),"18-24",IF(AND(data[[#This Row],[Age]]&gt;=25,data[[#This Row],[Age]]&lt;=34),"25-34",IF(AND(data[[#This Row],[Age]]&gt;35,data[[#This Row],[Age]]&lt;=44),"35-44",IF(data[[#This Row],[Age]]&gt;44,"45+",IF(data[[#This Row],[Age]]&lt;18,"below 18 ")))))</f>
        <v>25-34</v>
      </c>
    </row>
    <row r="140" spans="1:31" x14ac:dyDescent="0.25">
      <c r="A140" t="s">
        <v>193</v>
      </c>
      <c r="B140">
        <v>30</v>
      </c>
      <c r="C140" t="s">
        <v>31</v>
      </c>
      <c r="D140" t="s">
        <v>39</v>
      </c>
      <c r="E140" t="s">
        <v>58</v>
      </c>
      <c r="F140" t="s">
        <v>48</v>
      </c>
      <c r="G140">
        <v>5.7</v>
      </c>
      <c r="H140">
        <v>6</v>
      </c>
      <c r="I140">
        <v>4</v>
      </c>
      <c r="J140" t="s">
        <v>42</v>
      </c>
      <c r="K140" t="s">
        <v>36</v>
      </c>
      <c r="L140">
        <v>64</v>
      </c>
      <c r="M140">
        <v>4.5999999999999996</v>
      </c>
      <c r="N140">
        <v>3.7</v>
      </c>
      <c r="O140">
        <v>6</v>
      </c>
      <c r="P140">
        <v>2.1</v>
      </c>
      <c r="Q140" t="s">
        <v>42</v>
      </c>
      <c r="R140" t="s">
        <v>35</v>
      </c>
      <c r="S140">
        <v>9.1</v>
      </c>
      <c r="U140">
        <v>4.7</v>
      </c>
      <c r="V140">
        <v>7.9</v>
      </c>
      <c r="W140">
        <v>6.6</v>
      </c>
      <c r="X140">
        <v>5</v>
      </c>
      <c r="Y140">
        <v>5.4</v>
      </c>
      <c r="Z140">
        <v>6.3</v>
      </c>
      <c r="AA140">
        <v>2.5</v>
      </c>
      <c r="AB140">
        <v>3.2</v>
      </c>
      <c r="AC140">
        <v>6.6</v>
      </c>
      <c r="AD140" t="s">
        <v>53</v>
      </c>
      <c r="AE140" t="str">
        <f>IF(AND(data[[#This Row],[Age]]&gt;=18,data[[#This Row],[Age]]&lt;=24),"18-24",IF(AND(data[[#This Row],[Age]]&gt;=25,data[[#This Row],[Age]]&lt;=34),"25-34",IF(AND(data[[#This Row],[Age]]&gt;35,data[[#This Row],[Age]]&lt;=44),"35-44",IF(data[[#This Row],[Age]]&gt;44,"45+",IF(data[[#This Row],[Age]]&lt;18,"below 18 ")))))</f>
        <v>25-34</v>
      </c>
    </row>
    <row r="141" spans="1:31" x14ac:dyDescent="0.25">
      <c r="A141" t="s">
        <v>194</v>
      </c>
      <c r="B141">
        <v>44</v>
      </c>
      <c r="C141" t="s">
        <v>31</v>
      </c>
      <c r="D141" t="s">
        <v>39</v>
      </c>
      <c r="F141" t="s">
        <v>34</v>
      </c>
      <c r="G141">
        <v>8.6999999999999993</v>
      </c>
      <c r="H141">
        <v>2</v>
      </c>
      <c r="I141">
        <v>3</v>
      </c>
      <c r="J141" t="s">
        <v>42</v>
      </c>
      <c r="K141" t="s">
        <v>52</v>
      </c>
      <c r="L141">
        <v>39</v>
      </c>
      <c r="M141">
        <v>4.0999999999999996</v>
      </c>
      <c r="N141">
        <v>6.7</v>
      </c>
      <c r="O141">
        <v>3.7</v>
      </c>
      <c r="P141">
        <v>6.1</v>
      </c>
      <c r="Q141" t="s">
        <v>42</v>
      </c>
      <c r="R141" t="s">
        <v>35</v>
      </c>
      <c r="S141">
        <v>7.2</v>
      </c>
      <c r="T141">
        <v>7.5</v>
      </c>
      <c r="U141">
        <v>5</v>
      </c>
      <c r="V141">
        <v>8.3000000000000007</v>
      </c>
      <c r="W141">
        <v>4</v>
      </c>
      <c r="X141">
        <v>7.9</v>
      </c>
      <c r="Y141">
        <v>7</v>
      </c>
      <c r="Z141">
        <v>5.2</v>
      </c>
      <c r="AA141">
        <v>4.5</v>
      </c>
      <c r="AB141">
        <v>2.2000000000000002</v>
      </c>
      <c r="AC141">
        <v>5.8</v>
      </c>
      <c r="AD141" t="s">
        <v>45</v>
      </c>
      <c r="AE141" t="str">
        <f>IF(AND(data[[#This Row],[Age]]&gt;=18,data[[#This Row],[Age]]&lt;=24),"18-24",IF(AND(data[[#This Row],[Age]]&gt;=25,data[[#This Row],[Age]]&lt;=34),"25-34",IF(AND(data[[#This Row],[Age]]&gt;35,data[[#This Row],[Age]]&lt;=44),"35-44",IF(data[[#This Row],[Age]]&gt;44,"45+",IF(data[[#This Row],[Age]]&lt;18,"below 18 ")))))</f>
        <v>35-44</v>
      </c>
    </row>
    <row r="142" spans="1:31" x14ac:dyDescent="0.25">
      <c r="A142" t="s">
        <v>195</v>
      </c>
      <c r="B142">
        <v>23</v>
      </c>
      <c r="C142" t="s">
        <v>47</v>
      </c>
      <c r="D142" t="s">
        <v>32</v>
      </c>
      <c r="E142" t="s">
        <v>33</v>
      </c>
      <c r="F142" t="s">
        <v>48</v>
      </c>
      <c r="G142">
        <v>6.9</v>
      </c>
      <c r="H142">
        <v>5</v>
      </c>
      <c r="I142">
        <v>5</v>
      </c>
      <c r="J142" t="s">
        <v>35</v>
      </c>
      <c r="K142" t="s">
        <v>62</v>
      </c>
      <c r="L142">
        <v>80</v>
      </c>
      <c r="M142">
        <v>3.8</v>
      </c>
      <c r="N142">
        <v>5</v>
      </c>
      <c r="O142">
        <v>4.2</v>
      </c>
      <c r="P142">
        <v>5.3</v>
      </c>
      <c r="Q142" t="s">
        <v>42</v>
      </c>
      <c r="R142" t="s">
        <v>42</v>
      </c>
      <c r="S142">
        <v>3.9</v>
      </c>
      <c r="T142">
        <v>5.7</v>
      </c>
      <c r="U142">
        <v>6.2</v>
      </c>
      <c r="V142">
        <v>5.2</v>
      </c>
      <c r="W142">
        <v>3.8</v>
      </c>
      <c r="X142">
        <v>5.4</v>
      </c>
      <c r="Y142">
        <v>4.7</v>
      </c>
      <c r="Z142">
        <v>4.5999999999999996</v>
      </c>
      <c r="AA142">
        <v>1.4</v>
      </c>
      <c r="AB142">
        <v>3.1</v>
      </c>
      <c r="AC142">
        <v>6</v>
      </c>
      <c r="AD142" t="s">
        <v>53</v>
      </c>
      <c r="AE142" t="str">
        <f>IF(AND(data[[#This Row],[Age]]&gt;=18,data[[#This Row],[Age]]&lt;=24),"18-24",IF(AND(data[[#This Row],[Age]]&gt;=25,data[[#This Row],[Age]]&lt;=34),"25-34",IF(AND(data[[#This Row],[Age]]&gt;35,data[[#This Row],[Age]]&lt;=44),"35-44",IF(data[[#This Row],[Age]]&gt;44,"45+",IF(data[[#This Row],[Age]]&lt;18,"below 18 ")))))</f>
        <v>18-24</v>
      </c>
    </row>
    <row r="143" spans="1:31" x14ac:dyDescent="0.25">
      <c r="A143" t="s">
        <v>196</v>
      </c>
      <c r="B143">
        <v>37</v>
      </c>
      <c r="C143" t="s">
        <v>50</v>
      </c>
      <c r="D143" t="s">
        <v>39</v>
      </c>
      <c r="E143" t="s">
        <v>33</v>
      </c>
      <c r="F143" t="s">
        <v>51</v>
      </c>
      <c r="G143">
        <v>1.5</v>
      </c>
      <c r="H143">
        <v>3</v>
      </c>
      <c r="I143">
        <v>6</v>
      </c>
      <c r="J143" t="s">
        <v>42</v>
      </c>
      <c r="K143" t="s">
        <v>36</v>
      </c>
      <c r="L143">
        <v>20</v>
      </c>
      <c r="M143">
        <v>3.9</v>
      </c>
      <c r="N143">
        <v>7.4</v>
      </c>
      <c r="O143">
        <v>7.1</v>
      </c>
      <c r="P143">
        <v>4.7</v>
      </c>
      <c r="Q143" t="s">
        <v>35</v>
      </c>
      <c r="R143" t="s">
        <v>42</v>
      </c>
      <c r="S143">
        <v>7.7</v>
      </c>
      <c r="T143">
        <v>6.7</v>
      </c>
      <c r="U143">
        <v>4.0999999999999996</v>
      </c>
      <c r="V143">
        <v>4.8</v>
      </c>
      <c r="W143">
        <v>7.5</v>
      </c>
      <c r="X143">
        <v>6.8</v>
      </c>
      <c r="Y143">
        <v>0.3</v>
      </c>
      <c r="Z143">
        <v>7.1</v>
      </c>
      <c r="AA143">
        <v>3.7</v>
      </c>
      <c r="AB143">
        <v>5.4</v>
      </c>
      <c r="AC143">
        <v>6.1</v>
      </c>
      <c r="AD143" t="s">
        <v>53</v>
      </c>
      <c r="AE143" t="str">
        <f>IF(AND(data[[#This Row],[Age]]&gt;=18,data[[#This Row],[Age]]&lt;=24),"18-24",IF(AND(data[[#This Row],[Age]]&gt;=25,data[[#This Row],[Age]]&lt;=34),"25-34",IF(AND(data[[#This Row],[Age]]&gt;35,data[[#This Row],[Age]]&lt;=44),"35-44",IF(data[[#This Row],[Age]]&gt;44,"45+",IF(data[[#This Row],[Age]]&lt;18,"below 18 ")))))</f>
        <v>35-44</v>
      </c>
    </row>
    <row r="144" spans="1:31" x14ac:dyDescent="0.25">
      <c r="A144" t="s">
        <v>197</v>
      </c>
      <c r="B144">
        <v>21</v>
      </c>
      <c r="C144" t="s">
        <v>31</v>
      </c>
      <c r="D144" t="s">
        <v>32</v>
      </c>
      <c r="E144" t="s">
        <v>58</v>
      </c>
      <c r="F144" t="s">
        <v>48</v>
      </c>
      <c r="G144">
        <v>0.5</v>
      </c>
      <c r="H144">
        <v>3</v>
      </c>
      <c r="I144">
        <v>4</v>
      </c>
      <c r="J144" t="s">
        <v>42</v>
      </c>
      <c r="K144" t="s">
        <v>36</v>
      </c>
      <c r="L144">
        <v>147</v>
      </c>
      <c r="M144">
        <v>1.2</v>
      </c>
      <c r="N144">
        <v>3.8</v>
      </c>
      <c r="O144">
        <v>4.5</v>
      </c>
      <c r="P144">
        <v>7.3</v>
      </c>
      <c r="Q144" t="s">
        <v>35</v>
      </c>
      <c r="R144" t="s">
        <v>35</v>
      </c>
      <c r="S144">
        <v>5.8</v>
      </c>
      <c r="T144">
        <v>6.2</v>
      </c>
      <c r="U144">
        <v>4.7</v>
      </c>
      <c r="W144">
        <v>8</v>
      </c>
      <c r="X144">
        <v>5.8</v>
      </c>
      <c r="Y144">
        <v>9.6</v>
      </c>
      <c r="Z144">
        <v>4.9000000000000004</v>
      </c>
      <c r="AA144">
        <v>4</v>
      </c>
      <c r="AB144">
        <v>2.1</v>
      </c>
      <c r="AC144">
        <v>6.4</v>
      </c>
      <c r="AD144" t="s">
        <v>53</v>
      </c>
      <c r="AE144" t="str">
        <f>IF(AND(data[[#This Row],[Age]]&gt;=18,data[[#This Row],[Age]]&lt;=24),"18-24",IF(AND(data[[#This Row],[Age]]&gt;=25,data[[#This Row],[Age]]&lt;=34),"25-34",IF(AND(data[[#This Row],[Age]]&gt;35,data[[#This Row],[Age]]&lt;=44),"35-44",IF(data[[#This Row],[Age]]&gt;44,"45+",IF(data[[#This Row],[Age]]&lt;18,"below 18 ")))))</f>
        <v>18-24</v>
      </c>
    </row>
    <row r="145" spans="1:31" x14ac:dyDescent="0.25">
      <c r="A145" t="s">
        <v>198</v>
      </c>
      <c r="B145">
        <v>36</v>
      </c>
      <c r="C145" t="s">
        <v>47</v>
      </c>
      <c r="D145" t="s">
        <v>39</v>
      </c>
      <c r="E145" t="s">
        <v>58</v>
      </c>
      <c r="F145" t="s">
        <v>59</v>
      </c>
      <c r="G145">
        <v>2.7</v>
      </c>
      <c r="H145">
        <v>3</v>
      </c>
      <c r="I145">
        <v>2</v>
      </c>
      <c r="J145" t="s">
        <v>42</v>
      </c>
      <c r="K145" t="s">
        <v>36</v>
      </c>
      <c r="L145">
        <v>58</v>
      </c>
      <c r="M145">
        <v>5.7</v>
      </c>
      <c r="N145">
        <v>2.4</v>
      </c>
      <c r="O145">
        <v>7.4</v>
      </c>
      <c r="P145">
        <v>4.7</v>
      </c>
      <c r="Q145" t="s">
        <v>42</v>
      </c>
      <c r="R145" t="s">
        <v>35</v>
      </c>
      <c r="S145">
        <v>4.8</v>
      </c>
      <c r="T145">
        <v>3.7</v>
      </c>
      <c r="U145">
        <v>5.7</v>
      </c>
      <c r="V145">
        <v>5.9</v>
      </c>
      <c r="W145">
        <v>6.4</v>
      </c>
      <c r="X145">
        <v>8.6</v>
      </c>
      <c r="Y145">
        <v>4.4000000000000004</v>
      </c>
      <c r="Z145">
        <v>3.9</v>
      </c>
      <c r="AA145">
        <v>5.2</v>
      </c>
      <c r="AB145">
        <v>3.1</v>
      </c>
      <c r="AC145">
        <v>6.6</v>
      </c>
      <c r="AD145" t="s">
        <v>53</v>
      </c>
      <c r="AE145" t="str">
        <f>IF(AND(data[[#This Row],[Age]]&gt;=18,data[[#This Row],[Age]]&lt;=24),"18-24",IF(AND(data[[#This Row],[Age]]&gt;=25,data[[#This Row],[Age]]&lt;=34),"25-34",IF(AND(data[[#This Row],[Age]]&gt;35,data[[#This Row],[Age]]&lt;=44),"35-44",IF(data[[#This Row],[Age]]&gt;44,"45+",IF(data[[#This Row],[Age]]&lt;18,"below 18 ")))))</f>
        <v>35-44</v>
      </c>
    </row>
    <row r="146" spans="1:31" x14ac:dyDescent="0.25">
      <c r="A146" t="s">
        <v>199</v>
      </c>
      <c r="B146">
        <v>21</v>
      </c>
      <c r="C146" t="s">
        <v>31</v>
      </c>
      <c r="D146" t="s">
        <v>32</v>
      </c>
      <c r="E146" t="s">
        <v>40</v>
      </c>
      <c r="F146" t="s">
        <v>51</v>
      </c>
      <c r="G146">
        <v>0.5</v>
      </c>
      <c r="H146">
        <v>5</v>
      </c>
      <c r="I146">
        <v>5</v>
      </c>
      <c r="J146" t="s">
        <v>42</v>
      </c>
      <c r="K146" t="s">
        <v>36</v>
      </c>
      <c r="L146">
        <v>24</v>
      </c>
      <c r="M146">
        <v>6.7</v>
      </c>
      <c r="N146">
        <v>3.9</v>
      </c>
      <c r="O146">
        <v>5.0999999999999996</v>
      </c>
      <c r="P146">
        <v>6.8</v>
      </c>
      <c r="Q146" t="s">
        <v>42</v>
      </c>
      <c r="R146" t="s">
        <v>35</v>
      </c>
      <c r="S146">
        <v>7.9</v>
      </c>
      <c r="T146">
        <v>5.2</v>
      </c>
      <c r="U146">
        <v>3.1</v>
      </c>
      <c r="V146">
        <v>8</v>
      </c>
      <c r="W146">
        <v>7.5</v>
      </c>
      <c r="X146">
        <v>4.2</v>
      </c>
      <c r="Y146">
        <v>6.6</v>
      </c>
      <c r="Z146">
        <v>3.1</v>
      </c>
      <c r="AA146">
        <v>0.3</v>
      </c>
      <c r="AC146">
        <v>5.7</v>
      </c>
      <c r="AD146" t="s">
        <v>45</v>
      </c>
      <c r="AE146" t="str">
        <f>IF(AND(data[[#This Row],[Age]]&gt;=18,data[[#This Row],[Age]]&lt;=24),"18-24",IF(AND(data[[#This Row],[Age]]&gt;=25,data[[#This Row],[Age]]&lt;=34),"25-34",IF(AND(data[[#This Row],[Age]]&gt;35,data[[#This Row],[Age]]&lt;=44),"35-44",IF(data[[#This Row],[Age]]&gt;44,"45+",IF(data[[#This Row],[Age]]&lt;18,"below 18 ")))))</f>
        <v>18-24</v>
      </c>
    </row>
    <row r="147" spans="1:31" x14ac:dyDescent="0.25">
      <c r="A147" t="s">
        <v>200</v>
      </c>
      <c r="B147">
        <v>36</v>
      </c>
      <c r="C147" t="s">
        <v>47</v>
      </c>
      <c r="D147" t="s">
        <v>32</v>
      </c>
      <c r="E147" t="s">
        <v>33</v>
      </c>
      <c r="F147" t="s">
        <v>34</v>
      </c>
      <c r="G147">
        <v>0.5</v>
      </c>
      <c r="H147">
        <v>1</v>
      </c>
      <c r="I147">
        <v>4</v>
      </c>
      <c r="J147" t="s">
        <v>35</v>
      </c>
      <c r="K147" t="s">
        <v>62</v>
      </c>
      <c r="L147">
        <v>86</v>
      </c>
      <c r="M147">
        <v>4.0999999999999996</v>
      </c>
      <c r="N147">
        <v>7.7</v>
      </c>
      <c r="O147">
        <v>4.0999999999999996</v>
      </c>
      <c r="P147">
        <v>3.5</v>
      </c>
      <c r="Q147" t="s">
        <v>35</v>
      </c>
      <c r="R147" t="s">
        <v>42</v>
      </c>
      <c r="S147">
        <v>4.7</v>
      </c>
      <c r="T147">
        <v>4.9000000000000004</v>
      </c>
      <c r="U147">
        <v>0.8</v>
      </c>
      <c r="V147">
        <v>3.2</v>
      </c>
      <c r="W147">
        <v>3.8</v>
      </c>
      <c r="X147">
        <v>6.3</v>
      </c>
      <c r="Y147">
        <v>6.3</v>
      </c>
      <c r="Z147">
        <v>8.6</v>
      </c>
      <c r="AA147">
        <v>3.2</v>
      </c>
      <c r="AC147">
        <v>7.6</v>
      </c>
      <c r="AD147" t="s">
        <v>37</v>
      </c>
      <c r="AE147" t="str">
        <f>IF(AND(data[[#This Row],[Age]]&gt;=18,data[[#This Row],[Age]]&lt;=24),"18-24",IF(AND(data[[#This Row],[Age]]&gt;=25,data[[#This Row],[Age]]&lt;=34),"25-34",IF(AND(data[[#This Row],[Age]]&gt;35,data[[#This Row],[Age]]&lt;=44),"35-44",IF(data[[#This Row],[Age]]&gt;44,"45+",IF(data[[#This Row],[Age]]&lt;18,"below 18 ")))))</f>
        <v>35-44</v>
      </c>
    </row>
    <row r="148" spans="1:31" x14ac:dyDescent="0.25">
      <c r="A148" t="s">
        <v>201</v>
      </c>
      <c r="B148">
        <v>27</v>
      </c>
      <c r="C148" t="s">
        <v>47</v>
      </c>
      <c r="D148" t="s">
        <v>64</v>
      </c>
      <c r="E148" t="s">
        <v>58</v>
      </c>
      <c r="F148" t="s">
        <v>51</v>
      </c>
      <c r="G148">
        <v>2.2999999999999998</v>
      </c>
      <c r="H148">
        <v>2</v>
      </c>
      <c r="I148">
        <v>3</v>
      </c>
      <c r="J148" t="s">
        <v>35</v>
      </c>
      <c r="K148" t="s">
        <v>62</v>
      </c>
      <c r="L148">
        <v>22</v>
      </c>
      <c r="M148">
        <v>3.6</v>
      </c>
      <c r="N148">
        <v>6.8</v>
      </c>
      <c r="O148">
        <v>6.5</v>
      </c>
      <c r="P148">
        <v>5.7</v>
      </c>
      <c r="Q148" t="s">
        <v>35</v>
      </c>
      <c r="R148" t="s">
        <v>35</v>
      </c>
      <c r="S148">
        <v>0.9</v>
      </c>
      <c r="T148">
        <v>6.7</v>
      </c>
      <c r="U148">
        <v>4.3</v>
      </c>
      <c r="V148">
        <v>2</v>
      </c>
      <c r="W148">
        <v>2</v>
      </c>
      <c r="X148">
        <v>6.4</v>
      </c>
      <c r="Y148">
        <v>3.4</v>
      </c>
      <c r="Z148">
        <v>4.9000000000000004</v>
      </c>
      <c r="AA148">
        <v>2.4</v>
      </c>
      <c r="AB148">
        <v>3.5</v>
      </c>
      <c r="AC148">
        <v>6.3</v>
      </c>
      <c r="AD148" t="s">
        <v>53</v>
      </c>
      <c r="AE148" t="str">
        <f>IF(AND(data[[#This Row],[Age]]&gt;=18,data[[#This Row],[Age]]&lt;=24),"18-24",IF(AND(data[[#This Row],[Age]]&gt;=25,data[[#This Row],[Age]]&lt;=34),"25-34",IF(AND(data[[#This Row],[Age]]&gt;35,data[[#This Row],[Age]]&lt;=44),"35-44",IF(data[[#This Row],[Age]]&gt;44,"45+",IF(data[[#This Row],[Age]]&lt;18,"below 18 ")))))</f>
        <v>25-34</v>
      </c>
    </row>
    <row r="149" spans="1:31" x14ac:dyDescent="0.25">
      <c r="A149" t="s">
        <v>202</v>
      </c>
      <c r="B149">
        <v>42</v>
      </c>
      <c r="C149" t="s">
        <v>31</v>
      </c>
      <c r="D149" t="s">
        <v>32</v>
      </c>
      <c r="E149" t="s">
        <v>40</v>
      </c>
      <c r="F149" t="s">
        <v>51</v>
      </c>
      <c r="G149">
        <v>2.5</v>
      </c>
      <c r="H149">
        <v>1</v>
      </c>
      <c r="I149">
        <v>1</v>
      </c>
      <c r="J149" t="s">
        <v>42</v>
      </c>
      <c r="K149" t="s">
        <v>62</v>
      </c>
      <c r="L149">
        <v>41</v>
      </c>
      <c r="M149">
        <v>5.9</v>
      </c>
      <c r="N149">
        <v>4.3</v>
      </c>
      <c r="O149">
        <v>5.4</v>
      </c>
      <c r="P149">
        <v>4.4000000000000004</v>
      </c>
      <c r="Q149" t="s">
        <v>42</v>
      </c>
      <c r="R149" t="s">
        <v>35</v>
      </c>
      <c r="S149">
        <v>3.3</v>
      </c>
      <c r="T149">
        <v>0.2</v>
      </c>
      <c r="U149">
        <v>5.8</v>
      </c>
      <c r="V149">
        <v>6.7</v>
      </c>
      <c r="W149">
        <v>3.5</v>
      </c>
      <c r="X149">
        <v>7.2</v>
      </c>
      <c r="Y149">
        <v>7.9</v>
      </c>
      <c r="Z149">
        <v>5.8</v>
      </c>
      <c r="AA149">
        <v>2.2999999999999998</v>
      </c>
      <c r="AB149">
        <v>5.0999999999999996</v>
      </c>
      <c r="AC149">
        <v>7.8</v>
      </c>
      <c r="AD149" t="s">
        <v>37</v>
      </c>
      <c r="AE149" t="str">
        <f>IF(AND(data[[#This Row],[Age]]&gt;=18,data[[#This Row],[Age]]&lt;=24),"18-24",IF(AND(data[[#This Row],[Age]]&gt;=25,data[[#This Row],[Age]]&lt;=34),"25-34",IF(AND(data[[#This Row],[Age]]&gt;35,data[[#This Row],[Age]]&lt;=44),"35-44",IF(data[[#This Row],[Age]]&gt;44,"45+",IF(data[[#This Row],[Age]]&lt;18,"below 18 ")))))</f>
        <v>35-44</v>
      </c>
    </row>
    <row r="150" spans="1:31" x14ac:dyDescent="0.25">
      <c r="A150" t="s">
        <v>203</v>
      </c>
      <c r="B150">
        <v>22</v>
      </c>
      <c r="C150" t="s">
        <v>47</v>
      </c>
      <c r="D150" t="s">
        <v>39</v>
      </c>
      <c r="E150" t="s">
        <v>33</v>
      </c>
      <c r="F150" t="s">
        <v>70</v>
      </c>
      <c r="G150">
        <v>5</v>
      </c>
      <c r="H150">
        <v>2</v>
      </c>
      <c r="I150">
        <v>5</v>
      </c>
      <c r="J150" t="s">
        <v>35</v>
      </c>
      <c r="K150" t="s">
        <v>52</v>
      </c>
      <c r="L150">
        <v>97</v>
      </c>
      <c r="M150">
        <v>3</v>
      </c>
      <c r="N150">
        <v>4</v>
      </c>
      <c r="O150">
        <v>8.4</v>
      </c>
      <c r="P150">
        <v>6.1</v>
      </c>
      <c r="Q150" t="s">
        <v>35</v>
      </c>
      <c r="R150" t="s">
        <v>42</v>
      </c>
      <c r="S150">
        <v>3.6</v>
      </c>
      <c r="T150">
        <v>2.5</v>
      </c>
      <c r="U150">
        <v>5.7</v>
      </c>
      <c r="V150">
        <v>4.9000000000000004</v>
      </c>
      <c r="W150">
        <v>3.8</v>
      </c>
      <c r="X150">
        <v>8.6</v>
      </c>
      <c r="Y150">
        <v>8.1999999999999993</v>
      </c>
      <c r="Z150">
        <v>9.3000000000000007</v>
      </c>
      <c r="AA150">
        <v>3.5</v>
      </c>
      <c r="AB150">
        <v>2</v>
      </c>
      <c r="AC150">
        <v>5.5</v>
      </c>
      <c r="AD150" t="s">
        <v>53</v>
      </c>
      <c r="AE150" t="str">
        <f>IF(AND(data[[#This Row],[Age]]&gt;=18,data[[#This Row],[Age]]&lt;=24),"18-24",IF(AND(data[[#This Row],[Age]]&gt;=25,data[[#This Row],[Age]]&lt;=34),"25-34",IF(AND(data[[#This Row],[Age]]&gt;35,data[[#This Row],[Age]]&lt;=44),"35-44",IF(data[[#This Row],[Age]]&gt;44,"45+",IF(data[[#This Row],[Age]]&lt;18,"below 18 ")))))</f>
        <v>18-24</v>
      </c>
    </row>
    <row r="151" spans="1:31" x14ac:dyDescent="0.25">
      <c r="A151" t="s">
        <v>204</v>
      </c>
      <c r="B151">
        <v>32</v>
      </c>
      <c r="C151" t="s">
        <v>47</v>
      </c>
      <c r="D151" t="s">
        <v>39</v>
      </c>
      <c r="E151" t="s">
        <v>33</v>
      </c>
      <c r="F151" t="s">
        <v>59</v>
      </c>
      <c r="G151">
        <v>5.6</v>
      </c>
      <c r="H151">
        <v>5</v>
      </c>
      <c r="I151">
        <v>5</v>
      </c>
      <c r="J151" t="s">
        <v>35</v>
      </c>
      <c r="K151" t="s">
        <v>62</v>
      </c>
      <c r="L151">
        <v>35</v>
      </c>
      <c r="M151">
        <v>4.3</v>
      </c>
      <c r="N151">
        <v>7.9</v>
      </c>
      <c r="O151">
        <v>6.6</v>
      </c>
      <c r="P151">
        <v>5.4</v>
      </c>
      <c r="Q151" t="s">
        <v>35</v>
      </c>
      <c r="R151" t="s">
        <v>42</v>
      </c>
      <c r="S151">
        <v>5.6</v>
      </c>
      <c r="T151">
        <v>5.5</v>
      </c>
      <c r="U151">
        <v>2.5</v>
      </c>
      <c r="V151">
        <v>6.6</v>
      </c>
      <c r="W151">
        <v>5.5</v>
      </c>
      <c r="Y151">
        <v>2.6</v>
      </c>
      <c r="Z151">
        <v>4.3</v>
      </c>
      <c r="AA151">
        <v>1.6</v>
      </c>
      <c r="AB151">
        <v>2.8</v>
      </c>
      <c r="AC151">
        <v>7.4</v>
      </c>
      <c r="AD151" t="s">
        <v>53</v>
      </c>
      <c r="AE151" t="str">
        <f>IF(AND(data[[#This Row],[Age]]&gt;=18,data[[#This Row],[Age]]&lt;=24),"18-24",IF(AND(data[[#This Row],[Age]]&gt;=25,data[[#This Row],[Age]]&lt;=34),"25-34",IF(AND(data[[#This Row],[Age]]&gt;35,data[[#This Row],[Age]]&lt;=44),"35-44",IF(data[[#This Row],[Age]]&gt;44,"45+",IF(data[[#This Row],[Age]]&lt;18,"below 18 ")))))</f>
        <v>25-34</v>
      </c>
    </row>
    <row r="152" spans="1:31" x14ac:dyDescent="0.25">
      <c r="A152" t="s">
        <v>205</v>
      </c>
      <c r="B152">
        <v>25</v>
      </c>
      <c r="C152" t="s">
        <v>31</v>
      </c>
      <c r="D152" t="s">
        <v>32</v>
      </c>
      <c r="E152" t="s">
        <v>33</v>
      </c>
      <c r="F152" t="s">
        <v>34</v>
      </c>
      <c r="G152">
        <v>9.3000000000000007</v>
      </c>
      <c r="H152">
        <v>3</v>
      </c>
      <c r="I152">
        <v>4</v>
      </c>
      <c r="J152" t="s">
        <v>42</v>
      </c>
      <c r="K152" t="s">
        <v>52</v>
      </c>
      <c r="L152">
        <v>113</v>
      </c>
      <c r="M152">
        <v>1.8</v>
      </c>
      <c r="N152">
        <v>7.7</v>
      </c>
      <c r="O152">
        <v>7.6</v>
      </c>
      <c r="P152">
        <v>6.7</v>
      </c>
      <c r="Q152" t="s">
        <v>35</v>
      </c>
      <c r="R152" t="s">
        <v>35</v>
      </c>
      <c r="S152">
        <v>5.7</v>
      </c>
      <c r="T152">
        <v>1.7</v>
      </c>
      <c r="U152">
        <v>2</v>
      </c>
      <c r="V152">
        <v>5.7</v>
      </c>
      <c r="W152">
        <v>6.7</v>
      </c>
      <c r="X152">
        <v>5.5</v>
      </c>
      <c r="Y152">
        <v>4.8</v>
      </c>
      <c r="Z152">
        <v>7.1</v>
      </c>
      <c r="AA152">
        <v>0.2</v>
      </c>
      <c r="AB152">
        <v>4.5999999999999996</v>
      </c>
      <c r="AC152">
        <v>5.8</v>
      </c>
      <c r="AD152" t="s">
        <v>45</v>
      </c>
      <c r="AE152" t="str">
        <f>IF(AND(data[[#This Row],[Age]]&gt;=18,data[[#This Row],[Age]]&lt;=24),"18-24",IF(AND(data[[#This Row],[Age]]&gt;=25,data[[#This Row],[Age]]&lt;=34),"25-34",IF(AND(data[[#This Row],[Age]]&gt;35,data[[#This Row],[Age]]&lt;=44),"35-44",IF(data[[#This Row],[Age]]&gt;44,"45+",IF(data[[#This Row],[Age]]&lt;18,"below 18 ")))))</f>
        <v>25-34</v>
      </c>
    </row>
    <row r="153" spans="1:31" x14ac:dyDescent="0.25">
      <c r="A153" t="s">
        <v>206</v>
      </c>
      <c r="B153">
        <v>30</v>
      </c>
      <c r="C153" t="s">
        <v>31</v>
      </c>
      <c r="D153" t="s">
        <v>32</v>
      </c>
      <c r="E153" t="s">
        <v>58</v>
      </c>
      <c r="F153" t="s">
        <v>48</v>
      </c>
      <c r="G153">
        <v>3</v>
      </c>
      <c r="H153">
        <v>1</v>
      </c>
      <c r="I153">
        <v>5</v>
      </c>
      <c r="J153" t="s">
        <v>35</v>
      </c>
      <c r="K153" t="s">
        <v>52</v>
      </c>
      <c r="L153">
        <v>5</v>
      </c>
      <c r="M153">
        <v>8</v>
      </c>
      <c r="N153">
        <v>7.8</v>
      </c>
      <c r="O153">
        <v>4.3</v>
      </c>
      <c r="P153">
        <v>7.4</v>
      </c>
      <c r="Q153" t="s">
        <v>42</v>
      </c>
      <c r="R153" t="s">
        <v>35</v>
      </c>
      <c r="S153">
        <v>2.2000000000000002</v>
      </c>
      <c r="T153">
        <v>4.4000000000000004</v>
      </c>
      <c r="U153">
        <v>0</v>
      </c>
      <c r="V153">
        <v>7.2</v>
      </c>
      <c r="W153">
        <v>5.5</v>
      </c>
      <c r="X153">
        <v>7</v>
      </c>
      <c r="Y153">
        <v>4.8</v>
      </c>
      <c r="Z153">
        <v>4.7</v>
      </c>
      <c r="AA153">
        <v>0.9</v>
      </c>
      <c r="AB153">
        <v>3.7</v>
      </c>
      <c r="AC153">
        <v>7.9</v>
      </c>
      <c r="AD153" t="s">
        <v>37</v>
      </c>
      <c r="AE153" t="str">
        <f>IF(AND(data[[#This Row],[Age]]&gt;=18,data[[#This Row],[Age]]&lt;=24),"18-24",IF(AND(data[[#This Row],[Age]]&gt;=25,data[[#This Row],[Age]]&lt;=34),"25-34",IF(AND(data[[#This Row],[Age]]&gt;35,data[[#This Row],[Age]]&lt;=44),"35-44",IF(data[[#This Row],[Age]]&gt;44,"45+",IF(data[[#This Row],[Age]]&lt;18,"below 18 ")))))</f>
        <v>25-34</v>
      </c>
    </row>
    <row r="154" spans="1:31" x14ac:dyDescent="0.25">
      <c r="A154" t="s">
        <v>207</v>
      </c>
      <c r="B154">
        <v>20</v>
      </c>
      <c r="C154" t="s">
        <v>50</v>
      </c>
      <c r="D154" t="s">
        <v>39</v>
      </c>
      <c r="E154" t="s">
        <v>33</v>
      </c>
      <c r="F154" t="s">
        <v>70</v>
      </c>
      <c r="G154">
        <v>3.2</v>
      </c>
      <c r="H154">
        <v>5</v>
      </c>
      <c r="I154">
        <v>6</v>
      </c>
      <c r="J154" t="s">
        <v>35</v>
      </c>
      <c r="K154" t="s">
        <v>36</v>
      </c>
      <c r="L154">
        <v>34</v>
      </c>
      <c r="M154">
        <v>5.9</v>
      </c>
      <c r="N154">
        <v>3.3</v>
      </c>
      <c r="P154">
        <v>10</v>
      </c>
      <c r="Q154" t="s">
        <v>42</v>
      </c>
      <c r="R154" t="s">
        <v>42</v>
      </c>
      <c r="S154">
        <v>0</v>
      </c>
      <c r="T154">
        <v>5.4</v>
      </c>
      <c r="U154">
        <v>5.7</v>
      </c>
      <c r="V154">
        <v>1.8</v>
      </c>
      <c r="W154">
        <v>7.2</v>
      </c>
      <c r="X154">
        <v>4.7</v>
      </c>
      <c r="Y154">
        <v>7.9</v>
      </c>
      <c r="Z154">
        <v>3.3</v>
      </c>
      <c r="AA154">
        <v>4.0999999999999996</v>
      </c>
      <c r="AB154">
        <v>1.9</v>
      </c>
      <c r="AC154">
        <v>5.3</v>
      </c>
      <c r="AD154" t="s">
        <v>45</v>
      </c>
      <c r="AE154" t="str">
        <f>IF(AND(data[[#This Row],[Age]]&gt;=18,data[[#This Row],[Age]]&lt;=24),"18-24",IF(AND(data[[#This Row],[Age]]&gt;=25,data[[#This Row],[Age]]&lt;=34),"25-34",IF(AND(data[[#This Row],[Age]]&gt;35,data[[#This Row],[Age]]&lt;=44),"35-44",IF(data[[#This Row],[Age]]&gt;44,"45+",IF(data[[#This Row],[Age]]&lt;18,"below 18 ")))))</f>
        <v>18-24</v>
      </c>
    </row>
    <row r="155" spans="1:31" x14ac:dyDescent="0.25">
      <c r="A155" t="s">
        <v>208</v>
      </c>
      <c r="B155">
        <v>19</v>
      </c>
      <c r="C155" t="s">
        <v>47</v>
      </c>
      <c r="D155" t="s">
        <v>39</v>
      </c>
      <c r="E155" t="s">
        <v>58</v>
      </c>
      <c r="F155" t="s">
        <v>41</v>
      </c>
      <c r="G155">
        <v>5</v>
      </c>
      <c r="H155">
        <v>6</v>
      </c>
      <c r="I155">
        <v>5</v>
      </c>
      <c r="J155" t="s">
        <v>35</v>
      </c>
      <c r="K155" t="s">
        <v>62</v>
      </c>
      <c r="L155">
        <v>17</v>
      </c>
      <c r="M155">
        <v>1.2</v>
      </c>
      <c r="N155">
        <v>4.7</v>
      </c>
      <c r="O155">
        <v>7.7</v>
      </c>
      <c r="P155">
        <v>7.7</v>
      </c>
      <c r="Q155" t="s">
        <v>35</v>
      </c>
      <c r="R155" t="s">
        <v>35</v>
      </c>
      <c r="S155">
        <v>6.9</v>
      </c>
      <c r="T155">
        <v>3.2</v>
      </c>
      <c r="U155">
        <v>6.3</v>
      </c>
      <c r="V155">
        <v>4.5999999999999996</v>
      </c>
      <c r="W155">
        <v>5.4</v>
      </c>
      <c r="X155">
        <v>5.6</v>
      </c>
      <c r="Y155">
        <v>6.9</v>
      </c>
      <c r="Z155">
        <v>6</v>
      </c>
      <c r="AA155">
        <v>1.7</v>
      </c>
      <c r="AB155">
        <v>2.4</v>
      </c>
      <c r="AC155">
        <v>6.9</v>
      </c>
      <c r="AD155" t="s">
        <v>53</v>
      </c>
      <c r="AE155" t="str">
        <f>IF(AND(data[[#This Row],[Age]]&gt;=18,data[[#This Row],[Age]]&lt;=24),"18-24",IF(AND(data[[#This Row],[Age]]&gt;=25,data[[#This Row],[Age]]&lt;=34),"25-34",IF(AND(data[[#This Row],[Age]]&gt;35,data[[#This Row],[Age]]&lt;=44),"35-44",IF(data[[#This Row],[Age]]&gt;44,"45+",IF(data[[#This Row],[Age]]&lt;18,"below 18 ")))))</f>
        <v>18-24</v>
      </c>
    </row>
    <row r="156" spans="1:31" x14ac:dyDescent="0.25">
      <c r="A156" t="s">
        <v>209</v>
      </c>
      <c r="B156">
        <v>35</v>
      </c>
      <c r="C156" t="s">
        <v>47</v>
      </c>
      <c r="D156" t="s">
        <v>32</v>
      </c>
      <c r="E156" t="s">
        <v>33</v>
      </c>
      <c r="F156" t="s">
        <v>41</v>
      </c>
      <c r="G156">
        <v>6.9</v>
      </c>
      <c r="H156">
        <v>2</v>
      </c>
      <c r="I156">
        <v>3</v>
      </c>
      <c r="J156" t="s">
        <v>35</v>
      </c>
      <c r="K156" t="s">
        <v>36</v>
      </c>
      <c r="L156">
        <v>80</v>
      </c>
      <c r="M156">
        <v>4.0999999999999996</v>
      </c>
      <c r="N156">
        <v>5.2</v>
      </c>
      <c r="O156">
        <v>6.2</v>
      </c>
      <c r="P156">
        <v>6.2</v>
      </c>
      <c r="Q156" t="s">
        <v>42</v>
      </c>
      <c r="R156" t="s">
        <v>35</v>
      </c>
      <c r="S156">
        <v>1.3</v>
      </c>
      <c r="T156">
        <v>4.2</v>
      </c>
      <c r="U156">
        <v>2.9</v>
      </c>
      <c r="V156">
        <v>6.1</v>
      </c>
      <c r="W156">
        <v>1.8</v>
      </c>
      <c r="Y156">
        <v>5.6</v>
      </c>
      <c r="Z156">
        <v>5.6</v>
      </c>
      <c r="AA156">
        <v>4.2</v>
      </c>
      <c r="AB156">
        <v>2.6</v>
      </c>
      <c r="AC156">
        <v>7.3</v>
      </c>
      <c r="AD156" t="s">
        <v>53</v>
      </c>
      <c r="AE156" t="b">
        <f>IF(AND(data[[#This Row],[Age]]&gt;=18,data[[#This Row],[Age]]&lt;=24),"18-24",IF(AND(data[[#This Row],[Age]]&gt;=25,data[[#This Row],[Age]]&lt;=34),"25-34",IF(AND(data[[#This Row],[Age]]&gt;35,data[[#This Row],[Age]]&lt;=44),"35-44",IF(data[[#This Row],[Age]]&gt;44,"45+",IF(data[[#This Row],[Age]]&lt;18,"below 18 ")))))</f>
        <v>0</v>
      </c>
    </row>
    <row r="157" spans="1:31" x14ac:dyDescent="0.25">
      <c r="A157" t="s">
        <v>210</v>
      </c>
      <c r="B157">
        <v>24</v>
      </c>
      <c r="C157" t="s">
        <v>47</v>
      </c>
      <c r="D157" t="s">
        <v>32</v>
      </c>
      <c r="E157" t="s">
        <v>58</v>
      </c>
      <c r="F157" t="s">
        <v>70</v>
      </c>
      <c r="G157">
        <v>4</v>
      </c>
      <c r="H157">
        <v>2</v>
      </c>
      <c r="I157">
        <v>2</v>
      </c>
      <c r="J157" t="s">
        <v>42</v>
      </c>
      <c r="K157" t="s">
        <v>52</v>
      </c>
      <c r="L157">
        <v>85</v>
      </c>
      <c r="M157">
        <v>4.8</v>
      </c>
      <c r="N157">
        <v>5.6</v>
      </c>
      <c r="O157">
        <v>5.3</v>
      </c>
      <c r="P157">
        <v>6.5</v>
      </c>
      <c r="Q157" t="s">
        <v>35</v>
      </c>
      <c r="R157" t="s">
        <v>35</v>
      </c>
      <c r="S157">
        <v>4.5</v>
      </c>
      <c r="T157">
        <v>4.4000000000000004</v>
      </c>
      <c r="U157">
        <v>4</v>
      </c>
      <c r="W157">
        <v>2.9</v>
      </c>
      <c r="X157">
        <v>5.9</v>
      </c>
      <c r="Y157">
        <v>6.2</v>
      </c>
      <c r="Z157">
        <v>7.6</v>
      </c>
      <c r="AA157">
        <v>2.4</v>
      </c>
      <c r="AB157">
        <v>2.1</v>
      </c>
      <c r="AC157">
        <v>7.9</v>
      </c>
      <c r="AD157" t="s">
        <v>53</v>
      </c>
      <c r="AE157" t="str">
        <f>IF(AND(data[[#This Row],[Age]]&gt;=18,data[[#This Row],[Age]]&lt;=24),"18-24",IF(AND(data[[#This Row],[Age]]&gt;=25,data[[#This Row],[Age]]&lt;=34),"25-34",IF(AND(data[[#This Row],[Age]]&gt;35,data[[#This Row],[Age]]&lt;=44),"35-44",IF(data[[#This Row],[Age]]&gt;44,"45+",IF(data[[#This Row],[Age]]&lt;18,"below 18 ")))))</f>
        <v>18-24</v>
      </c>
    </row>
    <row r="158" spans="1:31" x14ac:dyDescent="0.25">
      <c r="A158" t="s">
        <v>211</v>
      </c>
      <c r="B158">
        <v>24</v>
      </c>
      <c r="C158" t="s">
        <v>31</v>
      </c>
      <c r="D158" t="s">
        <v>39</v>
      </c>
      <c r="E158" t="s">
        <v>40</v>
      </c>
      <c r="F158" t="s">
        <v>41</v>
      </c>
      <c r="G158">
        <v>2.6</v>
      </c>
      <c r="H158">
        <v>4</v>
      </c>
      <c r="I158">
        <v>6</v>
      </c>
      <c r="J158" t="s">
        <v>35</v>
      </c>
      <c r="K158" t="s">
        <v>62</v>
      </c>
      <c r="L158">
        <v>56</v>
      </c>
      <c r="M158">
        <v>3.1</v>
      </c>
      <c r="N158">
        <v>7.1</v>
      </c>
      <c r="P158">
        <v>6.3</v>
      </c>
      <c r="Q158" t="s">
        <v>35</v>
      </c>
      <c r="R158" t="s">
        <v>35</v>
      </c>
      <c r="S158">
        <v>4.4000000000000004</v>
      </c>
      <c r="T158">
        <v>6.8</v>
      </c>
      <c r="U158">
        <v>8.1</v>
      </c>
      <c r="V158">
        <v>6.4</v>
      </c>
      <c r="W158">
        <v>7.6</v>
      </c>
      <c r="X158">
        <v>6.5</v>
      </c>
      <c r="Z158">
        <v>7.6</v>
      </c>
      <c r="AB158">
        <v>4.2</v>
      </c>
      <c r="AC158">
        <v>7.4</v>
      </c>
      <c r="AD158" t="s">
        <v>37</v>
      </c>
      <c r="AE158" t="str">
        <f>IF(AND(data[[#This Row],[Age]]&gt;=18,data[[#This Row],[Age]]&lt;=24),"18-24",IF(AND(data[[#This Row],[Age]]&gt;=25,data[[#This Row],[Age]]&lt;=34),"25-34",IF(AND(data[[#This Row],[Age]]&gt;35,data[[#This Row],[Age]]&lt;=44),"35-44",IF(data[[#This Row],[Age]]&gt;44,"45+",IF(data[[#This Row],[Age]]&lt;18,"below 18 ")))))</f>
        <v>18-24</v>
      </c>
    </row>
    <row r="159" spans="1:31" x14ac:dyDescent="0.25">
      <c r="A159" t="s">
        <v>212</v>
      </c>
      <c r="B159">
        <v>44</v>
      </c>
      <c r="C159" t="s">
        <v>31</v>
      </c>
      <c r="D159" t="s">
        <v>39</v>
      </c>
      <c r="E159" t="s">
        <v>40</v>
      </c>
      <c r="F159" t="s">
        <v>51</v>
      </c>
      <c r="G159">
        <v>0.5</v>
      </c>
      <c r="H159">
        <v>1</v>
      </c>
      <c r="I159">
        <v>4</v>
      </c>
      <c r="J159" t="s">
        <v>35</v>
      </c>
      <c r="K159" t="s">
        <v>52</v>
      </c>
      <c r="L159">
        <v>113</v>
      </c>
      <c r="M159">
        <v>8.9</v>
      </c>
      <c r="N159">
        <v>6.9</v>
      </c>
      <c r="O159">
        <v>2.6</v>
      </c>
      <c r="P159">
        <v>5.9</v>
      </c>
      <c r="Q159" t="s">
        <v>35</v>
      </c>
      <c r="R159" t="s">
        <v>42</v>
      </c>
      <c r="S159">
        <v>4.8</v>
      </c>
      <c r="T159">
        <v>8.6999999999999993</v>
      </c>
      <c r="U159">
        <v>6.6</v>
      </c>
      <c r="V159">
        <v>6.1</v>
      </c>
      <c r="W159">
        <v>4.5999999999999996</v>
      </c>
      <c r="X159">
        <v>4</v>
      </c>
      <c r="Y159">
        <v>3.1</v>
      </c>
      <c r="Z159">
        <v>4.2</v>
      </c>
      <c r="AA159">
        <v>4.5</v>
      </c>
      <c r="AB159">
        <v>3.5</v>
      </c>
      <c r="AC159">
        <v>5.8</v>
      </c>
      <c r="AD159" t="s">
        <v>45</v>
      </c>
      <c r="AE159" t="str">
        <f>IF(AND(data[[#This Row],[Age]]&gt;=18,data[[#This Row],[Age]]&lt;=24),"18-24",IF(AND(data[[#This Row],[Age]]&gt;=25,data[[#This Row],[Age]]&lt;=34),"25-34",IF(AND(data[[#This Row],[Age]]&gt;35,data[[#This Row],[Age]]&lt;=44),"35-44",IF(data[[#This Row],[Age]]&gt;44,"45+",IF(data[[#This Row],[Age]]&lt;18,"below 18 ")))))</f>
        <v>35-44</v>
      </c>
    </row>
    <row r="160" spans="1:31" x14ac:dyDescent="0.25">
      <c r="A160" t="s">
        <v>213</v>
      </c>
      <c r="B160">
        <v>41</v>
      </c>
      <c r="C160" t="s">
        <v>50</v>
      </c>
      <c r="D160" t="s">
        <v>39</v>
      </c>
      <c r="E160" t="s">
        <v>33</v>
      </c>
      <c r="F160" t="s">
        <v>34</v>
      </c>
      <c r="G160">
        <v>6.4</v>
      </c>
      <c r="H160">
        <v>2</v>
      </c>
      <c r="I160">
        <v>6</v>
      </c>
      <c r="J160" t="s">
        <v>35</v>
      </c>
      <c r="K160" t="s">
        <v>36</v>
      </c>
      <c r="L160">
        <v>22</v>
      </c>
      <c r="M160">
        <v>3.6</v>
      </c>
      <c r="N160">
        <v>3.4</v>
      </c>
      <c r="O160">
        <v>6.6</v>
      </c>
      <c r="P160">
        <v>5</v>
      </c>
      <c r="Q160" t="s">
        <v>42</v>
      </c>
      <c r="R160" t="s">
        <v>35</v>
      </c>
      <c r="S160">
        <v>6</v>
      </c>
      <c r="T160">
        <v>7.9</v>
      </c>
      <c r="U160">
        <v>3.9</v>
      </c>
      <c r="V160">
        <v>5.4</v>
      </c>
      <c r="W160">
        <v>3.2</v>
      </c>
      <c r="X160">
        <v>4.9000000000000004</v>
      </c>
      <c r="Y160">
        <v>8.3000000000000007</v>
      </c>
      <c r="Z160">
        <v>6.4</v>
      </c>
      <c r="AA160">
        <v>0.4</v>
      </c>
      <c r="AB160">
        <v>1.7</v>
      </c>
      <c r="AC160">
        <v>6.8</v>
      </c>
      <c r="AD160" t="s">
        <v>53</v>
      </c>
      <c r="AE160" t="str">
        <f>IF(AND(data[[#This Row],[Age]]&gt;=18,data[[#This Row],[Age]]&lt;=24),"18-24",IF(AND(data[[#This Row],[Age]]&gt;=25,data[[#This Row],[Age]]&lt;=34),"25-34",IF(AND(data[[#This Row],[Age]]&gt;35,data[[#This Row],[Age]]&lt;=44),"35-44",IF(data[[#This Row],[Age]]&gt;44,"45+",IF(data[[#This Row],[Age]]&lt;18,"below 18 ")))))</f>
        <v>35-44</v>
      </c>
    </row>
    <row r="161" spans="1:31" x14ac:dyDescent="0.25">
      <c r="A161" t="s">
        <v>214</v>
      </c>
      <c r="B161">
        <v>15</v>
      </c>
      <c r="C161" t="s">
        <v>31</v>
      </c>
      <c r="D161" t="s">
        <v>64</v>
      </c>
      <c r="E161" t="s">
        <v>33</v>
      </c>
      <c r="F161" t="s">
        <v>41</v>
      </c>
      <c r="G161">
        <v>4</v>
      </c>
      <c r="H161">
        <v>3</v>
      </c>
      <c r="I161">
        <v>5</v>
      </c>
      <c r="J161" t="s">
        <v>35</v>
      </c>
      <c r="K161" t="s">
        <v>36</v>
      </c>
      <c r="L161">
        <v>68</v>
      </c>
      <c r="M161">
        <v>4.7</v>
      </c>
      <c r="N161">
        <v>6.1</v>
      </c>
      <c r="O161">
        <v>4.7</v>
      </c>
      <c r="P161">
        <v>6</v>
      </c>
      <c r="Q161" t="s">
        <v>42</v>
      </c>
      <c r="R161" t="s">
        <v>42</v>
      </c>
      <c r="S161">
        <v>3.5</v>
      </c>
      <c r="T161">
        <v>4.8</v>
      </c>
      <c r="U161">
        <v>4.7</v>
      </c>
      <c r="V161">
        <v>6.9</v>
      </c>
      <c r="W161">
        <v>7.7</v>
      </c>
      <c r="X161">
        <v>4.8</v>
      </c>
      <c r="Y161">
        <v>5.5</v>
      </c>
      <c r="Z161">
        <v>4.7</v>
      </c>
      <c r="AA161">
        <v>4.8</v>
      </c>
      <c r="AB161">
        <v>3.6</v>
      </c>
      <c r="AC161">
        <v>6</v>
      </c>
      <c r="AD161" t="s">
        <v>45</v>
      </c>
      <c r="AE161" t="str">
        <f>IF(AND(data[[#This Row],[Age]]&gt;=18,data[[#This Row],[Age]]&lt;=24),"18-24",IF(AND(data[[#This Row],[Age]]&gt;=25,data[[#This Row],[Age]]&lt;=34),"25-34",IF(AND(data[[#This Row],[Age]]&gt;35,data[[#This Row],[Age]]&lt;=44),"35-44",IF(data[[#This Row],[Age]]&gt;44,"45+",IF(data[[#This Row],[Age]]&lt;18,"below 18 ")))))</f>
        <v xml:space="preserve">below 18 </v>
      </c>
    </row>
    <row r="162" spans="1:31" x14ac:dyDescent="0.25">
      <c r="A162" t="s">
        <v>215</v>
      </c>
      <c r="B162">
        <v>43</v>
      </c>
      <c r="C162" t="s">
        <v>50</v>
      </c>
      <c r="D162" t="s">
        <v>39</v>
      </c>
      <c r="E162" t="s">
        <v>40</v>
      </c>
      <c r="F162" t="s">
        <v>70</v>
      </c>
      <c r="G162">
        <v>7.9</v>
      </c>
      <c r="H162">
        <v>2</v>
      </c>
      <c r="I162">
        <v>3</v>
      </c>
      <c r="J162" t="s">
        <v>35</v>
      </c>
      <c r="K162" t="s">
        <v>62</v>
      </c>
      <c r="L162">
        <v>33</v>
      </c>
      <c r="M162">
        <v>3.9</v>
      </c>
      <c r="N162">
        <v>5.4</v>
      </c>
      <c r="O162">
        <v>3.4</v>
      </c>
      <c r="P162">
        <v>7.5</v>
      </c>
      <c r="Q162" t="s">
        <v>42</v>
      </c>
      <c r="R162" t="s">
        <v>42</v>
      </c>
      <c r="S162">
        <v>4.9000000000000004</v>
      </c>
      <c r="T162">
        <v>6.3</v>
      </c>
      <c r="U162">
        <v>6.7</v>
      </c>
      <c r="V162">
        <v>5.5</v>
      </c>
      <c r="W162">
        <v>4.8</v>
      </c>
      <c r="X162">
        <v>5.9</v>
      </c>
      <c r="Y162">
        <v>3.4</v>
      </c>
      <c r="Z162">
        <v>6.3</v>
      </c>
      <c r="AA162">
        <v>3.4</v>
      </c>
      <c r="AB162">
        <v>5.2</v>
      </c>
      <c r="AC162">
        <v>7.7</v>
      </c>
      <c r="AD162" t="s">
        <v>37</v>
      </c>
      <c r="AE162" t="str">
        <f>IF(AND(data[[#This Row],[Age]]&gt;=18,data[[#This Row],[Age]]&lt;=24),"18-24",IF(AND(data[[#This Row],[Age]]&gt;=25,data[[#This Row],[Age]]&lt;=34),"25-34",IF(AND(data[[#This Row],[Age]]&gt;35,data[[#This Row],[Age]]&lt;=44),"35-44",IF(data[[#This Row],[Age]]&gt;44,"45+",IF(data[[#This Row],[Age]]&lt;18,"below 18 ")))))</f>
        <v>35-44</v>
      </c>
    </row>
    <row r="163" spans="1:31" x14ac:dyDescent="0.25">
      <c r="A163" t="s">
        <v>216</v>
      </c>
      <c r="B163">
        <v>37</v>
      </c>
      <c r="C163" t="s">
        <v>47</v>
      </c>
      <c r="D163" t="s">
        <v>64</v>
      </c>
      <c r="E163" t="s">
        <v>33</v>
      </c>
      <c r="F163" t="s">
        <v>51</v>
      </c>
      <c r="G163">
        <v>8.5</v>
      </c>
      <c r="H163">
        <v>2</v>
      </c>
      <c r="I163">
        <v>3</v>
      </c>
      <c r="J163" t="s">
        <v>35</v>
      </c>
      <c r="K163" t="s">
        <v>36</v>
      </c>
      <c r="L163">
        <v>10</v>
      </c>
      <c r="M163">
        <v>5.9</v>
      </c>
      <c r="N163">
        <v>3.2</v>
      </c>
      <c r="O163">
        <v>2.9</v>
      </c>
      <c r="P163">
        <v>5.2</v>
      </c>
      <c r="Q163" t="s">
        <v>42</v>
      </c>
      <c r="R163" t="s">
        <v>42</v>
      </c>
      <c r="S163">
        <v>5.2</v>
      </c>
      <c r="T163">
        <v>4.9000000000000004</v>
      </c>
      <c r="U163">
        <v>7.7</v>
      </c>
      <c r="V163">
        <v>4.2</v>
      </c>
      <c r="W163">
        <v>7.4</v>
      </c>
      <c r="X163">
        <v>6.3</v>
      </c>
      <c r="Y163">
        <v>4.7</v>
      </c>
      <c r="Z163">
        <v>7.3</v>
      </c>
      <c r="AB163">
        <v>2.1</v>
      </c>
      <c r="AC163">
        <v>6.1</v>
      </c>
      <c r="AD163" t="s">
        <v>45</v>
      </c>
      <c r="AE163" t="str">
        <f>IF(AND(data[[#This Row],[Age]]&gt;=18,data[[#This Row],[Age]]&lt;=24),"18-24",IF(AND(data[[#This Row],[Age]]&gt;=25,data[[#This Row],[Age]]&lt;=34),"25-34",IF(AND(data[[#This Row],[Age]]&gt;35,data[[#This Row],[Age]]&lt;=44),"35-44",IF(data[[#This Row],[Age]]&gt;44,"45+",IF(data[[#This Row],[Age]]&lt;18,"below 18 ")))))</f>
        <v>35-44</v>
      </c>
    </row>
    <row r="164" spans="1:31" x14ac:dyDescent="0.25">
      <c r="A164" t="s">
        <v>217</v>
      </c>
      <c r="B164">
        <v>17</v>
      </c>
      <c r="C164" t="s">
        <v>47</v>
      </c>
      <c r="D164" t="s">
        <v>64</v>
      </c>
      <c r="E164" t="s">
        <v>33</v>
      </c>
      <c r="F164" t="s">
        <v>34</v>
      </c>
      <c r="G164">
        <v>8.6999999999999993</v>
      </c>
      <c r="H164">
        <v>6</v>
      </c>
      <c r="I164">
        <v>1</v>
      </c>
      <c r="J164" t="s">
        <v>35</v>
      </c>
      <c r="K164" t="s">
        <v>36</v>
      </c>
      <c r="L164">
        <v>20</v>
      </c>
      <c r="M164">
        <v>4.5</v>
      </c>
      <c r="N164">
        <v>5.6</v>
      </c>
      <c r="O164">
        <v>4</v>
      </c>
      <c r="P164">
        <v>3.5</v>
      </c>
      <c r="Q164" t="s">
        <v>42</v>
      </c>
      <c r="R164" t="s">
        <v>35</v>
      </c>
      <c r="S164">
        <v>5.4</v>
      </c>
      <c r="T164">
        <v>1.9</v>
      </c>
      <c r="U164">
        <v>2.2999999999999998</v>
      </c>
      <c r="W164">
        <v>7.8</v>
      </c>
      <c r="X164">
        <v>6</v>
      </c>
      <c r="Y164">
        <v>7.6</v>
      </c>
      <c r="Z164">
        <v>5.3</v>
      </c>
      <c r="AA164">
        <v>0</v>
      </c>
      <c r="AB164">
        <v>2</v>
      </c>
      <c r="AC164">
        <v>7.3</v>
      </c>
      <c r="AD164" t="s">
        <v>53</v>
      </c>
      <c r="AE164" t="str">
        <f>IF(AND(data[[#This Row],[Age]]&gt;=18,data[[#This Row],[Age]]&lt;=24),"18-24",IF(AND(data[[#This Row],[Age]]&gt;=25,data[[#This Row],[Age]]&lt;=34),"25-34",IF(AND(data[[#This Row],[Age]]&gt;35,data[[#This Row],[Age]]&lt;=44),"35-44",IF(data[[#This Row],[Age]]&gt;44,"45+",IF(data[[#This Row],[Age]]&lt;18,"below 18 ")))))</f>
        <v xml:space="preserve">below 18 </v>
      </c>
    </row>
    <row r="165" spans="1:31" x14ac:dyDescent="0.25">
      <c r="A165" t="s">
        <v>218</v>
      </c>
      <c r="B165">
        <v>27</v>
      </c>
      <c r="C165" t="s">
        <v>31</v>
      </c>
      <c r="D165" t="s">
        <v>39</v>
      </c>
      <c r="E165" t="s">
        <v>58</v>
      </c>
      <c r="F165" t="s">
        <v>48</v>
      </c>
      <c r="G165">
        <v>5.6</v>
      </c>
      <c r="H165">
        <v>3</v>
      </c>
      <c r="I165">
        <v>8</v>
      </c>
      <c r="J165" t="s">
        <v>42</v>
      </c>
      <c r="K165" t="s">
        <v>36</v>
      </c>
      <c r="L165">
        <v>102</v>
      </c>
      <c r="M165">
        <v>5.6</v>
      </c>
      <c r="N165">
        <v>4.5</v>
      </c>
      <c r="O165">
        <v>3.9</v>
      </c>
      <c r="P165">
        <v>3.4</v>
      </c>
      <c r="Q165" t="s">
        <v>42</v>
      </c>
      <c r="R165" t="s">
        <v>35</v>
      </c>
      <c r="S165">
        <v>7.8</v>
      </c>
      <c r="T165">
        <v>3.3</v>
      </c>
      <c r="U165">
        <v>4.8</v>
      </c>
      <c r="V165">
        <v>7.1</v>
      </c>
      <c r="W165">
        <v>6.7</v>
      </c>
      <c r="X165">
        <v>7.2</v>
      </c>
      <c r="Y165">
        <v>7.6</v>
      </c>
      <c r="Z165">
        <v>1.3</v>
      </c>
      <c r="AA165">
        <v>3.8</v>
      </c>
      <c r="AB165">
        <v>2</v>
      </c>
      <c r="AC165">
        <v>5.6</v>
      </c>
      <c r="AD165" t="s">
        <v>45</v>
      </c>
      <c r="AE165" t="str">
        <f>IF(AND(data[[#This Row],[Age]]&gt;=18,data[[#This Row],[Age]]&lt;=24),"18-24",IF(AND(data[[#This Row],[Age]]&gt;=25,data[[#This Row],[Age]]&lt;=34),"25-34",IF(AND(data[[#This Row],[Age]]&gt;35,data[[#This Row],[Age]]&lt;=44),"35-44",IF(data[[#This Row],[Age]]&gt;44,"45+",IF(data[[#This Row],[Age]]&lt;18,"below 18 ")))))</f>
        <v>25-34</v>
      </c>
    </row>
    <row r="166" spans="1:31" x14ac:dyDescent="0.25">
      <c r="A166" t="s">
        <v>219</v>
      </c>
      <c r="B166">
        <v>21</v>
      </c>
      <c r="C166" t="s">
        <v>31</v>
      </c>
      <c r="D166" t="s">
        <v>64</v>
      </c>
      <c r="E166" t="s">
        <v>33</v>
      </c>
      <c r="F166" t="s">
        <v>51</v>
      </c>
      <c r="G166">
        <v>6.5</v>
      </c>
      <c r="H166">
        <v>4</v>
      </c>
      <c r="I166">
        <v>1</v>
      </c>
      <c r="J166" t="s">
        <v>35</v>
      </c>
      <c r="K166" t="s">
        <v>36</v>
      </c>
      <c r="L166">
        <v>91</v>
      </c>
      <c r="M166">
        <v>8</v>
      </c>
      <c r="N166">
        <v>7.8</v>
      </c>
      <c r="O166">
        <v>5.3</v>
      </c>
      <c r="P166">
        <v>6.3</v>
      </c>
      <c r="Q166" t="s">
        <v>42</v>
      </c>
      <c r="R166" t="s">
        <v>42</v>
      </c>
      <c r="S166">
        <v>6.6</v>
      </c>
      <c r="T166">
        <v>1.2</v>
      </c>
      <c r="V166">
        <v>6.6</v>
      </c>
      <c r="W166">
        <v>3.1</v>
      </c>
      <c r="X166">
        <v>8.1</v>
      </c>
      <c r="Z166">
        <v>5.6</v>
      </c>
      <c r="AA166">
        <v>5.6</v>
      </c>
      <c r="AB166">
        <v>4.0999999999999996</v>
      </c>
      <c r="AC166">
        <v>3.2</v>
      </c>
      <c r="AD166" t="s">
        <v>43</v>
      </c>
      <c r="AE166" t="str">
        <f>IF(AND(data[[#This Row],[Age]]&gt;=18,data[[#This Row],[Age]]&lt;=24),"18-24",IF(AND(data[[#This Row],[Age]]&gt;=25,data[[#This Row],[Age]]&lt;=34),"25-34",IF(AND(data[[#This Row],[Age]]&gt;35,data[[#This Row],[Age]]&lt;=44),"35-44",IF(data[[#This Row],[Age]]&gt;44,"45+",IF(data[[#This Row],[Age]]&lt;18,"below 18 ")))))</f>
        <v>18-24</v>
      </c>
    </row>
    <row r="167" spans="1:31" x14ac:dyDescent="0.25">
      <c r="A167" t="s">
        <v>220</v>
      </c>
      <c r="B167">
        <v>23</v>
      </c>
      <c r="C167" t="s">
        <v>31</v>
      </c>
      <c r="D167" t="s">
        <v>39</v>
      </c>
      <c r="E167" t="s">
        <v>33</v>
      </c>
      <c r="F167" t="s">
        <v>59</v>
      </c>
      <c r="G167">
        <v>1.6</v>
      </c>
      <c r="H167">
        <v>1</v>
      </c>
      <c r="I167">
        <v>1</v>
      </c>
      <c r="J167" t="s">
        <v>35</v>
      </c>
      <c r="K167" t="s">
        <v>36</v>
      </c>
      <c r="L167">
        <v>55</v>
      </c>
      <c r="M167">
        <v>3.2</v>
      </c>
      <c r="N167">
        <v>4.2</v>
      </c>
      <c r="O167">
        <v>5.4</v>
      </c>
      <c r="P167">
        <v>5.9</v>
      </c>
      <c r="Q167" t="s">
        <v>35</v>
      </c>
      <c r="R167" t="s">
        <v>42</v>
      </c>
      <c r="S167">
        <v>5.6</v>
      </c>
      <c r="T167">
        <v>5.4</v>
      </c>
      <c r="U167">
        <v>5.2</v>
      </c>
      <c r="V167">
        <v>4</v>
      </c>
      <c r="W167">
        <v>3.9</v>
      </c>
      <c r="X167">
        <v>6.4</v>
      </c>
      <c r="Y167">
        <v>2.7</v>
      </c>
      <c r="Z167">
        <v>8.1</v>
      </c>
      <c r="AA167">
        <v>2.4</v>
      </c>
      <c r="AB167">
        <v>2.2000000000000002</v>
      </c>
      <c r="AC167">
        <v>7.2</v>
      </c>
      <c r="AD167" t="s">
        <v>37</v>
      </c>
      <c r="AE167" t="str">
        <f>IF(AND(data[[#This Row],[Age]]&gt;=18,data[[#This Row],[Age]]&lt;=24),"18-24",IF(AND(data[[#This Row],[Age]]&gt;=25,data[[#This Row],[Age]]&lt;=34),"25-34",IF(AND(data[[#This Row],[Age]]&gt;35,data[[#This Row],[Age]]&lt;=44),"35-44",IF(data[[#This Row],[Age]]&gt;44,"45+",IF(data[[#This Row],[Age]]&lt;18,"below 18 ")))))</f>
        <v>18-24</v>
      </c>
    </row>
    <row r="168" spans="1:31" x14ac:dyDescent="0.25">
      <c r="A168" t="s">
        <v>221</v>
      </c>
      <c r="B168">
        <v>17</v>
      </c>
      <c r="C168" t="s">
        <v>47</v>
      </c>
      <c r="D168" t="s">
        <v>39</v>
      </c>
      <c r="E168" t="s">
        <v>40</v>
      </c>
      <c r="F168" t="s">
        <v>70</v>
      </c>
      <c r="G168">
        <v>5.5</v>
      </c>
      <c r="H168">
        <v>3</v>
      </c>
      <c r="I168">
        <v>4</v>
      </c>
      <c r="J168" t="s">
        <v>35</v>
      </c>
      <c r="K168" t="s">
        <v>62</v>
      </c>
      <c r="L168">
        <v>80</v>
      </c>
      <c r="M168">
        <v>5.2</v>
      </c>
      <c r="N168">
        <v>1.9</v>
      </c>
      <c r="O168">
        <v>6.3</v>
      </c>
      <c r="P168">
        <v>4.3</v>
      </c>
      <c r="Q168" t="s">
        <v>42</v>
      </c>
      <c r="R168" t="s">
        <v>42</v>
      </c>
      <c r="S168">
        <v>7.1</v>
      </c>
      <c r="T168">
        <v>5.8</v>
      </c>
      <c r="U168">
        <v>4.9000000000000004</v>
      </c>
      <c r="V168">
        <v>6.7</v>
      </c>
      <c r="W168">
        <v>9.1999999999999993</v>
      </c>
      <c r="Y168">
        <v>6.4</v>
      </c>
      <c r="AA168">
        <v>1.9</v>
      </c>
      <c r="AB168">
        <v>0.1</v>
      </c>
      <c r="AC168">
        <v>7.7</v>
      </c>
      <c r="AD168" t="s">
        <v>37</v>
      </c>
      <c r="AE168" t="str">
        <f>IF(AND(data[[#This Row],[Age]]&gt;=18,data[[#This Row],[Age]]&lt;=24),"18-24",IF(AND(data[[#This Row],[Age]]&gt;=25,data[[#This Row],[Age]]&lt;=34),"25-34",IF(AND(data[[#This Row],[Age]]&gt;35,data[[#This Row],[Age]]&lt;=44),"35-44",IF(data[[#This Row],[Age]]&gt;44,"45+",IF(data[[#This Row],[Age]]&lt;18,"below 18 ")))))</f>
        <v xml:space="preserve">below 18 </v>
      </c>
    </row>
    <row r="169" spans="1:31" x14ac:dyDescent="0.25">
      <c r="A169" t="s">
        <v>222</v>
      </c>
      <c r="B169">
        <v>42</v>
      </c>
      <c r="C169" t="s">
        <v>31</v>
      </c>
      <c r="D169" t="s">
        <v>39</v>
      </c>
      <c r="E169" t="s">
        <v>40</v>
      </c>
      <c r="F169" t="s">
        <v>59</v>
      </c>
      <c r="G169">
        <v>3.8</v>
      </c>
      <c r="H169">
        <v>1</v>
      </c>
      <c r="I169">
        <v>0</v>
      </c>
      <c r="J169" t="s">
        <v>35</v>
      </c>
      <c r="K169" t="s">
        <v>36</v>
      </c>
      <c r="L169">
        <v>92</v>
      </c>
      <c r="N169">
        <v>1.2</v>
      </c>
      <c r="O169">
        <v>3.7</v>
      </c>
      <c r="P169">
        <v>4.5999999999999996</v>
      </c>
      <c r="Q169" t="s">
        <v>35</v>
      </c>
      <c r="R169" t="s">
        <v>35</v>
      </c>
      <c r="S169">
        <v>7.2</v>
      </c>
      <c r="T169">
        <v>4.0999999999999996</v>
      </c>
      <c r="U169">
        <v>3.9</v>
      </c>
      <c r="V169">
        <v>6.6</v>
      </c>
      <c r="W169">
        <v>0</v>
      </c>
      <c r="X169">
        <v>6</v>
      </c>
      <c r="Y169">
        <v>3.6</v>
      </c>
      <c r="Z169">
        <v>5.5</v>
      </c>
      <c r="AA169">
        <v>0</v>
      </c>
      <c r="AB169">
        <v>3.2</v>
      </c>
      <c r="AC169">
        <v>8.4</v>
      </c>
      <c r="AD169" t="s">
        <v>37</v>
      </c>
      <c r="AE169" t="str">
        <f>IF(AND(data[[#This Row],[Age]]&gt;=18,data[[#This Row],[Age]]&lt;=24),"18-24",IF(AND(data[[#This Row],[Age]]&gt;=25,data[[#This Row],[Age]]&lt;=34),"25-34",IF(AND(data[[#This Row],[Age]]&gt;35,data[[#This Row],[Age]]&lt;=44),"35-44",IF(data[[#This Row],[Age]]&gt;44,"45+",IF(data[[#This Row],[Age]]&lt;18,"below 18 ")))))</f>
        <v>35-44</v>
      </c>
    </row>
    <row r="170" spans="1:31" x14ac:dyDescent="0.25">
      <c r="A170" t="s">
        <v>223</v>
      </c>
      <c r="B170">
        <v>25</v>
      </c>
      <c r="C170" t="s">
        <v>47</v>
      </c>
      <c r="D170" t="s">
        <v>39</v>
      </c>
      <c r="E170" t="s">
        <v>33</v>
      </c>
      <c r="F170" t="s">
        <v>34</v>
      </c>
      <c r="G170">
        <v>6.8</v>
      </c>
      <c r="H170">
        <v>1</v>
      </c>
      <c r="I170">
        <v>5</v>
      </c>
      <c r="J170" t="s">
        <v>35</v>
      </c>
      <c r="K170" t="s">
        <v>52</v>
      </c>
      <c r="L170">
        <v>99</v>
      </c>
      <c r="M170">
        <v>4.5999999999999996</v>
      </c>
      <c r="N170">
        <v>4.5</v>
      </c>
      <c r="O170">
        <v>7.6</v>
      </c>
      <c r="P170">
        <v>5.7</v>
      </c>
      <c r="Q170" t="s">
        <v>42</v>
      </c>
      <c r="R170" t="s">
        <v>42</v>
      </c>
      <c r="S170">
        <v>5.8</v>
      </c>
      <c r="T170">
        <v>6.6</v>
      </c>
      <c r="U170">
        <v>3.8</v>
      </c>
      <c r="V170">
        <v>1.7</v>
      </c>
      <c r="W170">
        <v>5.8</v>
      </c>
      <c r="X170">
        <v>5.4</v>
      </c>
      <c r="Y170">
        <v>4.9000000000000004</v>
      </c>
      <c r="Z170">
        <v>7.2</v>
      </c>
      <c r="AA170">
        <v>4.8</v>
      </c>
      <c r="AB170">
        <v>4</v>
      </c>
      <c r="AC170">
        <v>5.2</v>
      </c>
      <c r="AD170" t="s">
        <v>43</v>
      </c>
      <c r="AE170" t="str">
        <f>IF(AND(data[[#This Row],[Age]]&gt;=18,data[[#This Row],[Age]]&lt;=24),"18-24",IF(AND(data[[#This Row],[Age]]&gt;=25,data[[#This Row],[Age]]&lt;=34),"25-34",IF(AND(data[[#This Row],[Age]]&gt;35,data[[#This Row],[Age]]&lt;=44),"35-44",IF(data[[#This Row],[Age]]&gt;44,"45+",IF(data[[#This Row],[Age]]&lt;18,"below 18 ")))))</f>
        <v>25-34</v>
      </c>
    </row>
    <row r="171" spans="1:31" x14ac:dyDescent="0.25">
      <c r="A171" t="s">
        <v>224</v>
      </c>
      <c r="B171">
        <v>29</v>
      </c>
      <c r="C171" t="s">
        <v>31</v>
      </c>
      <c r="E171" t="s">
        <v>40</v>
      </c>
      <c r="F171" t="s">
        <v>59</v>
      </c>
      <c r="G171">
        <v>3.4</v>
      </c>
      <c r="H171">
        <v>2</v>
      </c>
      <c r="I171">
        <v>2</v>
      </c>
      <c r="J171" t="s">
        <v>42</v>
      </c>
      <c r="K171" t="s">
        <v>62</v>
      </c>
      <c r="L171">
        <v>36</v>
      </c>
      <c r="M171">
        <v>2.5</v>
      </c>
      <c r="N171">
        <v>3.9</v>
      </c>
      <c r="O171">
        <v>5.4</v>
      </c>
      <c r="P171">
        <v>2.1</v>
      </c>
      <c r="Q171" t="s">
        <v>35</v>
      </c>
      <c r="R171" t="s">
        <v>35</v>
      </c>
      <c r="S171">
        <v>2.1</v>
      </c>
      <c r="T171">
        <v>0.2</v>
      </c>
      <c r="U171">
        <v>2.2999999999999998</v>
      </c>
      <c r="V171">
        <v>7</v>
      </c>
      <c r="W171">
        <v>9.6999999999999993</v>
      </c>
      <c r="X171">
        <v>6</v>
      </c>
      <c r="Y171">
        <v>9.1999999999999993</v>
      </c>
      <c r="Z171">
        <v>4.3</v>
      </c>
      <c r="AA171">
        <v>0.2</v>
      </c>
      <c r="AB171">
        <v>3</v>
      </c>
      <c r="AC171">
        <v>8.5</v>
      </c>
      <c r="AD171" t="s">
        <v>37</v>
      </c>
      <c r="AE171" t="str">
        <f>IF(AND(data[[#This Row],[Age]]&gt;=18,data[[#This Row],[Age]]&lt;=24),"18-24",IF(AND(data[[#This Row],[Age]]&gt;=25,data[[#This Row],[Age]]&lt;=34),"25-34",IF(AND(data[[#This Row],[Age]]&gt;35,data[[#This Row],[Age]]&lt;=44),"35-44",IF(data[[#This Row],[Age]]&gt;44,"45+",IF(data[[#This Row],[Age]]&lt;18,"below 18 ")))))</f>
        <v>25-34</v>
      </c>
    </row>
    <row r="172" spans="1:31" x14ac:dyDescent="0.25">
      <c r="A172" t="s">
        <v>225</v>
      </c>
      <c r="B172">
        <v>35</v>
      </c>
      <c r="C172" t="s">
        <v>47</v>
      </c>
      <c r="D172" t="s">
        <v>32</v>
      </c>
      <c r="E172" t="s">
        <v>33</v>
      </c>
      <c r="F172" t="s">
        <v>41</v>
      </c>
      <c r="G172">
        <v>4</v>
      </c>
      <c r="H172">
        <v>2</v>
      </c>
      <c r="I172">
        <v>4</v>
      </c>
      <c r="J172" t="s">
        <v>42</v>
      </c>
      <c r="K172" t="s">
        <v>52</v>
      </c>
      <c r="L172">
        <v>49</v>
      </c>
      <c r="M172">
        <v>7.9</v>
      </c>
      <c r="N172">
        <v>2.9</v>
      </c>
      <c r="O172">
        <v>5.9</v>
      </c>
      <c r="P172">
        <v>5.4</v>
      </c>
      <c r="Q172" t="s">
        <v>42</v>
      </c>
      <c r="R172" t="s">
        <v>35</v>
      </c>
      <c r="S172">
        <v>6.3</v>
      </c>
      <c r="T172">
        <v>1.2</v>
      </c>
      <c r="U172">
        <v>5.5</v>
      </c>
      <c r="V172">
        <v>5.7</v>
      </c>
      <c r="W172">
        <v>8.4</v>
      </c>
      <c r="X172">
        <v>7.6</v>
      </c>
      <c r="Y172">
        <v>4.8</v>
      </c>
      <c r="Z172">
        <v>7.7</v>
      </c>
      <c r="AA172">
        <v>0</v>
      </c>
      <c r="AB172">
        <v>3.3</v>
      </c>
      <c r="AC172">
        <v>7.5</v>
      </c>
      <c r="AD172" t="s">
        <v>53</v>
      </c>
      <c r="AE172" t="b">
        <f>IF(AND(data[[#This Row],[Age]]&gt;=18,data[[#This Row],[Age]]&lt;=24),"18-24",IF(AND(data[[#This Row],[Age]]&gt;=25,data[[#This Row],[Age]]&lt;=34),"25-34",IF(AND(data[[#This Row],[Age]]&gt;35,data[[#This Row],[Age]]&lt;=44),"35-44",IF(data[[#This Row],[Age]]&gt;44,"45+",IF(data[[#This Row],[Age]]&lt;18,"below 18 ")))))</f>
        <v>0</v>
      </c>
    </row>
    <row r="173" spans="1:31" x14ac:dyDescent="0.25">
      <c r="A173" t="s">
        <v>226</v>
      </c>
      <c r="B173">
        <v>32</v>
      </c>
      <c r="C173" t="s">
        <v>47</v>
      </c>
      <c r="D173" t="s">
        <v>64</v>
      </c>
      <c r="E173" t="s">
        <v>33</v>
      </c>
      <c r="F173" t="s">
        <v>70</v>
      </c>
      <c r="G173">
        <v>2.7</v>
      </c>
      <c r="H173">
        <v>4</v>
      </c>
      <c r="I173">
        <v>4</v>
      </c>
      <c r="J173" t="s">
        <v>42</v>
      </c>
      <c r="K173" t="s">
        <v>36</v>
      </c>
      <c r="L173">
        <v>5</v>
      </c>
      <c r="M173">
        <v>3.1</v>
      </c>
      <c r="N173">
        <v>4.5</v>
      </c>
      <c r="P173">
        <v>8.1</v>
      </c>
      <c r="Q173" t="s">
        <v>42</v>
      </c>
      <c r="R173" t="s">
        <v>42</v>
      </c>
      <c r="S173">
        <v>2.8</v>
      </c>
      <c r="T173">
        <v>7.9</v>
      </c>
      <c r="U173">
        <v>4.9000000000000004</v>
      </c>
      <c r="V173">
        <v>5.4</v>
      </c>
      <c r="W173">
        <v>4.7</v>
      </c>
      <c r="X173">
        <v>6.8</v>
      </c>
      <c r="Y173">
        <v>6.5</v>
      </c>
      <c r="Z173">
        <v>5.7</v>
      </c>
      <c r="AB173">
        <v>3.1</v>
      </c>
      <c r="AC173">
        <v>5.9</v>
      </c>
      <c r="AD173" t="s">
        <v>45</v>
      </c>
      <c r="AE173" t="str">
        <f>IF(AND(data[[#This Row],[Age]]&gt;=18,data[[#This Row],[Age]]&lt;=24),"18-24",IF(AND(data[[#This Row],[Age]]&gt;=25,data[[#This Row],[Age]]&lt;=34),"25-34",IF(AND(data[[#This Row],[Age]]&gt;35,data[[#This Row],[Age]]&lt;=44),"35-44",IF(data[[#This Row],[Age]]&gt;44,"45+",IF(data[[#This Row],[Age]]&lt;18,"below 18 ")))))</f>
        <v>25-34</v>
      </c>
    </row>
    <row r="174" spans="1:31" x14ac:dyDescent="0.25">
      <c r="A174" t="s">
        <v>227</v>
      </c>
      <c r="B174">
        <v>44</v>
      </c>
      <c r="C174" t="s">
        <v>47</v>
      </c>
      <c r="D174" t="s">
        <v>39</v>
      </c>
      <c r="E174" t="s">
        <v>58</v>
      </c>
      <c r="F174" t="s">
        <v>34</v>
      </c>
      <c r="G174">
        <v>8.5</v>
      </c>
      <c r="H174">
        <v>3</v>
      </c>
      <c r="I174">
        <v>6</v>
      </c>
      <c r="J174" t="s">
        <v>42</v>
      </c>
      <c r="K174" t="s">
        <v>52</v>
      </c>
      <c r="L174">
        <v>37</v>
      </c>
      <c r="M174">
        <v>2.5</v>
      </c>
      <c r="N174">
        <v>5.0999999999999996</v>
      </c>
      <c r="O174">
        <v>5.4</v>
      </c>
      <c r="P174">
        <v>4.0999999999999996</v>
      </c>
      <c r="Q174" t="s">
        <v>42</v>
      </c>
      <c r="R174" t="s">
        <v>42</v>
      </c>
      <c r="S174">
        <v>5.3</v>
      </c>
      <c r="T174">
        <v>5.0999999999999996</v>
      </c>
      <c r="U174">
        <v>5.3</v>
      </c>
      <c r="V174">
        <v>3.3</v>
      </c>
      <c r="W174">
        <v>7</v>
      </c>
      <c r="X174">
        <v>6.8</v>
      </c>
      <c r="Y174">
        <v>5.3</v>
      </c>
      <c r="Z174">
        <v>3.4</v>
      </c>
      <c r="AA174">
        <v>1.6</v>
      </c>
      <c r="AB174">
        <v>1.5</v>
      </c>
      <c r="AC174">
        <v>5.9</v>
      </c>
      <c r="AD174" t="s">
        <v>43</v>
      </c>
      <c r="AE174" t="str">
        <f>IF(AND(data[[#This Row],[Age]]&gt;=18,data[[#This Row],[Age]]&lt;=24),"18-24",IF(AND(data[[#This Row],[Age]]&gt;=25,data[[#This Row],[Age]]&lt;=34),"25-34",IF(AND(data[[#This Row],[Age]]&gt;35,data[[#This Row],[Age]]&lt;=44),"35-44",IF(data[[#This Row],[Age]]&gt;44,"45+",IF(data[[#This Row],[Age]]&lt;18,"below 18 ")))))</f>
        <v>35-44</v>
      </c>
    </row>
    <row r="175" spans="1:31" x14ac:dyDescent="0.25">
      <c r="A175" t="s">
        <v>228</v>
      </c>
      <c r="B175">
        <v>21</v>
      </c>
      <c r="C175" t="s">
        <v>31</v>
      </c>
      <c r="D175" t="s">
        <v>39</v>
      </c>
      <c r="E175" t="s">
        <v>40</v>
      </c>
      <c r="F175" t="s">
        <v>41</v>
      </c>
      <c r="G175">
        <v>4.8</v>
      </c>
      <c r="H175">
        <v>4</v>
      </c>
      <c r="I175">
        <v>2</v>
      </c>
      <c r="J175" t="s">
        <v>42</v>
      </c>
      <c r="K175" t="s">
        <v>36</v>
      </c>
      <c r="L175">
        <v>81</v>
      </c>
      <c r="M175">
        <v>3.8</v>
      </c>
      <c r="N175">
        <v>4.2</v>
      </c>
      <c r="O175">
        <v>2.7</v>
      </c>
      <c r="P175">
        <v>2.2999999999999998</v>
      </c>
      <c r="Q175" t="s">
        <v>35</v>
      </c>
      <c r="R175" t="s">
        <v>35</v>
      </c>
      <c r="S175">
        <v>3.7</v>
      </c>
      <c r="T175">
        <v>5</v>
      </c>
      <c r="U175">
        <v>3.1</v>
      </c>
      <c r="V175">
        <v>5.3</v>
      </c>
      <c r="W175">
        <v>0.2</v>
      </c>
      <c r="X175">
        <v>4.5999999999999996</v>
      </c>
      <c r="Y175">
        <v>9.8000000000000007</v>
      </c>
      <c r="Z175">
        <v>7.2</v>
      </c>
      <c r="AA175">
        <v>5.3</v>
      </c>
      <c r="AB175">
        <v>2</v>
      </c>
      <c r="AC175">
        <v>6</v>
      </c>
      <c r="AD175" t="s">
        <v>53</v>
      </c>
      <c r="AE175" t="str">
        <f>IF(AND(data[[#This Row],[Age]]&gt;=18,data[[#This Row],[Age]]&lt;=24),"18-24",IF(AND(data[[#This Row],[Age]]&gt;=25,data[[#This Row],[Age]]&lt;=34),"25-34",IF(AND(data[[#This Row],[Age]]&gt;35,data[[#This Row],[Age]]&lt;=44),"35-44",IF(data[[#This Row],[Age]]&gt;44,"45+",IF(data[[#This Row],[Age]]&lt;18,"below 18 ")))))</f>
        <v>18-24</v>
      </c>
    </row>
    <row r="176" spans="1:31" x14ac:dyDescent="0.25">
      <c r="A176" t="s">
        <v>229</v>
      </c>
      <c r="B176">
        <v>25</v>
      </c>
      <c r="D176" t="s">
        <v>57</v>
      </c>
      <c r="E176" t="s">
        <v>58</v>
      </c>
      <c r="F176" t="s">
        <v>51</v>
      </c>
      <c r="G176">
        <v>2.4</v>
      </c>
      <c r="H176">
        <v>3</v>
      </c>
      <c r="I176">
        <v>8</v>
      </c>
      <c r="J176" t="s">
        <v>35</v>
      </c>
      <c r="K176" t="s">
        <v>52</v>
      </c>
      <c r="L176">
        <v>52</v>
      </c>
      <c r="M176">
        <v>5</v>
      </c>
      <c r="N176">
        <v>3.8</v>
      </c>
      <c r="O176">
        <v>5.2</v>
      </c>
      <c r="P176">
        <v>6</v>
      </c>
      <c r="Q176" t="s">
        <v>42</v>
      </c>
      <c r="R176" t="s">
        <v>35</v>
      </c>
      <c r="S176">
        <v>5.2</v>
      </c>
      <c r="T176">
        <v>5.5</v>
      </c>
      <c r="U176">
        <v>5.0999999999999996</v>
      </c>
      <c r="V176">
        <v>4.7</v>
      </c>
      <c r="W176">
        <v>4.0999999999999996</v>
      </c>
      <c r="X176">
        <v>4.7</v>
      </c>
      <c r="Y176">
        <v>4.9000000000000004</v>
      </c>
      <c r="Z176">
        <v>3.9</v>
      </c>
      <c r="AA176">
        <v>3.7</v>
      </c>
      <c r="AB176">
        <v>4.4000000000000004</v>
      </c>
      <c r="AC176">
        <v>6.2</v>
      </c>
      <c r="AD176" t="s">
        <v>53</v>
      </c>
      <c r="AE176" t="str">
        <f>IF(AND(data[[#This Row],[Age]]&gt;=18,data[[#This Row],[Age]]&lt;=24),"18-24",IF(AND(data[[#This Row],[Age]]&gt;=25,data[[#This Row],[Age]]&lt;=34),"25-34",IF(AND(data[[#This Row],[Age]]&gt;35,data[[#This Row],[Age]]&lt;=44),"35-44",IF(data[[#This Row],[Age]]&gt;44,"45+",IF(data[[#This Row],[Age]]&lt;18,"below 18 ")))))</f>
        <v>25-34</v>
      </c>
    </row>
    <row r="177" spans="1:31" x14ac:dyDescent="0.25">
      <c r="A177" t="s">
        <v>230</v>
      </c>
      <c r="B177">
        <v>32</v>
      </c>
      <c r="C177" t="s">
        <v>31</v>
      </c>
      <c r="D177" t="s">
        <v>39</v>
      </c>
      <c r="E177" t="s">
        <v>58</v>
      </c>
      <c r="F177" t="s">
        <v>34</v>
      </c>
      <c r="G177">
        <v>3.7</v>
      </c>
      <c r="H177">
        <v>4</v>
      </c>
      <c r="I177">
        <v>4</v>
      </c>
      <c r="J177" t="s">
        <v>42</v>
      </c>
      <c r="K177" t="s">
        <v>36</v>
      </c>
      <c r="L177">
        <v>76</v>
      </c>
      <c r="M177">
        <v>0.5</v>
      </c>
      <c r="N177">
        <v>2.2999999999999998</v>
      </c>
      <c r="O177">
        <v>3.8</v>
      </c>
      <c r="P177">
        <v>5.8</v>
      </c>
      <c r="Q177" t="s">
        <v>35</v>
      </c>
      <c r="R177" t="s">
        <v>35</v>
      </c>
      <c r="S177">
        <v>5.3</v>
      </c>
      <c r="T177">
        <v>3.5</v>
      </c>
      <c r="U177">
        <v>4.8</v>
      </c>
      <c r="V177">
        <v>3.5</v>
      </c>
      <c r="W177">
        <v>7.1</v>
      </c>
      <c r="X177">
        <v>6.5</v>
      </c>
      <c r="Y177">
        <v>2.5</v>
      </c>
      <c r="Z177">
        <v>9.3000000000000007</v>
      </c>
      <c r="AA177">
        <v>0.3</v>
      </c>
      <c r="AB177">
        <v>1.4</v>
      </c>
      <c r="AC177">
        <v>7.5</v>
      </c>
      <c r="AD177" t="s">
        <v>37</v>
      </c>
      <c r="AE177" t="str">
        <f>IF(AND(data[[#This Row],[Age]]&gt;=18,data[[#This Row],[Age]]&lt;=24),"18-24",IF(AND(data[[#This Row],[Age]]&gt;=25,data[[#This Row],[Age]]&lt;=34),"25-34",IF(AND(data[[#This Row],[Age]]&gt;35,data[[#This Row],[Age]]&lt;=44),"35-44",IF(data[[#This Row],[Age]]&gt;44,"45+",IF(data[[#This Row],[Age]]&lt;18,"below 18 ")))))</f>
        <v>25-34</v>
      </c>
    </row>
    <row r="178" spans="1:31" x14ac:dyDescent="0.25">
      <c r="A178" t="s">
        <v>231</v>
      </c>
      <c r="B178">
        <v>20</v>
      </c>
      <c r="C178" t="s">
        <v>31</v>
      </c>
      <c r="D178" t="s">
        <v>32</v>
      </c>
      <c r="E178" t="s">
        <v>33</v>
      </c>
      <c r="F178" t="s">
        <v>41</v>
      </c>
      <c r="G178">
        <v>1.7</v>
      </c>
      <c r="H178">
        <v>3</v>
      </c>
      <c r="I178">
        <v>6</v>
      </c>
      <c r="J178" t="s">
        <v>42</v>
      </c>
      <c r="K178" t="s">
        <v>36</v>
      </c>
      <c r="L178">
        <v>117</v>
      </c>
      <c r="M178">
        <v>2.4</v>
      </c>
      <c r="N178">
        <v>4.9000000000000004</v>
      </c>
      <c r="O178">
        <v>1.8</v>
      </c>
      <c r="P178">
        <v>6.9</v>
      </c>
      <c r="Q178" t="s">
        <v>42</v>
      </c>
      <c r="R178" t="s">
        <v>35</v>
      </c>
      <c r="T178">
        <v>1.6</v>
      </c>
      <c r="U178">
        <v>6</v>
      </c>
      <c r="V178">
        <v>3.5</v>
      </c>
      <c r="X178">
        <v>6.7</v>
      </c>
      <c r="Y178">
        <v>6.2</v>
      </c>
      <c r="Z178">
        <v>5.7</v>
      </c>
      <c r="AA178">
        <v>5.9</v>
      </c>
      <c r="AB178">
        <v>5.4</v>
      </c>
      <c r="AC178">
        <v>7.4</v>
      </c>
      <c r="AD178" t="s">
        <v>53</v>
      </c>
      <c r="AE178" t="str">
        <f>IF(AND(data[[#This Row],[Age]]&gt;=18,data[[#This Row],[Age]]&lt;=24),"18-24",IF(AND(data[[#This Row],[Age]]&gt;=25,data[[#This Row],[Age]]&lt;=34),"25-34",IF(AND(data[[#This Row],[Age]]&gt;35,data[[#This Row],[Age]]&lt;=44),"35-44",IF(data[[#This Row],[Age]]&gt;44,"45+",IF(data[[#This Row],[Age]]&lt;18,"below 18 ")))))</f>
        <v>18-24</v>
      </c>
    </row>
    <row r="179" spans="1:31" x14ac:dyDescent="0.25">
      <c r="A179" t="s">
        <v>232</v>
      </c>
      <c r="B179">
        <v>30</v>
      </c>
      <c r="C179" t="s">
        <v>47</v>
      </c>
      <c r="D179" t="s">
        <v>32</v>
      </c>
      <c r="E179" t="s">
        <v>33</v>
      </c>
      <c r="F179" t="s">
        <v>41</v>
      </c>
      <c r="G179">
        <v>7.2</v>
      </c>
      <c r="H179">
        <v>3</v>
      </c>
      <c r="I179">
        <v>2</v>
      </c>
      <c r="J179" t="s">
        <v>35</v>
      </c>
      <c r="K179" t="s">
        <v>36</v>
      </c>
      <c r="L179">
        <v>43</v>
      </c>
      <c r="M179">
        <v>4</v>
      </c>
      <c r="N179">
        <v>5.9</v>
      </c>
      <c r="O179">
        <v>4.7</v>
      </c>
      <c r="P179">
        <v>7.4</v>
      </c>
      <c r="Q179" t="s">
        <v>42</v>
      </c>
      <c r="R179" t="s">
        <v>35</v>
      </c>
      <c r="S179">
        <v>2.2000000000000002</v>
      </c>
      <c r="T179">
        <v>2</v>
      </c>
      <c r="U179">
        <v>3.8</v>
      </c>
      <c r="V179">
        <v>3.1</v>
      </c>
      <c r="W179">
        <v>5.3</v>
      </c>
      <c r="X179">
        <v>7.9</v>
      </c>
      <c r="Y179">
        <v>1.8</v>
      </c>
      <c r="Z179">
        <v>5.8</v>
      </c>
      <c r="AA179">
        <v>4.5999999999999996</v>
      </c>
      <c r="AB179">
        <v>1.6</v>
      </c>
      <c r="AC179">
        <v>5.4</v>
      </c>
      <c r="AD179" t="s">
        <v>45</v>
      </c>
      <c r="AE179" t="str">
        <f>IF(AND(data[[#This Row],[Age]]&gt;=18,data[[#This Row],[Age]]&lt;=24),"18-24",IF(AND(data[[#This Row],[Age]]&gt;=25,data[[#This Row],[Age]]&lt;=34),"25-34",IF(AND(data[[#This Row],[Age]]&gt;35,data[[#This Row],[Age]]&lt;=44),"35-44",IF(data[[#This Row],[Age]]&gt;44,"45+",IF(data[[#This Row],[Age]]&lt;18,"below 18 ")))))</f>
        <v>25-34</v>
      </c>
    </row>
    <row r="180" spans="1:31" x14ac:dyDescent="0.25">
      <c r="A180" t="s">
        <v>233</v>
      </c>
      <c r="B180">
        <v>32</v>
      </c>
      <c r="C180" t="s">
        <v>47</v>
      </c>
      <c r="D180" t="s">
        <v>32</v>
      </c>
      <c r="E180" t="s">
        <v>33</v>
      </c>
      <c r="F180" t="s">
        <v>34</v>
      </c>
      <c r="G180">
        <v>7.2</v>
      </c>
      <c r="H180">
        <v>5</v>
      </c>
      <c r="I180">
        <v>6</v>
      </c>
      <c r="J180" t="s">
        <v>42</v>
      </c>
      <c r="K180" t="s">
        <v>62</v>
      </c>
      <c r="L180">
        <v>93</v>
      </c>
      <c r="M180">
        <v>5.7</v>
      </c>
      <c r="N180">
        <v>6.9</v>
      </c>
      <c r="O180">
        <v>9.6</v>
      </c>
      <c r="P180">
        <v>5.0999999999999996</v>
      </c>
      <c r="Q180" t="s">
        <v>35</v>
      </c>
      <c r="R180" t="s">
        <v>35</v>
      </c>
      <c r="S180">
        <v>10</v>
      </c>
      <c r="T180">
        <v>6.1</v>
      </c>
      <c r="U180">
        <v>3.2</v>
      </c>
      <c r="V180">
        <v>6.7</v>
      </c>
      <c r="W180">
        <v>7</v>
      </c>
      <c r="X180">
        <v>6.9</v>
      </c>
      <c r="Y180">
        <v>4.9000000000000004</v>
      </c>
      <c r="Z180">
        <v>7.7</v>
      </c>
      <c r="AA180">
        <v>5.9</v>
      </c>
      <c r="AB180">
        <v>0.6</v>
      </c>
      <c r="AC180">
        <v>5.5</v>
      </c>
      <c r="AD180" t="s">
        <v>45</v>
      </c>
      <c r="AE180" t="str">
        <f>IF(AND(data[[#This Row],[Age]]&gt;=18,data[[#This Row],[Age]]&lt;=24),"18-24",IF(AND(data[[#This Row],[Age]]&gt;=25,data[[#This Row],[Age]]&lt;=34),"25-34",IF(AND(data[[#This Row],[Age]]&gt;35,data[[#This Row],[Age]]&lt;=44),"35-44",IF(data[[#This Row],[Age]]&gt;44,"45+",IF(data[[#This Row],[Age]]&lt;18,"below 18 ")))))</f>
        <v>25-34</v>
      </c>
    </row>
    <row r="181" spans="1:31" x14ac:dyDescent="0.25">
      <c r="A181" t="s">
        <v>234</v>
      </c>
      <c r="B181">
        <v>37</v>
      </c>
      <c r="C181" t="s">
        <v>47</v>
      </c>
      <c r="D181" t="s">
        <v>39</v>
      </c>
      <c r="E181" t="s">
        <v>58</v>
      </c>
      <c r="F181" t="s">
        <v>70</v>
      </c>
      <c r="G181">
        <v>4.9000000000000004</v>
      </c>
      <c r="H181">
        <v>3</v>
      </c>
      <c r="I181">
        <v>2</v>
      </c>
      <c r="J181" t="s">
        <v>42</v>
      </c>
      <c r="K181" t="s">
        <v>62</v>
      </c>
      <c r="L181">
        <v>108</v>
      </c>
      <c r="M181">
        <v>4.2</v>
      </c>
      <c r="N181">
        <v>5.4</v>
      </c>
      <c r="O181">
        <v>6.7</v>
      </c>
      <c r="P181">
        <v>3</v>
      </c>
      <c r="Q181" t="s">
        <v>42</v>
      </c>
      <c r="R181" t="s">
        <v>35</v>
      </c>
      <c r="S181">
        <v>7.9</v>
      </c>
      <c r="T181">
        <v>6</v>
      </c>
      <c r="V181">
        <v>6.9</v>
      </c>
      <c r="W181">
        <v>4.3</v>
      </c>
      <c r="X181">
        <v>8.6999999999999993</v>
      </c>
      <c r="Y181">
        <v>2.2000000000000002</v>
      </c>
      <c r="Z181">
        <v>7.3</v>
      </c>
      <c r="AA181">
        <v>2.6</v>
      </c>
      <c r="AB181">
        <v>3.6</v>
      </c>
      <c r="AC181">
        <v>8</v>
      </c>
      <c r="AD181" t="s">
        <v>37</v>
      </c>
      <c r="AE181" t="str">
        <f>IF(AND(data[[#This Row],[Age]]&gt;=18,data[[#This Row],[Age]]&lt;=24),"18-24",IF(AND(data[[#This Row],[Age]]&gt;=25,data[[#This Row],[Age]]&lt;=34),"25-34",IF(AND(data[[#This Row],[Age]]&gt;35,data[[#This Row],[Age]]&lt;=44),"35-44",IF(data[[#This Row],[Age]]&gt;44,"45+",IF(data[[#This Row],[Age]]&lt;18,"below 18 ")))))</f>
        <v>35-44</v>
      </c>
    </row>
    <row r="182" spans="1:31" x14ac:dyDescent="0.25">
      <c r="A182" t="s">
        <v>235</v>
      </c>
      <c r="B182">
        <v>27</v>
      </c>
      <c r="C182" t="s">
        <v>31</v>
      </c>
      <c r="D182" t="s">
        <v>39</v>
      </c>
      <c r="E182" t="s">
        <v>40</v>
      </c>
      <c r="F182" t="s">
        <v>51</v>
      </c>
      <c r="G182">
        <v>5.2</v>
      </c>
      <c r="H182">
        <v>3</v>
      </c>
      <c r="I182">
        <v>10</v>
      </c>
      <c r="J182" t="s">
        <v>42</v>
      </c>
      <c r="K182" t="s">
        <v>62</v>
      </c>
      <c r="L182">
        <v>55</v>
      </c>
      <c r="M182">
        <v>4.3</v>
      </c>
      <c r="N182">
        <v>5.4</v>
      </c>
      <c r="O182">
        <v>3.5</v>
      </c>
      <c r="P182">
        <v>6.2</v>
      </c>
      <c r="Q182" t="s">
        <v>35</v>
      </c>
      <c r="R182" t="s">
        <v>42</v>
      </c>
      <c r="U182">
        <v>4.0999999999999996</v>
      </c>
      <c r="V182">
        <v>5</v>
      </c>
      <c r="W182">
        <v>3.5</v>
      </c>
      <c r="Y182">
        <v>3.5</v>
      </c>
      <c r="Z182">
        <v>5.3</v>
      </c>
      <c r="AA182">
        <v>3.6</v>
      </c>
      <c r="AB182">
        <v>4.2</v>
      </c>
      <c r="AC182">
        <v>5.0999999999999996</v>
      </c>
      <c r="AD182" t="s">
        <v>45</v>
      </c>
      <c r="AE182" t="str">
        <f>IF(AND(data[[#This Row],[Age]]&gt;=18,data[[#This Row],[Age]]&lt;=24),"18-24",IF(AND(data[[#This Row],[Age]]&gt;=25,data[[#This Row],[Age]]&lt;=34),"25-34",IF(AND(data[[#This Row],[Age]]&gt;35,data[[#This Row],[Age]]&lt;=44),"35-44",IF(data[[#This Row],[Age]]&gt;44,"45+",IF(data[[#This Row],[Age]]&lt;18,"below 18 ")))))</f>
        <v>25-34</v>
      </c>
    </row>
    <row r="183" spans="1:31" x14ac:dyDescent="0.25">
      <c r="A183" t="s">
        <v>236</v>
      </c>
      <c r="B183">
        <v>24</v>
      </c>
      <c r="C183" t="s">
        <v>31</v>
      </c>
      <c r="D183" t="s">
        <v>39</v>
      </c>
      <c r="E183" t="s">
        <v>58</v>
      </c>
      <c r="F183" t="s">
        <v>59</v>
      </c>
      <c r="G183">
        <v>1.4</v>
      </c>
      <c r="H183">
        <v>5</v>
      </c>
      <c r="I183">
        <v>7</v>
      </c>
      <c r="J183" t="s">
        <v>35</v>
      </c>
      <c r="K183" t="s">
        <v>36</v>
      </c>
      <c r="L183">
        <v>110</v>
      </c>
      <c r="M183">
        <v>2.6</v>
      </c>
      <c r="N183">
        <v>7.6</v>
      </c>
      <c r="O183">
        <v>3.2</v>
      </c>
      <c r="P183">
        <v>2.2000000000000002</v>
      </c>
      <c r="Q183" t="s">
        <v>42</v>
      </c>
      <c r="R183" t="s">
        <v>42</v>
      </c>
      <c r="S183">
        <v>4</v>
      </c>
      <c r="T183">
        <v>4.5</v>
      </c>
      <c r="U183">
        <v>6.4</v>
      </c>
      <c r="V183">
        <v>5.7</v>
      </c>
      <c r="W183">
        <v>3.9</v>
      </c>
      <c r="X183">
        <v>4.0999999999999996</v>
      </c>
      <c r="Y183">
        <v>3.2</v>
      </c>
      <c r="Z183">
        <v>4.9000000000000004</v>
      </c>
      <c r="AA183">
        <v>5.0999999999999996</v>
      </c>
      <c r="AB183">
        <v>1.3</v>
      </c>
      <c r="AC183">
        <v>7</v>
      </c>
      <c r="AD183" t="s">
        <v>53</v>
      </c>
      <c r="AE183" t="str">
        <f>IF(AND(data[[#This Row],[Age]]&gt;=18,data[[#This Row],[Age]]&lt;=24),"18-24",IF(AND(data[[#This Row],[Age]]&gt;=25,data[[#This Row],[Age]]&lt;=34),"25-34",IF(AND(data[[#This Row],[Age]]&gt;35,data[[#This Row],[Age]]&lt;=44),"35-44",IF(data[[#This Row],[Age]]&gt;44,"45+",IF(data[[#This Row],[Age]]&lt;18,"below 18 ")))))</f>
        <v>18-24</v>
      </c>
    </row>
    <row r="184" spans="1:31" x14ac:dyDescent="0.25">
      <c r="A184" t="s">
        <v>237</v>
      </c>
      <c r="B184">
        <v>23</v>
      </c>
      <c r="C184" t="s">
        <v>50</v>
      </c>
      <c r="D184" t="s">
        <v>32</v>
      </c>
      <c r="E184" t="s">
        <v>40</v>
      </c>
      <c r="F184" t="s">
        <v>41</v>
      </c>
      <c r="G184">
        <v>7.9</v>
      </c>
      <c r="H184">
        <v>8</v>
      </c>
      <c r="I184">
        <v>3</v>
      </c>
      <c r="J184" t="s">
        <v>42</v>
      </c>
      <c r="K184" t="s">
        <v>36</v>
      </c>
      <c r="L184">
        <v>98</v>
      </c>
      <c r="M184">
        <v>1.1000000000000001</v>
      </c>
      <c r="N184">
        <v>5.4</v>
      </c>
      <c r="P184">
        <v>6.5</v>
      </c>
      <c r="Q184" t="s">
        <v>42</v>
      </c>
      <c r="R184" t="s">
        <v>35</v>
      </c>
      <c r="S184">
        <v>7.2</v>
      </c>
      <c r="T184">
        <v>6.2</v>
      </c>
      <c r="U184">
        <v>2.8</v>
      </c>
      <c r="V184">
        <v>6.6</v>
      </c>
      <c r="W184">
        <v>2.5</v>
      </c>
      <c r="X184">
        <v>6.2</v>
      </c>
      <c r="Y184">
        <v>5.6</v>
      </c>
      <c r="Z184">
        <v>7.2</v>
      </c>
      <c r="AA184">
        <v>2.8</v>
      </c>
      <c r="AB184">
        <v>4.3</v>
      </c>
      <c r="AC184">
        <v>4.4000000000000004</v>
      </c>
      <c r="AD184" t="s">
        <v>43</v>
      </c>
      <c r="AE184" t="str">
        <f>IF(AND(data[[#This Row],[Age]]&gt;=18,data[[#This Row],[Age]]&lt;=24),"18-24",IF(AND(data[[#This Row],[Age]]&gt;=25,data[[#This Row],[Age]]&lt;=34),"25-34",IF(AND(data[[#This Row],[Age]]&gt;35,data[[#This Row],[Age]]&lt;=44),"35-44",IF(data[[#This Row],[Age]]&gt;44,"45+",IF(data[[#This Row],[Age]]&lt;18,"below 18 ")))))</f>
        <v>18-24</v>
      </c>
    </row>
    <row r="185" spans="1:31" x14ac:dyDescent="0.25">
      <c r="A185" t="s">
        <v>238</v>
      </c>
      <c r="B185">
        <v>43</v>
      </c>
      <c r="C185" t="s">
        <v>50</v>
      </c>
      <c r="D185" t="s">
        <v>32</v>
      </c>
      <c r="E185" t="s">
        <v>40</v>
      </c>
      <c r="F185" t="s">
        <v>48</v>
      </c>
      <c r="G185">
        <v>4.4000000000000004</v>
      </c>
      <c r="H185">
        <v>3</v>
      </c>
      <c r="I185">
        <v>3</v>
      </c>
      <c r="J185" t="s">
        <v>35</v>
      </c>
      <c r="K185" t="s">
        <v>62</v>
      </c>
      <c r="L185">
        <v>103</v>
      </c>
      <c r="M185">
        <v>0.8</v>
      </c>
      <c r="N185">
        <v>6</v>
      </c>
      <c r="O185">
        <v>5.3</v>
      </c>
      <c r="P185">
        <v>6.4</v>
      </c>
      <c r="Q185" t="s">
        <v>42</v>
      </c>
      <c r="R185" t="s">
        <v>42</v>
      </c>
      <c r="S185">
        <v>6</v>
      </c>
      <c r="T185">
        <v>9.5</v>
      </c>
      <c r="U185">
        <v>5.5</v>
      </c>
      <c r="V185">
        <v>1.6</v>
      </c>
      <c r="X185">
        <v>8.1999999999999993</v>
      </c>
      <c r="Y185">
        <v>1.1000000000000001</v>
      </c>
      <c r="Z185">
        <v>3.4</v>
      </c>
      <c r="AA185">
        <v>4.5999999999999996</v>
      </c>
      <c r="AB185">
        <v>1.7</v>
      </c>
      <c r="AC185">
        <v>7.8</v>
      </c>
      <c r="AD185" t="s">
        <v>53</v>
      </c>
      <c r="AE185" t="str">
        <f>IF(AND(data[[#This Row],[Age]]&gt;=18,data[[#This Row],[Age]]&lt;=24),"18-24",IF(AND(data[[#This Row],[Age]]&gt;=25,data[[#This Row],[Age]]&lt;=34),"25-34",IF(AND(data[[#This Row],[Age]]&gt;35,data[[#This Row],[Age]]&lt;=44),"35-44",IF(data[[#This Row],[Age]]&gt;44,"45+",IF(data[[#This Row],[Age]]&lt;18,"below 18 ")))))</f>
        <v>35-44</v>
      </c>
    </row>
    <row r="186" spans="1:31" x14ac:dyDescent="0.25">
      <c r="A186" t="s">
        <v>239</v>
      </c>
      <c r="B186">
        <v>37</v>
      </c>
      <c r="C186" t="s">
        <v>31</v>
      </c>
      <c r="D186" t="s">
        <v>64</v>
      </c>
      <c r="E186" t="s">
        <v>58</v>
      </c>
      <c r="F186" t="s">
        <v>70</v>
      </c>
      <c r="G186">
        <v>9</v>
      </c>
      <c r="H186">
        <v>1</v>
      </c>
      <c r="I186">
        <v>6</v>
      </c>
      <c r="J186" t="s">
        <v>42</v>
      </c>
      <c r="K186" t="s">
        <v>36</v>
      </c>
      <c r="L186">
        <v>97</v>
      </c>
      <c r="M186">
        <v>6.4</v>
      </c>
      <c r="N186">
        <v>7</v>
      </c>
      <c r="O186">
        <v>7</v>
      </c>
      <c r="P186">
        <v>10</v>
      </c>
      <c r="Q186" t="s">
        <v>42</v>
      </c>
      <c r="R186" t="s">
        <v>35</v>
      </c>
      <c r="S186">
        <v>5.9</v>
      </c>
      <c r="T186">
        <v>8.3000000000000007</v>
      </c>
      <c r="U186">
        <v>6</v>
      </c>
      <c r="V186">
        <v>6.4</v>
      </c>
      <c r="W186">
        <v>4</v>
      </c>
      <c r="X186">
        <v>5.8</v>
      </c>
      <c r="Y186">
        <v>5.7</v>
      </c>
      <c r="Z186">
        <v>5.2</v>
      </c>
      <c r="AA186">
        <v>0.2</v>
      </c>
      <c r="AB186">
        <v>5</v>
      </c>
      <c r="AC186">
        <v>4.3</v>
      </c>
      <c r="AD186" t="s">
        <v>43</v>
      </c>
      <c r="AE186" t="str">
        <f>IF(AND(data[[#This Row],[Age]]&gt;=18,data[[#This Row],[Age]]&lt;=24),"18-24",IF(AND(data[[#This Row],[Age]]&gt;=25,data[[#This Row],[Age]]&lt;=34),"25-34",IF(AND(data[[#This Row],[Age]]&gt;35,data[[#This Row],[Age]]&lt;=44),"35-44",IF(data[[#This Row],[Age]]&gt;44,"45+",IF(data[[#This Row],[Age]]&lt;18,"below 18 ")))))</f>
        <v>35-44</v>
      </c>
    </row>
    <row r="187" spans="1:31" x14ac:dyDescent="0.25">
      <c r="A187" t="s">
        <v>240</v>
      </c>
      <c r="B187">
        <v>30</v>
      </c>
      <c r="C187" t="s">
        <v>47</v>
      </c>
      <c r="D187" t="s">
        <v>32</v>
      </c>
      <c r="E187" t="s">
        <v>58</v>
      </c>
      <c r="F187" t="s">
        <v>34</v>
      </c>
      <c r="G187">
        <v>3.3</v>
      </c>
      <c r="H187">
        <v>2</v>
      </c>
      <c r="I187">
        <v>5</v>
      </c>
      <c r="J187" t="s">
        <v>35</v>
      </c>
      <c r="K187" t="s">
        <v>36</v>
      </c>
      <c r="L187">
        <v>126</v>
      </c>
      <c r="M187">
        <v>5.9</v>
      </c>
      <c r="N187">
        <v>8</v>
      </c>
      <c r="O187">
        <v>2</v>
      </c>
      <c r="P187">
        <v>3.3</v>
      </c>
      <c r="Q187" t="s">
        <v>42</v>
      </c>
      <c r="R187" t="s">
        <v>35</v>
      </c>
      <c r="S187">
        <v>6.6</v>
      </c>
      <c r="T187">
        <v>6</v>
      </c>
      <c r="U187">
        <v>5.2</v>
      </c>
      <c r="V187">
        <v>4.9000000000000004</v>
      </c>
      <c r="W187">
        <v>5.0999999999999996</v>
      </c>
      <c r="X187">
        <v>6.1</v>
      </c>
      <c r="Y187">
        <v>5.7</v>
      </c>
      <c r="Z187">
        <v>6.2</v>
      </c>
      <c r="AA187">
        <v>2.6</v>
      </c>
      <c r="AB187">
        <v>3.4</v>
      </c>
      <c r="AC187">
        <v>6.1</v>
      </c>
      <c r="AD187" t="s">
        <v>53</v>
      </c>
      <c r="AE187" t="str">
        <f>IF(AND(data[[#This Row],[Age]]&gt;=18,data[[#This Row],[Age]]&lt;=24),"18-24",IF(AND(data[[#This Row],[Age]]&gt;=25,data[[#This Row],[Age]]&lt;=34),"25-34",IF(AND(data[[#This Row],[Age]]&gt;35,data[[#This Row],[Age]]&lt;=44),"35-44",IF(data[[#This Row],[Age]]&gt;44,"45+",IF(data[[#This Row],[Age]]&lt;18,"below 18 ")))))</f>
        <v>25-34</v>
      </c>
    </row>
    <row r="188" spans="1:31" x14ac:dyDescent="0.25">
      <c r="A188" t="s">
        <v>241</v>
      </c>
      <c r="B188">
        <v>20</v>
      </c>
      <c r="C188" t="s">
        <v>47</v>
      </c>
      <c r="D188" t="s">
        <v>39</v>
      </c>
      <c r="E188" t="s">
        <v>40</v>
      </c>
      <c r="F188" t="s">
        <v>51</v>
      </c>
      <c r="G188">
        <v>5.6</v>
      </c>
      <c r="H188">
        <v>1</v>
      </c>
      <c r="I188">
        <v>2</v>
      </c>
      <c r="J188" t="s">
        <v>35</v>
      </c>
      <c r="K188" t="s">
        <v>52</v>
      </c>
      <c r="L188">
        <v>65</v>
      </c>
      <c r="M188">
        <v>7</v>
      </c>
      <c r="N188">
        <v>3.6</v>
      </c>
      <c r="O188">
        <v>5.0999999999999996</v>
      </c>
      <c r="P188">
        <v>2.4</v>
      </c>
      <c r="Q188" t="s">
        <v>42</v>
      </c>
      <c r="R188" t="s">
        <v>42</v>
      </c>
      <c r="S188">
        <v>5.9</v>
      </c>
      <c r="T188">
        <v>6</v>
      </c>
      <c r="U188">
        <v>6.5</v>
      </c>
      <c r="V188">
        <v>3</v>
      </c>
      <c r="W188">
        <v>0.8</v>
      </c>
      <c r="X188">
        <v>6.1</v>
      </c>
      <c r="Y188">
        <v>4.2</v>
      </c>
      <c r="Z188">
        <v>2.8</v>
      </c>
      <c r="AA188">
        <v>3.1</v>
      </c>
      <c r="AB188">
        <v>2.4</v>
      </c>
      <c r="AC188">
        <v>6</v>
      </c>
      <c r="AD188" t="s">
        <v>45</v>
      </c>
      <c r="AE188" t="str">
        <f>IF(AND(data[[#This Row],[Age]]&gt;=18,data[[#This Row],[Age]]&lt;=24),"18-24",IF(AND(data[[#This Row],[Age]]&gt;=25,data[[#This Row],[Age]]&lt;=34),"25-34",IF(AND(data[[#This Row],[Age]]&gt;35,data[[#This Row],[Age]]&lt;=44),"35-44",IF(data[[#This Row],[Age]]&gt;44,"45+",IF(data[[#This Row],[Age]]&lt;18,"below 18 ")))))</f>
        <v>18-24</v>
      </c>
    </row>
    <row r="189" spans="1:31" x14ac:dyDescent="0.25">
      <c r="A189" t="s">
        <v>242</v>
      </c>
      <c r="B189">
        <v>24</v>
      </c>
      <c r="C189" t="s">
        <v>31</v>
      </c>
      <c r="D189" t="s">
        <v>64</v>
      </c>
      <c r="E189" t="s">
        <v>58</v>
      </c>
      <c r="F189" t="s">
        <v>41</v>
      </c>
      <c r="G189">
        <v>6.4</v>
      </c>
      <c r="H189">
        <v>3</v>
      </c>
      <c r="I189">
        <v>6</v>
      </c>
      <c r="J189" t="s">
        <v>42</v>
      </c>
      <c r="K189" t="s">
        <v>52</v>
      </c>
      <c r="L189">
        <v>31</v>
      </c>
      <c r="M189">
        <v>6</v>
      </c>
      <c r="N189">
        <v>3.1</v>
      </c>
      <c r="O189">
        <v>5.3</v>
      </c>
      <c r="P189">
        <v>2.9</v>
      </c>
      <c r="Q189" t="s">
        <v>42</v>
      </c>
      <c r="R189" t="s">
        <v>35</v>
      </c>
      <c r="T189">
        <v>3.4</v>
      </c>
      <c r="U189">
        <v>3.6</v>
      </c>
      <c r="V189">
        <v>5.2</v>
      </c>
      <c r="W189">
        <v>6.6</v>
      </c>
      <c r="X189">
        <v>7.5</v>
      </c>
      <c r="Y189">
        <v>6.5</v>
      </c>
      <c r="Z189">
        <v>4.3</v>
      </c>
      <c r="AA189">
        <v>2.9</v>
      </c>
      <c r="AB189">
        <v>2.2999999999999998</v>
      </c>
      <c r="AC189">
        <v>6.9</v>
      </c>
      <c r="AD189" t="s">
        <v>53</v>
      </c>
      <c r="AE189" t="str">
        <f>IF(AND(data[[#This Row],[Age]]&gt;=18,data[[#This Row],[Age]]&lt;=24),"18-24",IF(AND(data[[#This Row],[Age]]&gt;=25,data[[#This Row],[Age]]&lt;=34),"25-34",IF(AND(data[[#This Row],[Age]]&gt;35,data[[#This Row],[Age]]&lt;=44),"35-44",IF(data[[#This Row],[Age]]&gt;44,"45+",IF(data[[#This Row],[Age]]&lt;18,"below 18 ")))))</f>
        <v>18-24</v>
      </c>
    </row>
    <row r="190" spans="1:31" x14ac:dyDescent="0.25">
      <c r="A190" t="s">
        <v>243</v>
      </c>
      <c r="B190">
        <v>38</v>
      </c>
      <c r="C190" t="s">
        <v>47</v>
      </c>
      <c r="D190" t="s">
        <v>39</v>
      </c>
      <c r="E190" t="s">
        <v>58</v>
      </c>
      <c r="F190" t="s">
        <v>48</v>
      </c>
      <c r="G190">
        <v>6.3</v>
      </c>
      <c r="H190">
        <v>5</v>
      </c>
      <c r="I190">
        <v>6</v>
      </c>
      <c r="J190" t="s">
        <v>35</v>
      </c>
      <c r="K190" t="s">
        <v>36</v>
      </c>
      <c r="L190">
        <v>64</v>
      </c>
      <c r="M190">
        <v>5.2</v>
      </c>
      <c r="N190">
        <v>7.1</v>
      </c>
      <c r="O190">
        <v>6.6</v>
      </c>
      <c r="P190">
        <v>3.8</v>
      </c>
      <c r="Q190" t="s">
        <v>42</v>
      </c>
      <c r="R190" t="s">
        <v>35</v>
      </c>
      <c r="S190">
        <v>9.4</v>
      </c>
      <c r="T190">
        <v>4.8</v>
      </c>
      <c r="U190">
        <v>4.7</v>
      </c>
      <c r="V190">
        <v>4.8</v>
      </c>
      <c r="X190">
        <v>7</v>
      </c>
      <c r="Y190">
        <v>1.1000000000000001</v>
      </c>
      <c r="Z190">
        <v>4.7</v>
      </c>
      <c r="AA190">
        <v>4.3</v>
      </c>
      <c r="AB190">
        <v>3.4</v>
      </c>
      <c r="AC190">
        <v>6.7</v>
      </c>
      <c r="AD190" t="s">
        <v>53</v>
      </c>
      <c r="AE190" t="str">
        <f>IF(AND(data[[#This Row],[Age]]&gt;=18,data[[#This Row],[Age]]&lt;=24),"18-24",IF(AND(data[[#This Row],[Age]]&gt;=25,data[[#This Row],[Age]]&lt;=34),"25-34",IF(AND(data[[#This Row],[Age]]&gt;35,data[[#This Row],[Age]]&lt;=44),"35-44",IF(data[[#This Row],[Age]]&gt;44,"45+",IF(data[[#This Row],[Age]]&lt;18,"below 18 ")))))</f>
        <v>35-44</v>
      </c>
    </row>
    <row r="191" spans="1:31" x14ac:dyDescent="0.25">
      <c r="A191" t="s">
        <v>244</v>
      </c>
      <c r="B191">
        <v>36</v>
      </c>
      <c r="C191" t="s">
        <v>31</v>
      </c>
      <c r="D191" t="s">
        <v>39</v>
      </c>
      <c r="E191" t="s">
        <v>58</v>
      </c>
      <c r="F191" t="s">
        <v>51</v>
      </c>
      <c r="G191">
        <v>4.3</v>
      </c>
      <c r="H191">
        <v>2</v>
      </c>
      <c r="I191">
        <v>4</v>
      </c>
      <c r="J191" t="s">
        <v>35</v>
      </c>
      <c r="K191" t="s">
        <v>36</v>
      </c>
      <c r="L191">
        <v>84</v>
      </c>
      <c r="M191">
        <v>2.4</v>
      </c>
      <c r="N191">
        <v>6.8</v>
      </c>
      <c r="O191">
        <v>2.8</v>
      </c>
      <c r="P191">
        <v>2.6</v>
      </c>
      <c r="Q191" t="s">
        <v>35</v>
      </c>
      <c r="R191" t="s">
        <v>42</v>
      </c>
      <c r="S191">
        <v>0.1</v>
      </c>
      <c r="T191">
        <v>1.4</v>
      </c>
      <c r="U191">
        <v>3.7</v>
      </c>
      <c r="V191">
        <v>4</v>
      </c>
      <c r="W191">
        <v>4.0999999999999996</v>
      </c>
      <c r="X191">
        <v>6.7</v>
      </c>
      <c r="Y191">
        <v>7.5</v>
      </c>
      <c r="Z191">
        <v>7.2</v>
      </c>
      <c r="AA191">
        <v>5.7</v>
      </c>
      <c r="AB191">
        <v>4.2</v>
      </c>
      <c r="AC191">
        <v>6.5</v>
      </c>
      <c r="AD191" t="s">
        <v>53</v>
      </c>
      <c r="AE191" t="str">
        <f>IF(AND(data[[#This Row],[Age]]&gt;=18,data[[#This Row],[Age]]&lt;=24),"18-24",IF(AND(data[[#This Row],[Age]]&gt;=25,data[[#This Row],[Age]]&lt;=34),"25-34",IF(AND(data[[#This Row],[Age]]&gt;35,data[[#This Row],[Age]]&lt;=44),"35-44",IF(data[[#This Row],[Age]]&gt;44,"45+",IF(data[[#This Row],[Age]]&lt;18,"below 18 ")))))</f>
        <v>35-44</v>
      </c>
    </row>
    <row r="192" spans="1:31" x14ac:dyDescent="0.25">
      <c r="A192" t="s">
        <v>245</v>
      </c>
      <c r="B192">
        <v>19</v>
      </c>
      <c r="C192" t="s">
        <v>31</v>
      </c>
      <c r="D192" t="s">
        <v>39</v>
      </c>
      <c r="E192" t="s">
        <v>58</v>
      </c>
      <c r="F192" t="s">
        <v>48</v>
      </c>
      <c r="G192">
        <v>6.9</v>
      </c>
      <c r="H192">
        <v>3</v>
      </c>
      <c r="I192">
        <v>4</v>
      </c>
      <c r="J192" t="s">
        <v>35</v>
      </c>
      <c r="K192" t="s">
        <v>36</v>
      </c>
      <c r="L192">
        <v>116</v>
      </c>
      <c r="M192">
        <v>5.7</v>
      </c>
      <c r="N192">
        <v>5.7</v>
      </c>
      <c r="O192">
        <v>5.4</v>
      </c>
      <c r="P192">
        <v>7</v>
      </c>
      <c r="Q192" t="s">
        <v>35</v>
      </c>
      <c r="R192" t="s">
        <v>35</v>
      </c>
      <c r="S192">
        <v>1.5</v>
      </c>
      <c r="T192">
        <v>2.4</v>
      </c>
      <c r="U192">
        <v>1</v>
      </c>
      <c r="V192">
        <v>3</v>
      </c>
      <c r="W192">
        <v>3.9</v>
      </c>
      <c r="X192">
        <v>6.1</v>
      </c>
      <c r="Y192">
        <v>4.9000000000000004</v>
      </c>
      <c r="Z192">
        <v>4.5</v>
      </c>
      <c r="AA192">
        <v>2.6</v>
      </c>
      <c r="AB192">
        <v>4.2</v>
      </c>
      <c r="AC192">
        <v>5.2</v>
      </c>
      <c r="AD192" t="s">
        <v>53</v>
      </c>
      <c r="AE192" t="str">
        <f>IF(AND(data[[#This Row],[Age]]&gt;=18,data[[#This Row],[Age]]&lt;=24),"18-24",IF(AND(data[[#This Row],[Age]]&gt;=25,data[[#This Row],[Age]]&lt;=34),"25-34",IF(AND(data[[#This Row],[Age]]&gt;35,data[[#This Row],[Age]]&lt;=44),"35-44",IF(data[[#This Row],[Age]]&gt;44,"45+",IF(data[[#This Row],[Age]]&lt;18,"below 18 ")))))</f>
        <v>18-24</v>
      </c>
    </row>
    <row r="193" spans="1:31" x14ac:dyDescent="0.25">
      <c r="A193" t="s">
        <v>246</v>
      </c>
      <c r="B193">
        <v>42</v>
      </c>
      <c r="D193" t="s">
        <v>39</v>
      </c>
      <c r="E193" t="s">
        <v>58</v>
      </c>
      <c r="F193" t="s">
        <v>41</v>
      </c>
      <c r="G193">
        <v>5.4</v>
      </c>
      <c r="H193">
        <v>5</v>
      </c>
      <c r="I193">
        <v>4</v>
      </c>
      <c r="K193" t="s">
        <v>62</v>
      </c>
      <c r="L193">
        <v>76</v>
      </c>
      <c r="M193">
        <v>8.6</v>
      </c>
      <c r="N193">
        <v>5.9</v>
      </c>
      <c r="O193">
        <v>8</v>
      </c>
      <c r="P193">
        <v>6.5</v>
      </c>
      <c r="Q193" t="s">
        <v>42</v>
      </c>
      <c r="R193" t="s">
        <v>35</v>
      </c>
      <c r="S193">
        <v>6.8</v>
      </c>
      <c r="T193">
        <v>2.4</v>
      </c>
      <c r="U193">
        <v>3.1</v>
      </c>
      <c r="V193">
        <v>7.5</v>
      </c>
      <c r="W193">
        <v>7.3</v>
      </c>
      <c r="X193">
        <v>5.8</v>
      </c>
      <c r="Y193">
        <v>4.0999999999999996</v>
      </c>
      <c r="Z193">
        <v>3.6</v>
      </c>
      <c r="AA193">
        <v>4.3</v>
      </c>
      <c r="AB193">
        <v>1.7</v>
      </c>
      <c r="AC193">
        <v>6.9</v>
      </c>
      <c r="AD193" t="s">
        <v>53</v>
      </c>
      <c r="AE193" t="str">
        <f>IF(AND(data[[#This Row],[Age]]&gt;=18,data[[#This Row],[Age]]&lt;=24),"18-24",IF(AND(data[[#This Row],[Age]]&gt;=25,data[[#This Row],[Age]]&lt;=34),"25-34",IF(AND(data[[#This Row],[Age]]&gt;35,data[[#This Row],[Age]]&lt;=44),"35-44",IF(data[[#This Row],[Age]]&gt;44,"45+",IF(data[[#This Row],[Age]]&lt;18,"below 18 ")))))</f>
        <v>35-44</v>
      </c>
    </row>
    <row r="194" spans="1:31" x14ac:dyDescent="0.25">
      <c r="A194" t="s">
        <v>247</v>
      </c>
      <c r="B194">
        <v>27</v>
      </c>
      <c r="C194" t="s">
        <v>47</v>
      </c>
      <c r="D194" t="s">
        <v>32</v>
      </c>
      <c r="E194" t="s">
        <v>58</v>
      </c>
      <c r="F194" t="s">
        <v>51</v>
      </c>
      <c r="G194">
        <v>4.5999999999999996</v>
      </c>
      <c r="H194">
        <v>3</v>
      </c>
      <c r="I194">
        <v>3</v>
      </c>
      <c r="J194" t="s">
        <v>42</v>
      </c>
      <c r="K194" t="s">
        <v>36</v>
      </c>
      <c r="L194">
        <v>165</v>
      </c>
      <c r="M194">
        <v>3</v>
      </c>
      <c r="N194">
        <v>8.9</v>
      </c>
      <c r="O194">
        <v>6</v>
      </c>
      <c r="P194">
        <v>9</v>
      </c>
      <c r="Q194" t="s">
        <v>35</v>
      </c>
      <c r="R194" t="s">
        <v>42</v>
      </c>
      <c r="S194">
        <v>5.6</v>
      </c>
      <c r="T194">
        <v>7.1</v>
      </c>
      <c r="U194">
        <v>3.5</v>
      </c>
      <c r="V194">
        <v>0.9</v>
      </c>
      <c r="W194">
        <v>4.0999999999999996</v>
      </c>
      <c r="X194">
        <v>7.2</v>
      </c>
      <c r="Y194">
        <v>4</v>
      </c>
      <c r="Z194">
        <v>4.3</v>
      </c>
      <c r="AA194">
        <v>1.1000000000000001</v>
      </c>
      <c r="AB194">
        <v>1.9</v>
      </c>
      <c r="AC194">
        <v>1.5</v>
      </c>
      <c r="AD194" t="s">
        <v>43</v>
      </c>
      <c r="AE194" t="str">
        <f>IF(AND(data[[#This Row],[Age]]&gt;=18,data[[#This Row],[Age]]&lt;=24),"18-24",IF(AND(data[[#This Row],[Age]]&gt;=25,data[[#This Row],[Age]]&lt;=34),"25-34",IF(AND(data[[#This Row],[Age]]&gt;35,data[[#This Row],[Age]]&lt;=44),"35-44",IF(data[[#This Row],[Age]]&gt;44,"45+",IF(data[[#This Row],[Age]]&lt;18,"below 18 ")))))</f>
        <v>25-34</v>
      </c>
    </row>
    <row r="195" spans="1:31" x14ac:dyDescent="0.25">
      <c r="A195" t="s">
        <v>248</v>
      </c>
      <c r="B195">
        <v>24</v>
      </c>
      <c r="C195" t="s">
        <v>31</v>
      </c>
      <c r="D195" t="s">
        <v>57</v>
      </c>
      <c r="E195" t="s">
        <v>40</v>
      </c>
      <c r="F195" t="s">
        <v>59</v>
      </c>
      <c r="G195">
        <v>2.2999999999999998</v>
      </c>
      <c r="H195">
        <v>2</v>
      </c>
      <c r="I195">
        <v>3</v>
      </c>
      <c r="J195" t="s">
        <v>35</v>
      </c>
      <c r="K195" t="s">
        <v>52</v>
      </c>
      <c r="L195">
        <v>48</v>
      </c>
      <c r="M195">
        <v>5.2</v>
      </c>
      <c r="N195">
        <v>7</v>
      </c>
      <c r="O195">
        <v>7.9</v>
      </c>
      <c r="P195">
        <v>5.0999999999999996</v>
      </c>
      <c r="Q195" t="s">
        <v>42</v>
      </c>
      <c r="R195" t="s">
        <v>35</v>
      </c>
      <c r="S195">
        <v>1.1000000000000001</v>
      </c>
      <c r="U195">
        <v>0.7</v>
      </c>
      <c r="V195">
        <v>2.2999999999999998</v>
      </c>
      <c r="W195">
        <v>8.6</v>
      </c>
      <c r="X195">
        <v>5.3</v>
      </c>
      <c r="Y195">
        <v>6.2</v>
      </c>
      <c r="Z195">
        <v>7.7</v>
      </c>
      <c r="AA195">
        <v>2.2000000000000002</v>
      </c>
      <c r="AB195">
        <v>3.9</v>
      </c>
      <c r="AC195">
        <v>7.8</v>
      </c>
      <c r="AD195" t="s">
        <v>37</v>
      </c>
      <c r="AE195" t="str">
        <f>IF(AND(data[[#This Row],[Age]]&gt;=18,data[[#This Row],[Age]]&lt;=24),"18-24",IF(AND(data[[#This Row],[Age]]&gt;=25,data[[#This Row],[Age]]&lt;=34),"25-34",IF(AND(data[[#This Row],[Age]]&gt;35,data[[#This Row],[Age]]&lt;=44),"35-44",IF(data[[#This Row],[Age]]&gt;44,"45+",IF(data[[#This Row],[Age]]&lt;18,"below 18 ")))))</f>
        <v>18-24</v>
      </c>
    </row>
    <row r="196" spans="1:31" x14ac:dyDescent="0.25">
      <c r="A196" t="s">
        <v>249</v>
      </c>
      <c r="B196">
        <v>26</v>
      </c>
      <c r="C196" t="s">
        <v>47</v>
      </c>
      <c r="D196" t="s">
        <v>32</v>
      </c>
      <c r="F196" t="s">
        <v>41</v>
      </c>
      <c r="G196">
        <v>7.3</v>
      </c>
      <c r="H196">
        <v>3</v>
      </c>
      <c r="I196">
        <v>4</v>
      </c>
      <c r="J196" t="s">
        <v>42</v>
      </c>
      <c r="K196" t="s">
        <v>52</v>
      </c>
      <c r="L196">
        <v>5</v>
      </c>
      <c r="M196">
        <v>2.5</v>
      </c>
      <c r="N196">
        <v>10</v>
      </c>
      <c r="O196">
        <v>5.4</v>
      </c>
      <c r="P196">
        <v>7.7</v>
      </c>
      <c r="Q196" t="s">
        <v>35</v>
      </c>
      <c r="R196" t="s">
        <v>35</v>
      </c>
      <c r="S196">
        <v>2.7</v>
      </c>
      <c r="T196">
        <v>5</v>
      </c>
      <c r="U196">
        <v>5.7</v>
      </c>
      <c r="V196">
        <v>4.3</v>
      </c>
      <c r="X196">
        <v>6.6</v>
      </c>
      <c r="Y196">
        <v>3.1</v>
      </c>
      <c r="Z196">
        <v>4.5</v>
      </c>
      <c r="AA196">
        <v>3.7</v>
      </c>
      <c r="AB196">
        <v>2.8</v>
      </c>
      <c r="AC196">
        <v>5.9</v>
      </c>
      <c r="AD196" t="s">
        <v>53</v>
      </c>
      <c r="AE196" t="str">
        <f>IF(AND(data[[#This Row],[Age]]&gt;=18,data[[#This Row],[Age]]&lt;=24),"18-24",IF(AND(data[[#This Row],[Age]]&gt;=25,data[[#This Row],[Age]]&lt;=34),"25-34",IF(AND(data[[#This Row],[Age]]&gt;35,data[[#This Row],[Age]]&lt;=44),"35-44",IF(data[[#This Row],[Age]]&gt;44,"45+",IF(data[[#This Row],[Age]]&lt;18,"below 18 ")))))</f>
        <v>25-34</v>
      </c>
    </row>
    <row r="197" spans="1:31" x14ac:dyDescent="0.25">
      <c r="A197" t="s">
        <v>250</v>
      </c>
      <c r="B197">
        <v>21</v>
      </c>
      <c r="C197" t="s">
        <v>31</v>
      </c>
      <c r="D197" t="s">
        <v>39</v>
      </c>
      <c r="E197" t="s">
        <v>58</v>
      </c>
      <c r="F197" t="s">
        <v>41</v>
      </c>
      <c r="G197">
        <v>4.5999999999999996</v>
      </c>
      <c r="H197">
        <v>2</v>
      </c>
      <c r="I197">
        <v>2</v>
      </c>
      <c r="J197" t="s">
        <v>42</v>
      </c>
      <c r="K197" t="s">
        <v>62</v>
      </c>
      <c r="L197">
        <v>54</v>
      </c>
      <c r="M197">
        <v>3.5</v>
      </c>
      <c r="N197">
        <v>5.4</v>
      </c>
      <c r="O197">
        <v>7</v>
      </c>
      <c r="P197">
        <v>4.9000000000000004</v>
      </c>
      <c r="Q197" t="s">
        <v>42</v>
      </c>
      <c r="R197" t="s">
        <v>35</v>
      </c>
      <c r="S197">
        <v>4.0999999999999996</v>
      </c>
      <c r="U197">
        <v>2.6</v>
      </c>
      <c r="V197">
        <v>3.8</v>
      </c>
      <c r="W197">
        <v>4.7</v>
      </c>
      <c r="X197">
        <v>7</v>
      </c>
      <c r="Y197">
        <v>5.0999999999999996</v>
      </c>
      <c r="Z197">
        <v>4.4000000000000004</v>
      </c>
      <c r="AA197">
        <v>2.6</v>
      </c>
      <c r="AB197">
        <v>6.2</v>
      </c>
      <c r="AC197">
        <v>7.8</v>
      </c>
      <c r="AD197" t="s">
        <v>37</v>
      </c>
      <c r="AE197" t="str">
        <f>IF(AND(data[[#This Row],[Age]]&gt;=18,data[[#This Row],[Age]]&lt;=24),"18-24",IF(AND(data[[#This Row],[Age]]&gt;=25,data[[#This Row],[Age]]&lt;=34),"25-34",IF(AND(data[[#This Row],[Age]]&gt;35,data[[#This Row],[Age]]&lt;=44),"35-44",IF(data[[#This Row],[Age]]&gt;44,"45+",IF(data[[#This Row],[Age]]&lt;18,"below 18 ")))))</f>
        <v>18-24</v>
      </c>
    </row>
    <row r="198" spans="1:31" x14ac:dyDescent="0.25">
      <c r="A198" t="s">
        <v>251</v>
      </c>
      <c r="B198">
        <v>39</v>
      </c>
      <c r="C198" t="s">
        <v>50</v>
      </c>
      <c r="D198" t="s">
        <v>64</v>
      </c>
      <c r="E198" t="s">
        <v>40</v>
      </c>
      <c r="F198" t="s">
        <v>51</v>
      </c>
      <c r="G198">
        <v>5.6</v>
      </c>
      <c r="H198">
        <v>1</v>
      </c>
      <c r="I198">
        <v>2</v>
      </c>
      <c r="J198" t="s">
        <v>35</v>
      </c>
      <c r="K198" t="s">
        <v>52</v>
      </c>
      <c r="L198">
        <v>52</v>
      </c>
      <c r="M198">
        <v>2.4</v>
      </c>
      <c r="N198">
        <v>5.6</v>
      </c>
      <c r="O198">
        <v>5.6</v>
      </c>
      <c r="P198">
        <v>6.6</v>
      </c>
      <c r="Q198" t="s">
        <v>42</v>
      </c>
      <c r="R198" t="s">
        <v>42</v>
      </c>
      <c r="S198">
        <v>6.8</v>
      </c>
      <c r="T198">
        <v>4.5</v>
      </c>
      <c r="U198">
        <v>0.6</v>
      </c>
      <c r="V198">
        <v>5.3</v>
      </c>
      <c r="W198">
        <v>6.9</v>
      </c>
      <c r="X198">
        <v>5.4</v>
      </c>
      <c r="Y198">
        <v>4.5999999999999996</v>
      </c>
      <c r="Z198">
        <v>6.8</v>
      </c>
      <c r="AA198">
        <v>4.7</v>
      </c>
      <c r="AC198">
        <v>7.6</v>
      </c>
      <c r="AD198" t="s">
        <v>53</v>
      </c>
      <c r="AE198" t="str">
        <f>IF(AND(data[[#This Row],[Age]]&gt;=18,data[[#This Row],[Age]]&lt;=24),"18-24",IF(AND(data[[#This Row],[Age]]&gt;=25,data[[#This Row],[Age]]&lt;=34),"25-34",IF(AND(data[[#This Row],[Age]]&gt;35,data[[#This Row],[Age]]&lt;=44),"35-44",IF(data[[#This Row],[Age]]&gt;44,"45+",IF(data[[#This Row],[Age]]&lt;18,"below 18 ")))))</f>
        <v>35-44</v>
      </c>
    </row>
    <row r="199" spans="1:31" x14ac:dyDescent="0.25">
      <c r="A199" t="s">
        <v>252</v>
      </c>
      <c r="B199">
        <v>16</v>
      </c>
      <c r="C199" t="s">
        <v>47</v>
      </c>
      <c r="D199" t="s">
        <v>39</v>
      </c>
      <c r="E199" t="s">
        <v>33</v>
      </c>
      <c r="F199" t="s">
        <v>59</v>
      </c>
      <c r="G199">
        <v>4.4000000000000004</v>
      </c>
      <c r="H199">
        <v>7</v>
      </c>
      <c r="I199">
        <v>4</v>
      </c>
      <c r="J199" t="s">
        <v>35</v>
      </c>
      <c r="K199" t="s">
        <v>36</v>
      </c>
      <c r="L199">
        <v>94</v>
      </c>
      <c r="M199">
        <v>6.4</v>
      </c>
      <c r="N199">
        <v>7.2</v>
      </c>
      <c r="P199">
        <v>4.5999999999999996</v>
      </c>
      <c r="Q199" t="s">
        <v>42</v>
      </c>
      <c r="R199" t="s">
        <v>42</v>
      </c>
      <c r="S199">
        <v>4.7</v>
      </c>
      <c r="U199">
        <v>1.8</v>
      </c>
      <c r="V199">
        <v>7.4</v>
      </c>
      <c r="W199">
        <v>6.9</v>
      </c>
      <c r="X199">
        <v>8.1999999999999993</v>
      </c>
      <c r="Y199">
        <v>4.4000000000000004</v>
      </c>
      <c r="Z199">
        <v>5.9</v>
      </c>
      <c r="AA199">
        <v>6.6</v>
      </c>
      <c r="AB199">
        <v>2.2999999999999998</v>
      </c>
      <c r="AC199">
        <v>6</v>
      </c>
      <c r="AD199" t="s">
        <v>53</v>
      </c>
      <c r="AE199" t="str">
        <f>IF(AND(data[[#This Row],[Age]]&gt;=18,data[[#This Row],[Age]]&lt;=24),"18-24",IF(AND(data[[#This Row],[Age]]&gt;=25,data[[#This Row],[Age]]&lt;=34),"25-34",IF(AND(data[[#This Row],[Age]]&gt;35,data[[#This Row],[Age]]&lt;=44),"35-44",IF(data[[#This Row],[Age]]&gt;44,"45+",IF(data[[#This Row],[Age]]&lt;18,"below 18 ")))))</f>
        <v xml:space="preserve">below 18 </v>
      </c>
    </row>
    <row r="200" spans="1:31" x14ac:dyDescent="0.25">
      <c r="A200" t="s">
        <v>253</v>
      </c>
      <c r="B200">
        <v>36</v>
      </c>
      <c r="C200" t="s">
        <v>47</v>
      </c>
      <c r="D200" t="s">
        <v>39</v>
      </c>
      <c r="E200" t="s">
        <v>58</v>
      </c>
      <c r="F200" t="s">
        <v>51</v>
      </c>
      <c r="G200">
        <v>5.3</v>
      </c>
      <c r="H200">
        <v>2</v>
      </c>
      <c r="I200">
        <v>7</v>
      </c>
      <c r="J200" t="s">
        <v>35</v>
      </c>
      <c r="K200" t="s">
        <v>36</v>
      </c>
      <c r="L200">
        <v>60</v>
      </c>
      <c r="N200">
        <v>5.6</v>
      </c>
      <c r="O200">
        <v>5.7</v>
      </c>
      <c r="P200">
        <v>4.4000000000000004</v>
      </c>
      <c r="Q200" t="s">
        <v>35</v>
      </c>
      <c r="R200" t="s">
        <v>35</v>
      </c>
      <c r="S200">
        <v>1.4</v>
      </c>
      <c r="T200">
        <v>2.8</v>
      </c>
      <c r="U200">
        <v>7.9</v>
      </c>
      <c r="V200">
        <v>3.2</v>
      </c>
      <c r="W200">
        <v>4.2</v>
      </c>
      <c r="X200">
        <v>6.2</v>
      </c>
      <c r="Y200">
        <v>3.6</v>
      </c>
      <c r="Z200">
        <v>5.8</v>
      </c>
      <c r="AA200">
        <v>2.2000000000000002</v>
      </c>
      <c r="AB200">
        <v>3.9</v>
      </c>
      <c r="AC200">
        <v>6.2</v>
      </c>
      <c r="AD200" t="s">
        <v>53</v>
      </c>
      <c r="AE200" t="str">
        <f>IF(AND(data[[#This Row],[Age]]&gt;=18,data[[#This Row],[Age]]&lt;=24),"18-24",IF(AND(data[[#This Row],[Age]]&gt;=25,data[[#This Row],[Age]]&lt;=34),"25-34",IF(AND(data[[#This Row],[Age]]&gt;35,data[[#This Row],[Age]]&lt;=44),"35-44",IF(data[[#This Row],[Age]]&gt;44,"45+",IF(data[[#This Row],[Age]]&lt;18,"below 18 ")))))</f>
        <v>35-44</v>
      </c>
    </row>
    <row r="201" spans="1:31" x14ac:dyDescent="0.25">
      <c r="A201" t="s">
        <v>254</v>
      </c>
      <c r="B201">
        <v>36</v>
      </c>
      <c r="C201" t="s">
        <v>31</v>
      </c>
      <c r="D201" t="s">
        <v>39</v>
      </c>
      <c r="E201" t="s">
        <v>33</v>
      </c>
      <c r="F201" t="s">
        <v>34</v>
      </c>
      <c r="G201">
        <v>3.7</v>
      </c>
      <c r="H201">
        <v>3</v>
      </c>
      <c r="I201">
        <v>3</v>
      </c>
      <c r="J201" t="s">
        <v>42</v>
      </c>
      <c r="K201" t="s">
        <v>52</v>
      </c>
      <c r="L201">
        <v>76</v>
      </c>
      <c r="M201">
        <v>4.0999999999999996</v>
      </c>
      <c r="N201">
        <v>4.0999999999999996</v>
      </c>
      <c r="O201">
        <v>4.7</v>
      </c>
      <c r="P201">
        <v>0.6</v>
      </c>
      <c r="Q201" t="s">
        <v>42</v>
      </c>
      <c r="R201" t="s">
        <v>35</v>
      </c>
      <c r="S201">
        <v>7.3</v>
      </c>
      <c r="T201">
        <v>3.1</v>
      </c>
      <c r="U201">
        <v>5.5</v>
      </c>
      <c r="V201">
        <v>7.4</v>
      </c>
      <c r="W201">
        <v>6.2</v>
      </c>
      <c r="X201">
        <v>10</v>
      </c>
      <c r="Y201">
        <v>6.8</v>
      </c>
      <c r="Z201">
        <v>4.5</v>
      </c>
      <c r="AA201">
        <v>0</v>
      </c>
      <c r="AB201">
        <v>3.4</v>
      </c>
      <c r="AC201">
        <v>7.5</v>
      </c>
      <c r="AD201" t="s">
        <v>37</v>
      </c>
      <c r="AE201" t="str">
        <f>IF(AND(data[[#This Row],[Age]]&gt;=18,data[[#This Row],[Age]]&lt;=24),"18-24",IF(AND(data[[#This Row],[Age]]&gt;=25,data[[#This Row],[Age]]&lt;=34),"25-34",IF(AND(data[[#This Row],[Age]]&gt;35,data[[#This Row],[Age]]&lt;=44),"35-44",IF(data[[#This Row],[Age]]&gt;44,"45+",IF(data[[#This Row],[Age]]&lt;18,"below 18 ")))))</f>
        <v>35-44</v>
      </c>
    </row>
    <row r="202" spans="1:31" x14ac:dyDescent="0.25">
      <c r="A202" t="s">
        <v>255</v>
      </c>
      <c r="B202">
        <v>26</v>
      </c>
      <c r="C202" t="s">
        <v>31</v>
      </c>
      <c r="D202" t="s">
        <v>64</v>
      </c>
      <c r="E202" t="s">
        <v>40</v>
      </c>
      <c r="F202" t="s">
        <v>34</v>
      </c>
      <c r="G202">
        <v>10.1</v>
      </c>
      <c r="H202">
        <v>4</v>
      </c>
      <c r="I202">
        <v>2</v>
      </c>
      <c r="J202" t="s">
        <v>42</v>
      </c>
      <c r="K202" t="s">
        <v>36</v>
      </c>
      <c r="L202">
        <v>75</v>
      </c>
      <c r="M202">
        <v>4.0999999999999996</v>
      </c>
      <c r="N202">
        <v>5</v>
      </c>
      <c r="O202">
        <v>4.5</v>
      </c>
      <c r="P202">
        <v>7</v>
      </c>
      <c r="Q202" t="s">
        <v>42</v>
      </c>
      <c r="R202" t="s">
        <v>42</v>
      </c>
      <c r="S202">
        <v>7.5</v>
      </c>
      <c r="T202">
        <v>7.4</v>
      </c>
      <c r="U202">
        <v>5.0999999999999996</v>
      </c>
      <c r="V202">
        <v>4.0999999999999996</v>
      </c>
      <c r="W202">
        <v>2.6</v>
      </c>
      <c r="X202">
        <v>5.5</v>
      </c>
      <c r="Y202">
        <v>3.4</v>
      </c>
      <c r="Z202">
        <v>3.3</v>
      </c>
      <c r="AA202">
        <v>4.7</v>
      </c>
      <c r="AB202">
        <v>1</v>
      </c>
      <c r="AC202">
        <v>3.5</v>
      </c>
      <c r="AD202" t="s">
        <v>43</v>
      </c>
      <c r="AE202" t="str">
        <f>IF(AND(data[[#This Row],[Age]]&gt;=18,data[[#This Row],[Age]]&lt;=24),"18-24",IF(AND(data[[#This Row],[Age]]&gt;=25,data[[#This Row],[Age]]&lt;=34),"25-34",IF(AND(data[[#This Row],[Age]]&gt;35,data[[#This Row],[Age]]&lt;=44),"35-44",IF(data[[#This Row],[Age]]&gt;44,"45+",IF(data[[#This Row],[Age]]&lt;18,"below 18 ")))))</f>
        <v>25-34</v>
      </c>
    </row>
    <row r="203" spans="1:31" x14ac:dyDescent="0.25">
      <c r="A203" t="s">
        <v>256</v>
      </c>
      <c r="B203">
        <v>43</v>
      </c>
      <c r="C203" t="s">
        <v>47</v>
      </c>
      <c r="D203" t="s">
        <v>32</v>
      </c>
      <c r="E203" t="s">
        <v>58</v>
      </c>
      <c r="F203" t="s">
        <v>41</v>
      </c>
      <c r="G203">
        <v>8.5</v>
      </c>
      <c r="H203">
        <v>3</v>
      </c>
      <c r="I203">
        <v>1</v>
      </c>
      <c r="J203" t="s">
        <v>42</v>
      </c>
      <c r="K203" t="s">
        <v>36</v>
      </c>
      <c r="L203">
        <v>79</v>
      </c>
      <c r="M203">
        <v>3.1</v>
      </c>
      <c r="N203">
        <v>2.8</v>
      </c>
      <c r="O203">
        <v>0</v>
      </c>
      <c r="P203">
        <v>5.4</v>
      </c>
      <c r="Q203" t="s">
        <v>42</v>
      </c>
      <c r="R203" t="s">
        <v>35</v>
      </c>
      <c r="S203">
        <v>6.8</v>
      </c>
      <c r="T203">
        <v>4.5</v>
      </c>
      <c r="U203">
        <v>5.4</v>
      </c>
      <c r="V203">
        <v>8.5</v>
      </c>
      <c r="W203">
        <v>7.8</v>
      </c>
      <c r="X203">
        <v>6.7</v>
      </c>
      <c r="Y203">
        <v>1.7</v>
      </c>
      <c r="Z203">
        <v>2.6</v>
      </c>
      <c r="AA203">
        <v>4</v>
      </c>
      <c r="AB203">
        <v>1.5</v>
      </c>
      <c r="AC203">
        <v>7.7</v>
      </c>
      <c r="AD203" t="s">
        <v>37</v>
      </c>
      <c r="AE203" t="str">
        <f>IF(AND(data[[#This Row],[Age]]&gt;=18,data[[#This Row],[Age]]&lt;=24),"18-24",IF(AND(data[[#This Row],[Age]]&gt;=25,data[[#This Row],[Age]]&lt;=34),"25-34",IF(AND(data[[#This Row],[Age]]&gt;35,data[[#This Row],[Age]]&lt;=44),"35-44",IF(data[[#This Row],[Age]]&gt;44,"45+",IF(data[[#This Row],[Age]]&lt;18,"below 18 ")))))</f>
        <v>35-44</v>
      </c>
    </row>
    <row r="204" spans="1:31" x14ac:dyDescent="0.25">
      <c r="A204" t="s">
        <v>257</v>
      </c>
      <c r="B204">
        <v>39</v>
      </c>
      <c r="C204" t="s">
        <v>31</v>
      </c>
      <c r="D204" t="s">
        <v>64</v>
      </c>
      <c r="E204" t="s">
        <v>58</v>
      </c>
      <c r="F204" t="s">
        <v>41</v>
      </c>
      <c r="G204">
        <v>6</v>
      </c>
      <c r="H204">
        <v>4</v>
      </c>
      <c r="I204">
        <v>8</v>
      </c>
      <c r="J204" t="s">
        <v>42</v>
      </c>
      <c r="K204" t="s">
        <v>36</v>
      </c>
      <c r="L204">
        <v>24</v>
      </c>
      <c r="M204">
        <v>6.8</v>
      </c>
      <c r="N204">
        <v>4.0999999999999996</v>
      </c>
      <c r="O204">
        <v>4.9000000000000004</v>
      </c>
      <c r="P204">
        <v>6.8</v>
      </c>
      <c r="Q204" t="s">
        <v>42</v>
      </c>
      <c r="R204" t="s">
        <v>42</v>
      </c>
      <c r="S204">
        <v>6.8</v>
      </c>
      <c r="T204">
        <v>5.8</v>
      </c>
      <c r="U204">
        <v>5.5</v>
      </c>
      <c r="V204">
        <v>9.6999999999999993</v>
      </c>
      <c r="W204">
        <v>7.2</v>
      </c>
      <c r="X204">
        <v>4</v>
      </c>
      <c r="Y204">
        <v>1.7</v>
      </c>
      <c r="Z204">
        <v>2.2999999999999998</v>
      </c>
      <c r="AA204">
        <v>1.3</v>
      </c>
      <c r="AB204">
        <v>1.7</v>
      </c>
      <c r="AC204">
        <v>3.7</v>
      </c>
      <c r="AD204" t="s">
        <v>43</v>
      </c>
      <c r="AE204" t="str">
        <f>IF(AND(data[[#This Row],[Age]]&gt;=18,data[[#This Row],[Age]]&lt;=24),"18-24",IF(AND(data[[#This Row],[Age]]&gt;=25,data[[#This Row],[Age]]&lt;=34),"25-34",IF(AND(data[[#This Row],[Age]]&gt;35,data[[#This Row],[Age]]&lt;=44),"35-44",IF(data[[#This Row],[Age]]&gt;44,"45+",IF(data[[#This Row],[Age]]&lt;18,"below 18 ")))))</f>
        <v>35-44</v>
      </c>
    </row>
    <row r="205" spans="1:31" x14ac:dyDescent="0.25">
      <c r="A205" t="s">
        <v>258</v>
      </c>
      <c r="B205">
        <v>34</v>
      </c>
      <c r="C205" t="s">
        <v>47</v>
      </c>
      <c r="D205" t="s">
        <v>32</v>
      </c>
      <c r="E205" t="s">
        <v>58</v>
      </c>
      <c r="F205" t="s">
        <v>51</v>
      </c>
      <c r="G205">
        <v>5.0999999999999996</v>
      </c>
      <c r="H205">
        <v>5</v>
      </c>
      <c r="I205">
        <v>2</v>
      </c>
      <c r="J205" t="s">
        <v>35</v>
      </c>
      <c r="K205" t="s">
        <v>62</v>
      </c>
      <c r="L205">
        <v>20</v>
      </c>
      <c r="M205">
        <v>4.9000000000000004</v>
      </c>
      <c r="N205">
        <v>4.0999999999999996</v>
      </c>
      <c r="O205">
        <v>4.5999999999999996</v>
      </c>
      <c r="P205">
        <v>0.6</v>
      </c>
      <c r="Q205" t="s">
        <v>35</v>
      </c>
      <c r="R205" t="s">
        <v>35</v>
      </c>
      <c r="S205">
        <v>4</v>
      </c>
      <c r="T205">
        <v>9.1</v>
      </c>
      <c r="U205">
        <v>6.2</v>
      </c>
      <c r="V205">
        <v>5.3</v>
      </c>
      <c r="W205">
        <v>2.7</v>
      </c>
      <c r="X205">
        <v>7.4</v>
      </c>
      <c r="Y205">
        <v>2.4</v>
      </c>
      <c r="Z205">
        <v>5.5</v>
      </c>
      <c r="AA205">
        <v>1.5</v>
      </c>
      <c r="AB205">
        <v>4.9000000000000004</v>
      </c>
      <c r="AC205">
        <v>8</v>
      </c>
      <c r="AD205" t="s">
        <v>37</v>
      </c>
      <c r="AE205" t="str">
        <f>IF(AND(data[[#This Row],[Age]]&gt;=18,data[[#This Row],[Age]]&lt;=24),"18-24",IF(AND(data[[#This Row],[Age]]&gt;=25,data[[#This Row],[Age]]&lt;=34),"25-34",IF(AND(data[[#This Row],[Age]]&gt;35,data[[#This Row],[Age]]&lt;=44),"35-44",IF(data[[#This Row],[Age]]&gt;44,"45+",IF(data[[#This Row],[Age]]&lt;18,"below 18 ")))))</f>
        <v>25-34</v>
      </c>
    </row>
    <row r="206" spans="1:31" x14ac:dyDescent="0.25">
      <c r="A206" t="s">
        <v>259</v>
      </c>
      <c r="B206">
        <v>38</v>
      </c>
      <c r="C206" t="s">
        <v>31</v>
      </c>
      <c r="D206" t="s">
        <v>32</v>
      </c>
      <c r="E206" t="s">
        <v>40</v>
      </c>
      <c r="F206" t="s">
        <v>41</v>
      </c>
      <c r="G206">
        <v>6</v>
      </c>
      <c r="H206">
        <v>3</v>
      </c>
      <c r="I206">
        <v>5</v>
      </c>
      <c r="J206" t="s">
        <v>42</v>
      </c>
      <c r="K206" t="s">
        <v>52</v>
      </c>
      <c r="L206">
        <v>72</v>
      </c>
      <c r="M206">
        <v>5.2</v>
      </c>
      <c r="N206">
        <v>4.9000000000000004</v>
      </c>
      <c r="O206">
        <v>3.3</v>
      </c>
      <c r="P206">
        <v>8.5</v>
      </c>
      <c r="Q206" t="s">
        <v>42</v>
      </c>
      <c r="R206" t="s">
        <v>35</v>
      </c>
      <c r="S206">
        <v>4.5999999999999996</v>
      </c>
      <c r="T206">
        <v>0.8</v>
      </c>
      <c r="U206">
        <v>4.0999999999999996</v>
      </c>
      <c r="V206">
        <v>4.9000000000000004</v>
      </c>
      <c r="W206">
        <v>5.3</v>
      </c>
      <c r="X206">
        <v>6.6</v>
      </c>
      <c r="Y206">
        <v>5</v>
      </c>
      <c r="Z206">
        <v>5</v>
      </c>
      <c r="AA206">
        <v>3.4</v>
      </c>
      <c r="AB206">
        <v>2.8</v>
      </c>
      <c r="AC206">
        <v>5.4</v>
      </c>
      <c r="AD206" t="s">
        <v>45</v>
      </c>
      <c r="AE206" t="str">
        <f>IF(AND(data[[#This Row],[Age]]&gt;=18,data[[#This Row],[Age]]&lt;=24),"18-24",IF(AND(data[[#This Row],[Age]]&gt;=25,data[[#This Row],[Age]]&lt;=34),"25-34",IF(AND(data[[#This Row],[Age]]&gt;35,data[[#This Row],[Age]]&lt;=44),"35-44",IF(data[[#This Row],[Age]]&gt;44,"45+",IF(data[[#This Row],[Age]]&lt;18,"below 18 ")))))</f>
        <v>35-44</v>
      </c>
    </row>
    <row r="207" spans="1:31" x14ac:dyDescent="0.25">
      <c r="A207" t="s">
        <v>260</v>
      </c>
      <c r="B207">
        <v>38</v>
      </c>
      <c r="C207" t="s">
        <v>31</v>
      </c>
      <c r="D207" t="s">
        <v>64</v>
      </c>
      <c r="E207" t="s">
        <v>58</v>
      </c>
      <c r="F207" t="s">
        <v>34</v>
      </c>
      <c r="G207">
        <v>2.7</v>
      </c>
      <c r="H207">
        <v>1</v>
      </c>
      <c r="I207">
        <v>2</v>
      </c>
      <c r="J207" t="s">
        <v>35</v>
      </c>
      <c r="K207" t="s">
        <v>52</v>
      </c>
      <c r="L207">
        <v>62</v>
      </c>
      <c r="M207">
        <v>5.8</v>
      </c>
      <c r="N207">
        <v>5.8</v>
      </c>
      <c r="O207">
        <v>4.5</v>
      </c>
      <c r="P207">
        <v>6.8</v>
      </c>
      <c r="Q207" t="s">
        <v>42</v>
      </c>
      <c r="R207" t="s">
        <v>35</v>
      </c>
      <c r="S207">
        <v>2.2999999999999998</v>
      </c>
      <c r="T207">
        <v>4.5999999999999996</v>
      </c>
      <c r="U207">
        <v>4.9000000000000004</v>
      </c>
      <c r="V207">
        <v>6.5</v>
      </c>
      <c r="W207">
        <v>8.5</v>
      </c>
      <c r="X207">
        <v>6.5</v>
      </c>
      <c r="Y207">
        <v>5.9</v>
      </c>
      <c r="Z207">
        <v>9.9</v>
      </c>
      <c r="AA207">
        <v>3.1</v>
      </c>
      <c r="AB207">
        <v>1.9</v>
      </c>
      <c r="AC207">
        <v>7.7</v>
      </c>
      <c r="AD207" t="s">
        <v>37</v>
      </c>
      <c r="AE207" t="str">
        <f>IF(AND(data[[#This Row],[Age]]&gt;=18,data[[#This Row],[Age]]&lt;=24),"18-24",IF(AND(data[[#This Row],[Age]]&gt;=25,data[[#This Row],[Age]]&lt;=34),"25-34",IF(AND(data[[#This Row],[Age]]&gt;35,data[[#This Row],[Age]]&lt;=44),"35-44",IF(data[[#This Row],[Age]]&gt;44,"45+",IF(data[[#This Row],[Age]]&lt;18,"below 18 ")))))</f>
        <v>35-44</v>
      </c>
    </row>
    <row r="208" spans="1:31" x14ac:dyDescent="0.25">
      <c r="A208" t="s">
        <v>261</v>
      </c>
      <c r="B208">
        <v>40</v>
      </c>
      <c r="C208" t="s">
        <v>31</v>
      </c>
      <c r="D208" t="s">
        <v>39</v>
      </c>
      <c r="E208" t="s">
        <v>40</v>
      </c>
      <c r="F208" t="s">
        <v>51</v>
      </c>
      <c r="G208">
        <v>5.8</v>
      </c>
      <c r="H208">
        <v>7</v>
      </c>
      <c r="I208">
        <v>6</v>
      </c>
      <c r="J208" t="s">
        <v>42</v>
      </c>
      <c r="K208" t="s">
        <v>36</v>
      </c>
      <c r="L208">
        <v>79</v>
      </c>
      <c r="M208">
        <v>8.1</v>
      </c>
      <c r="N208">
        <v>5.9</v>
      </c>
      <c r="O208">
        <v>3.5</v>
      </c>
      <c r="P208">
        <v>4.8</v>
      </c>
      <c r="Q208" t="s">
        <v>42</v>
      </c>
      <c r="R208" t="s">
        <v>35</v>
      </c>
      <c r="S208">
        <v>4.5</v>
      </c>
      <c r="T208">
        <v>3.4</v>
      </c>
      <c r="U208">
        <v>0.4</v>
      </c>
      <c r="V208">
        <v>4.5</v>
      </c>
      <c r="W208">
        <v>6.6</v>
      </c>
      <c r="X208">
        <v>4.0999999999999996</v>
      </c>
      <c r="Y208">
        <v>3.1</v>
      </c>
      <c r="Z208">
        <v>5.0999999999999996</v>
      </c>
      <c r="AA208">
        <v>2.7</v>
      </c>
      <c r="AB208">
        <v>4.7</v>
      </c>
      <c r="AC208">
        <v>5</v>
      </c>
      <c r="AD208" t="s">
        <v>43</v>
      </c>
      <c r="AE208" t="str">
        <f>IF(AND(data[[#This Row],[Age]]&gt;=18,data[[#This Row],[Age]]&lt;=24),"18-24",IF(AND(data[[#This Row],[Age]]&gt;=25,data[[#This Row],[Age]]&lt;=34),"25-34",IF(AND(data[[#This Row],[Age]]&gt;35,data[[#This Row],[Age]]&lt;=44),"35-44",IF(data[[#This Row],[Age]]&gt;44,"45+",IF(data[[#This Row],[Age]]&lt;18,"below 18 ")))))</f>
        <v>35-44</v>
      </c>
    </row>
    <row r="209" spans="1:31" x14ac:dyDescent="0.25">
      <c r="A209" t="s">
        <v>262</v>
      </c>
      <c r="B209">
        <v>27</v>
      </c>
      <c r="C209" t="s">
        <v>47</v>
      </c>
      <c r="D209" t="s">
        <v>39</v>
      </c>
      <c r="E209" t="s">
        <v>58</v>
      </c>
      <c r="F209" t="s">
        <v>34</v>
      </c>
      <c r="G209">
        <v>4.3</v>
      </c>
      <c r="H209">
        <v>5</v>
      </c>
      <c r="I209">
        <v>4</v>
      </c>
      <c r="J209" t="s">
        <v>42</v>
      </c>
      <c r="K209" t="s">
        <v>36</v>
      </c>
      <c r="L209">
        <v>87</v>
      </c>
      <c r="M209">
        <v>5.6</v>
      </c>
      <c r="N209">
        <v>6.8</v>
      </c>
      <c r="O209">
        <v>7.9</v>
      </c>
      <c r="P209">
        <v>7.2</v>
      </c>
      <c r="Q209" t="s">
        <v>42</v>
      </c>
      <c r="R209" t="s">
        <v>35</v>
      </c>
      <c r="S209">
        <v>4.7</v>
      </c>
      <c r="T209">
        <v>5.3</v>
      </c>
      <c r="U209">
        <v>4.8</v>
      </c>
      <c r="V209">
        <v>7.2</v>
      </c>
      <c r="W209">
        <v>6.2</v>
      </c>
      <c r="X209">
        <v>7.4</v>
      </c>
      <c r="Y209">
        <v>3.8</v>
      </c>
      <c r="Z209">
        <v>4.4000000000000004</v>
      </c>
      <c r="AA209">
        <v>5.0999999999999996</v>
      </c>
      <c r="AB209">
        <v>3.7</v>
      </c>
      <c r="AC209">
        <v>5.6</v>
      </c>
      <c r="AD209" t="s">
        <v>45</v>
      </c>
      <c r="AE209" t="str">
        <f>IF(AND(data[[#This Row],[Age]]&gt;=18,data[[#This Row],[Age]]&lt;=24),"18-24",IF(AND(data[[#This Row],[Age]]&gt;=25,data[[#This Row],[Age]]&lt;=34),"25-34",IF(AND(data[[#This Row],[Age]]&gt;35,data[[#This Row],[Age]]&lt;=44),"35-44",IF(data[[#This Row],[Age]]&gt;44,"45+",IF(data[[#This Row],[Age]]&lt;18,"below 18 ")))))</f>
        <v>25-34</v>
      </c>
    </row>
    <row r="210" spans="1:31" x14ac:dyDescent="0.25">
      <c r="A210" t="s">
        <v>263</v>
      </c>
      <c r="B210">
        <v>27</v>
      </c>
      <c r="D210" t="s">
        <v>64</v>
      </c>
      <c r="E210" t="s">
        <v>40</v>
      </c>
      <c r="F210" t="s">
        <v>59</v>
      </c>
      <c r="G210">
        <v>3.6</v>
      </c>
      <c r="H210">
        <v>3</v>
      </c>
      <c r="I210">
        <v>3</v>
      </c>
      <c r="J210" t="s">
        <v>35</v>
      </c>
      <c r="K210" t="s">
        <v>52</v>
      </c>
      <c r="L210">
        <v>48</v>
      </c>
      <c r="M210">
        <v>6.8</v>
      </c>
      <c r="N210">
        <v>6.3</v>
      </c>
      <c r="O210">
        <v>6.7</v>
      </c>
      <c r="P210">
        <v>7.6</v>
      </c>
      <c r="Q210" t="s">
        <v>35</v>
      </c>
      <c r="R210" t="s">
        <v>42</v>
      </c>
      <c r="S210">
        <v>3</v>
      </c>
      <c r="T210">
        <v>4.7</v>
      </c>
      <c r="U210">
        <v>5.6</v>
      </c>
      <c r="V210">
        <v>3.9</v>
      </c>
      <c r="W210">
        <v>6.7</v>
      </c>
      <c r="X210">
        <v>6.8</v>
      </c>
      <c r="Y210">
        <v>3.7</v>
      </c>
      <c r="Z210">
        <v>7.1</v>
      </c>
      <c r="AA210">
        <v>3.1</v>
      </c>
      <c r="AB210">
        <v>4.7</v>
      </c>
      <c r="AC210">
        <v>6.5</v>
      </c>
      <c r="AD210" t="s">
        <v>53</v>
      </c>
      <c r="AE210" t="str">
        <f>IF(AND(data[[#This Row],[Age]]&gt;=18,data[[#This Row],[Age]]&lt;=24),"18-24",IF(AND(data[[#This Row],[Age]]&gt;=25,data[[#This Row],[Age]]&lt;=34),"25-34",IF(AND(data[[#This Row],[Age]]&gt;35,data[[#This Row],[Age]]&lt;=44),"35-44",IF(data[[#This Row],[Age]]&gt;44,"45+",IF(data[[#This Row],[Age]]&lt;18,"below 18 ")))))</f>
        <v>25-34</v>
      </c>
    </row>
    <row r="211" spans="1:31" x14ac:dyDescent="0.25">
      <c r="A211" t="s">
        <v>264</v>
      </c>
      <c r="B211">
        <v>28</v>
      </c>
      <c r="C211" t="s">
        <v>31</v>
      </c>
      <c r="D211" t="s">
        <v>32</v>
      </c>
      <c r="E211" t="s">
        <v>58</v>
      </c>
      <c r="F211" t="s">
        <v>59</v>
      </c>
      <c r="G211">
        <v>3</v>
      </c>
      <c r="H211">
        <v>7</v>
      </c>
      <c r="I211">
        <v>5</v>
      </c>
      <c r="J211" t="s">
        <v>42</v>
      </c>
      <c r="K211" t="s">
        <v>36</v>
      </c>
      <c r="L211">
        <v>100</v>
      </c>
      <c r="M211">
        <v>5.6</v>
      </c>
      <c r="N211">
        <v>7.8</v>
      </c>
      <c r="O211">
        <v>3.7</v>
      </c>
      <c r="P211">
        <v>4.7</v>
      </c>
      <c r="Q211" t="s">
        <v>42</v>
      </c>
      <c r="R211" t="s">
        <v>42</v>
      </c>
      <c r="S211">
        <v>5.2</v>
      </c>
      <c r="U211">
        <v>5.2</v>
      </c>
      <c r="V211">
        <v>8.1</v>
      </c>
      <c r="W211">
        <v>6.1</v>
      </c>
      <c r="X211">
        <v>6.2</v>
      </c>
      <c r="Y211">
        <v>5.9</v>
      </c>
      <c r="Z211">
        <v>8</v>
      </c>
      <c r="AB211">
        <v>3.5</v>
      </c>
      <c r="AC211">
        <v>4.4000000000000004</v>
      </c>
      <c r="AD211" t="s">
        <v>43</v>
      </c>
      <c r="AE211" t="str">
        <f>IF(AND(data[[#This Row],[Age]]&gt;=18,data[[#This Row],[Age]]&lt;=24),"18-24",IF(AND(data[[#This Row],[Age]]&gt;=25,data[[#This Row],[Age]]&lt;=34),"25-34",IF(AND(data[[#This Row],[Age]]&gt;35,data[[#This Row],[Age]]&lt;=44),"35-44",IF(data[[#This Row],[Age]]&gt;44,"45+",IF(data[[#This Row],[Age]]&lt;18,"below 18 ")))))</f>
        <v>25-34</v>
      </c>
    </row>
    <row r="212" spans="1:31" x14ac:dyDescent="0.25">
      <c r="A212" t="s">
        <v>265</v>
      </c>
      <c r="B212">
        <v>19</v>
      </c>
      <c r="C212" t="s">
        <v>47</v>
      </c>
      <c r="D212" t="s">
        <v>39</v>
      </c>
      <c r="E212" t="s">
        <v>33</v>
      </c>
      <c r="F212" t="s">
        <v>48</v>
      </c>
      <c r="G212">
        <v>3.1</v>
      </c>
      <c r="H212">
        <v>3</v>
      </c>
      <c r="I212">
        <v>8</v>
      </c>
      <c r="J212" t="s">
        <v>35</v>
      </c>
      <c r="K212" t="s">
        <v>36</v>
      </c>
      <c r="L212">
        <v>61</v>
      </c>
      <c r="M212">
        <v>8.1999999999999993</v>
      </c>
      <c r="N212">
        <v>4.7</v>
      </c>
      <c r="O212">
        <v>8.5</v>
      </c>
      <c r="P212">
        <v>5.5</v>
      </c>
      <c r="Q212" t="s">
        <v>42</v>
      </c>
      <c r="R212" t="s">
        <v>35</v>
      </c>
      <c r="S212">
        <v>8.3000000000000007</v>
      </c>
      <c r="T212">
        <v>2.2999999999999998</v>
      </c>
      <c r="U212">
        <v>6</v>
      </c>
      <c r="V212">
        <v>4.4000000000000004</v>
      </c>
      <c r="W212">
        <v>4.7</v>
      </c>
      <c r="X212">
        <v>7.1</v>
      </c>
      <c r="Y212">
        <v>4.0999999999999996</v>
      </c>
      <c r="Z212">
        <v>7.9</v>
      </c>
      <c r="AB212">
        <v>2.6</v>
      </c>
      <c r="AC212">
        <v>6.1</v>
      </c>
      <c r="AD212" t="s">
        <v>53</v>
      </c>
      <c r="AE212" t="str">
        <f>IF(AND(data[[#This Row],[Age]]&gt;=18,data[[#This Row],[Age]]&lt;=24),"18-24",IF(AND(data[[#This Row],[Age]]&gt;=25,data[[#This Row],[Age]]&lt;=34),"25-34",IF(AND(data[[#This Row],[Age]]&gt;35,data[[#This Row],[Age]]&lt;=44),"35-44",IF(data[[#This Row],[Age]]&gt;44,"45+",IF(data[[#This Row],[Age]]&lt;18,"below 18 ")))))</f>
        <v>18-24</v>
      </c>
    </row>
    <row r="213" spans="1:31" x14ac:dyDescent="0.25">
      <c r="A213" t="s">
        <v>266</v>
      </c>
      <c r="B213">
        <v>22</v>
      </c>
      <c r="C213" t="s">
        <v>31</v>
      </c>
      <c r="D213" t="s">
        <v>32</v>
      </c>
      <c r="E213" t="s">
        <v>33</v>
      </c>
      <c r="F213" t="s">
        <v>34</v>
      </c>
      <c r="G213">
        <v>5.6</v>
      </c>
      <c r="H213">
        <v>3</v>
      </c>
      <c r="I213">
        <v>5</v>
      </c>
      <c r="J213" t="s">
        <v>42</v>
      </c>
      <c r="K213" t="s">
        <v>36</v>
      </c>
      <c r="L213">
        <v>75</v>
      </c>
      <c r="M213">
        <v>2.5</v>
      </c>
      <c r="N213">
        <v>6.6</v>
      </c>
      <c r="O213">
        <v>2.2000000000000002</v>
      </c>
      <c r="P213">
        <v>5.4</v>
      </c>
      <c r="Q213" t="s">
        <v>35</v>
      </c>
      <c r="R213" t="s">
        <v>42</v>
      </c>
      <c r="S213">
        <v>3.9</v>
      </c>
      <c r="T213">
        <v>2.7</v>
      </c>
      <c r="U213">
        <v>6.5</v>
      </c>
      <c r="V213">
        <v>3.6</v>
      </c>
      <c r="W213">
        <v>2.7</v>
      </c>
      <c r="X213">
        <v>6.9</v>
      </c>
      <c r="Y213">
        <v>6.4</v>
      </c>
      <c r="Z213">
        <v>5.6</v>
      </c>
      <c r="AA213">
        <v>2.1</v>
      </c>
      <c r="AB213">
        <v>1.9</v>
      </c>
      <c r="AC213">
        <v>5.4</v>
      </c>
      <c r="AD213" t="s">
        <v>45</v>
      </c>
      <c r="AE213" t="str">
        <f>IF(AND(data[[#This Row],[Age]]&gt;=18,data[[#This Row],[Age]]&lt;=24),"18-24",IF(AND(data[[#This Row],[Age]]&gt;=25,data[[#This Row],[Age]]&lt;=34),"25-34",IF(AND(data[[#This Row],[Age]]&gt;35,data[[#This Row],[Age]]&lt;=44),"35-44",IF(data[[#This Row],[Age]]&gt;44,"45+",IF(data[[#This Row],[Age]]&lt;18,"below 18 ")))))</f>
        <v>18-24</v>
      </c>
    </row>
    <row r="214" spans="1:31" x14ac:dyDescent="0.25">
      <c r="A214" t="s">
        <v>267</v>
      </c>
      <c r="B214">
        <v>36</v>
      </c>
      <c r="C214" t="s">
        <v>50</v>
      </c>
      <c r="D214" t="s">
        <v>32</v>
      </c>
      <c r="E214" t="s">
        <v>33</v>
      </c>
      <c r="F214" t="s">
        <v>51</v>
      </c>
      <c r="G214">
        <v>4.5999999999999996</v>
      </c>
      <c r="H214">
        <v>6</v>
      </c>
      <c r="I214">
        <v>4</v>
      </c>
      <c r="J214" t="s">
        <v>35</v>
      </c>
      <c r="K214" t="s">
        <v>52</v>
      </c>
      <c r="L214">
        <v>53</v>
      </c>
      <c r="M214">
        <v>6.7</v>
      </c>
      <c r="N214">
        <v>7.7</v>
      </c>
      <c r="O214">
        <v>3.6</v>
      </c>
      <c r="P214">
        <v>7.5</v>
      </c>
      <c r="Q214" t="s">
        <v>42</v>
      </c>
      <c r="R214" t="s">
        <v>42</v>
      </c>
      <c r="S214">
        <v>5</v>
      </c>
      <c r="U214">
        <v>2.2999999999999998</v>
      </c>
      <c r="V214">
        <v>4.5</v>
      </c>
      <c r="W214">
        <v>2.6</v>
      </c>
      <c r="X214">
        <v>6.4</v>
      </c>
      <c r="Y214">
        <v>5</v>
      </c>
      <c r="Z214">
        <v>8.5</v>
      </c>
      <c r="AA214">
        <v>2.9</v>
      </c>
      <c r="AB214">
        <v>3.4</v>
      </c>
      <c r="AC214">
        <v>4.5999999999999996</v>
      </c>
      <c r="AD214" t="s">
        <v>43</v>
      </c>
      <c r="AE214" t="str">
        <f>IF(AND(data[[#This Row],[Age]]&gt;=18,data[[#This Row],[Age]]&lt;=24),"18-24",IF(AND(data[[#This Row],[Age]]&gt;=25,data[[#This Row],[Age]]&lt;=34),"25-34",IF(AND(data[[#This Row],[Age]]&gt;35,data[[#This Row],[Age]]&lt;=44),"35-44",IF(data[[#This Row],[Age]]&gt;44,"45+",IF(data[[#This Row],[Age]]&lt;18,"below 18 ")))))</f>
        <v>35-44</v>
      </c>
    </row>
    <row r="215" spans="1:31" x14ac:dyDescent="0.25">
      <c r="A215" t="s">
        <v>268</v>
      </c>
      <c r="B215">
        <v>41</v>
      </c>
      <c r="C215" t="s">
        <v>47</v>
      </c>
      <c r="D215" t="s">
        <v>32</v>
      </c>
      <c r="E215" t="s">
        <v>33</v>
      </c>
      <c r="F215" t="s">
        <v>41</v>
      </c>
      <c r="G215">
        <v>2.8</v>
      </c>
      <c r="H215">
        <v>1</v>
      </c>
      <c r="I215">
        <v>3</v>
      </c>
      <c r="J215" t="s">
        <v>42</v>
      </c>
      <c r="K215" t="s">
        <v>62</v>
      </c>
      <c r="L215">
        <v>62</v>
      </c>
      <c r="M215">
        <v>5.2</v>
      </c>
      <c r="N215">
        <v>6.7</v>
      </c>
      <c r="O215">
        <v>5.7</v>
      </c>
      <c r="P215">
        <v>4.4000000000000004</v>
      </c>
      <c r="Q215" t="s">
        <v>42</v>
      </c>
      <c r="R215" t="s">
        <v>35</v>
      </c>
      <c r="S215">
        <v>5.6</v>
      </c>
      <c r="T215">
        <v>5</v>
      </c>
      <c r="U215">
        <v>5.6</v>
      </c>
      <c r="V215">
        <v>4.5999999999999996</v>
      </c>
      <c r="W215">
        <v>3.5</v>
      </c>
      <c r="X215">
        <v>8.1999999999999993</v>
      </c>
      <c r="Y215">
        <v>6.1</v>
      </c>
      <c r="Z215">
        <v>4.8</v>
      </c>
      <c r="AA215">
        <v>5.7</v>
      </c>
      <c r="AB215">
        <v>0.1</v>
      </c>
      <c r="AC215">
        <v>7.7</v>
      </c>
      <c r="AD215" t="s">
        <v>53</v>
      </c>
      <c r="AE215" t="str">
        <f>IF(AND(data[[#This Row],[Age]]&gt;=18,data[[#This Row],[Age]]&lt;=24),"18-24",IF(AND(data[[#This Row],[Age]]&gt;=25,data[[#This Row],[Age]]&lt;=34),"25-34",IF(AND(data[[#This Row],[Age]]&gt;35,data[[#This Row],[Age]]&lt;=44),"35-44",IF(data[[#This Row],[Age]]&gt;44,"45+",IF(data[[#This Row],[Age]]&lt;18,"below 18 ")))))</f>
        <v>35-44</v>
      </c>
    </row>
    <row r="216" spans="1:31" x14ac:dyDescent="0.25">
      <c r="A216" t="s">
        <v>269</v>
      </c>
      <c r="B216">
        <v>24</v>
      </c>
      <c r="C216" t="s">
        <v>31</v>
      </c>
      <c r="D216" t="s">
        <v>32</v>
      </c>
      <c r="E216" t="s">
        <v>58</v>
      </c>
      <c r="F216" t="s">
        <v>51</v>
      </c>
      <c r="G216">
        <v>5.4</v>
      </c>
      <c r="H216">
        <v>5</v>
      </c>
      <c r="I216">
        <v>3</v>
      </c>
      <c r="J216" t="s">
        <v>42</v>
      </c>
      <c r="K216" t="s">
        <v>36</v>
      </c>
      <c r="L216">
        <v>62</v>
      </c>
      <c r="M216">
        <v>6.5</v>
      </c>
      <c r="N216">
        <v>5.6</v>
      </c>
      <c r="O216">
        <v>4.2</v>
      </c>
      <c r="P216">
        <v>1.6</v>
      </c>
      <c r="Q216" t="s">
        <v>42</v>
      </c>
      <c r="R216" t="s">
        <v>42</v>
      </c>
      <c r="S216">
        <v>0.2</v>
      </c>
      <c r="T216">
        <v>3.5</v>
      </c>
      <c r="U216">
        <v>6.6</v>
      </c>
      <c r="V216">
        <v>7.4</v>
      </c>
      <c r="W216">
        <v>2.1</v>
      </c>
      <c r="X216">
        <v>7.6</v>
      </c>
      <c r="Y216">
        <v>3.8</v>
      </c>
      <c r="Z216">
        <v>4.3</v>
      </c>
      <c r="AA216">
        <v>0</v>
      </c>
      <c r="AB216">
        <v>3.1</v>
      </c>
      <c r="AC216">
        <v>4.8</v>
      </c>
      <c r="AD216" t="s">
        <v>43</v>
      </c>
      <c r="AE216" t="str">
        <f>IF(AND(data[[#This Row],[Age]]&gt;=18,data[[#This Row],[Age]]&lt;=24),"18-24",IF(AND(data[[#This Row],[Age]]&gt;=25,data[[#This Row],[Age]]&lt;=34),"25-34",IF(AND(data[[#This Row],[Age]]&gt;35,data[[#This Row],[Age]]&lt;=44),"35-44",IF(data[[#This Row],[Age]]&gt;44,"45+",IF(data[[#This Row],[Age]]&lt;18,"below 18 ")))))</f>
        <v>18-24</v>
      </c>
    </row>
    <row r="217" spans="1:31" x14ac:dyDescent="0.25">
      <c r="A217" t="s">
        <v>270</v>
      </c>
      <c r="B217">
        <v>21</v>
      </c>
      <c r="C217" t="s">
        <v>47</v>
      </c>
      <c r="D217" t="s">
        <v>32</v>
      </c>
      <c r="E217" t="s">
        <v>58</v>
      </c>
      <c r="F217" t="s">
        <v>59</v>
      </c>
      <c r="G217">
        <v>4.8</v>
      </c>
      <c r="H217">
        <v>4</v>
      </c>
      <c r="I217">
        <v>3</v>
      </c>
      <c r="J217" t="s">
        <v>42</v>
      </c>
      <c r="K217" t="s">
        <v>36</v>
      </c>
      <c r="L217">
        <v>118</v>
      </c>
      <c r="M217">
        <v>4.5999999999999996</v>
      </c>
      <c r="N217">
        <v>2</v>
      </c>
      <c r="O217">
        <v>6.4</v>
      </c>
      <c r="P217">
        <v>4.0999999999999996</v>
      </c>
      <c r="Q217" t="s">
        <v>35</v>
      </c>
      <c r="R217" t="s">
        <v>35</v>
      </c>
      <c r="S217">
        <v>2.7</v>
      </c>
      <c r="T217">
        <v>4</v>
      </c>
      <c r="U217">
        <v>3.7</v>
      </c>
      <c r="V217">
        <v>10</v>
      </c>
      <c r="W217">
        <v>4.7</v>
      </c>
      <c r="X217">
        <v>3.7</v>
      </c>
      <c r="Y217">
        <v>5.3</v>
      </c>
      <c r="Z217">
        <v>9.1999999999999993</v>
      </c>
      <c r="AA217">
        <v>5.0999999999999996</v>
      </c>
      <c r="AB217">
        <v>3.8</v>
      </c>
      <c r="AC217">
        <v>8.1</v>
      </c>
      <c r="AD217" t="s">
        <v>37</v>
      </c>
      <c r="AE217" t="str">
        <f>IF(AND(data[[#This Row],[Age]]&gt;=18,data[[#This Row],[Age]]&lt;=24),"18-24",IF(AND(data[[#This Row],[Age]]&gt;=25,data[[#This Row],[Age]]&lt;=34),"25-34",IF(AND(data[[#This Row],[Age]]&gt;35,data[[#This Row],[Age]]&lt;=44),"35-44",IF(data[[#This Row],[Age]]&gt;44,"45+",IF(data[[#This Row],[Age]]&lt;18,"below 18 ")))))</f>
        <v>18-24</v>
      </c>
    </row>
    <row r="218" spans="1:31" x14ac:dyDescent="0.25">
      <c r="A218" t="s">
        <v>271</v>
      </c>
      <c r="B218">
        <v>30</v>
      </c>
      <c r="D218" t="s">
        <v>39</v>
      </c>
      <c r="E218" t="s">
        <v>58</v>
      </c>
      <c r="F218" t="s">
        <v>70</v>
      </c>
      <c r="G218">
        <v>4.3</v>
      </c>
      <c r="H218">
        <v>5</v>
      </c>
      <c r="I218">
        <v>2</v>
      </c>
      <c r="J218" t="s">
        <v>35</v>
      </c>
      <c r="K218" t="s">
        <v>36</v>
      </c>
      <c r="L218">
        <v>100</v>
      </c>
      <c r="M218">
        <v>5.6</v>
      </c>
      <c r="N218">
        <v>6.3</v>
      </c>
      <c r="O218">
        <v>4.2</v>
      </c>
      <c r="P218">
        <v>7.3</v>
      </c>
      <c r="Q218" t="s">
        <v>42</v>
      </c>
      <c r="R218" t="s">
        <v>35</v>
      </c>
      <c r="S218">
        <v>4.5</v>
      </c>
      <c r="T218">
        <v>6.5</v>
      </c>
      <c r="U218">
        <v>3.2</v>
      </c>
      <c r="V218">
        <v>5.9</v>
      </c>
      <c r="W218">
        <v>6.3</v>
      </c>
      <c r="X218">
        <v>5.7</v>
      </c>
      <c r="Y218">
        <v>4.5999999999999996</v>
      </c>
      <c r="Z218">
        <v>3</v>
      </c>
      <c r="AA218">
        <v>4.2</v>
      </c>
      <c r="AB218">
        <v>2.7</v>
      </c>
      <c r="AC218">
        <v>6.3</v>
      </c>
      <c r="AD218" t="s">
        <v>53</v>
      </c>
      <c r="AE218" t="str">
        <f>IF(AND(data[[#This Row],[Age]]&gt;=18,data[[#This Row],[Age]]&lt;=24),"18-24",IF(AND(data[[#This Row],[Age]]&gt;=25,data[[#This Row],[Age]]&lt;=34),"25-34",IF(AND(data[[#This Row],[Age]]&gt;35,data[[#This Row],[Age]]&lt;=44),"35-44",IF(data[[#This Row],[Age]]&gt;44,"45+",IF(data[[#This Row],[Age]]&lt;18,"below 18 ")))))</f>
        <v>25-34</v>
      </c>
    </row>
    <row r="219" spans="1:31" x14ac:dyDescent="0.25">
      <c r="A219" t="s">
        <v>272</v>
      </c>
      <c r="B219">
        <v>26</v>
      </c>
      <c r="C219" t="s">
        <v>31</v>
      </c>
      <c r="D219" t="s">
        <v>32</v>
      </c>
      <c r="E219" t="s">
        <v>33</v>
      </c>
      <c r="F219" t="s">
        <v>41</v>
      </c>
      <c r="G219">
        <v>7.7</v>
      </c>
      <c r="H219">
        <v>3</v>
      </c>
      <c r="I219">
        <v>3</v>
      </c>
      <c r="J219" t="s">
        <v>35</v>
      </c>
      <c r="K219" t="s">
        <v>62</v>
      </c>
      <c r="L219">
        <v>19</v>
      </c>
      <c r="N219">
        <v>8.9</v>
      </c>
      <c r="O219">
        <v>2.7</v>
      </c>
      <c r="P219">
        <v>3</v>
      </c>
      <c r="Q219" t="s">
        <v>35</v>
      </c>
      <c r="R219" t="s">
        <v>42</v>
      </c>
      <c r="S219">
        <v>0.3</v>
      </c>
      <c r="T219">
        <v>7.1</v>
      </c>
      <c r="U219">
        <v>3.6</v>
      </c>
      <c r="V219">
        <v>3.5</v>
      </c>
      <c r="W219">
        <v>8.4</v>
      </c>
      <c r="X219">
        <v>7.1</v>
      </c>
      <c r="Y219">
        <v>3.9</v>
      </c>
      <c r="Z219">
        <v>7.4</v>
      </c>
      <c r="AA219">
        <v>2.7</v>
      </c>
      <c r="AB219">
        <v>0</v>
      </c>
      <c r="AC219">
        <v>7.6</v>
      </c>
      <c r="AD219" t="s">
        <v>37</v>
      </c>
      <c r="AE219" t="str">
        <f>IF(AND(data[[#This Row],[Age]]&gt;=18,data[[#This Row],[Age]]&lt;=24),"18-24",IF(AND(data[[#This Row],[Age]]&gt;=25,data[[#This Row],[Age]]&lt;=34),"25-34",IF(AND(data[[#This Row],[Age]]&gt;35,data[[#This Row],[Age]]&lt;=44),"35-44",IF(data[[#This Row],[Age]]&gt;44,"45+",IF(data[[#This Row],[Age]]&lt;18,"below 18 ")))))</f>
        <v>25-34</v>
      </c>
    </row>
    <row r="220" spans="1:31" x14ac:dyDescent="0.25">
      <c r="A220" t="s">
        <v>273</v>
      </c>
      <c r="B220">
        <v>42</v>
      </c>
      <c r="C220" t="s">
        <v>31</v>
      </c>
      <c r="D220" t="s">
        <v>64</v>
      </c>
      <c r="E220" t="s">
        <v>40</v>
      </c>
      <c r="F220" t="s">
        <v>41</v>
      </c>
      <c r="G220">
        <v>4</v>
      </c>
      <c r="H220">
        <v>2</v>
      </c>
      <c r="I220">
        <v>4</v>
      </c>
      <c r="J220" t="s">
        <v>42</v>
      </c>
      <c r="K220" t="s">
        <v>62</v>
      </c>
      <c r="L220">
        <v>58</v>
      </c>
      <c r="M220">
        <v>0.9</v>
      </c>
      <c r="N220">
        <v>5.8</v>
      </c>
      <c r="O220">
        <v>3.7</v>
      </c>
      <c r="P220">
        <v>6.4</v>
      </c>
      <c r="Q220" t="s">
        <v>35</v>
      </c>
      <c r="R220" t="s">
        <v>35</v>
      </c>
      <c r="S220">
        <v>6.4</v>
      </c>
      <c r="T220">
        <v>3.8</v>
      </c>
      <c r="U220">
        <v>8.6999999999999993</v>
      </c>
      <c r="V220">
        <v>5.5</v>
      </c>
      <c r="W220">
        <v>3.7</v>
      </c>
      <c r="X220">
        <v>6.8</v>
      </c>
      <c r="Y220">
        <v>3.6</v>
      </c>
      <c r="Z220">
        <v>5</v>
      </c>
      <c r="AA220">
        <v>3.3</v>
      </c>
      <c r="AB220">
        <v>5</v>
      </c>
      <c r="AC220">
        <v>7.8</v>
      </c>
      <c r="AD220" t="s">
        <v>37</v>
      </c>
      <c r="AE220" t="str">
        <f>IF(AND(data[[#This Row],[Age]]&gt;=18,data[[#This Row],[Age]]&lt;=24),"18-24",IF(AND(data[[#This Row],[Age]]&gt;=25,data[[#This Row],[Age]]&lt;=34),"25-34",IF(AND(data[[#This Row],[Age]]&gt;35,data[[#This Row],[Age]]&lt;=44),"35-44",IF(data[[#This Row],[Age]]&gt;44,"45+",IF(data[[#This Row],[Age]]&lt;18,"below 18 ")))))</f>
        <v>35-44</v>
      </c>
    </row>
    <row r="221" spans="1:31" x14ac:dyDescent="0.25">
      <c r="A221" t="s">
        <v>274</v>
      </c>
      <c r="B221">
        <v>33</v>
      </c>
      <c r="C221" t="s">
        <v>31</v>
      </c>
      <c r="D221" t="s">
        <v>64</v>
      </c>
      <c r="E221" t="s">
        <v>40</v>
      </c>
      <c r="F221" t="s">
        <v>41</v>
      </c>
      <c r="G221">
        <v>1.6</v>
      </c>
      <c r="H221">
        <v>2</v>
      </c>
      <c r="I221">
        <v>2</v>
      </c>
      <c r="K221" t="s">
        <v>52</v>
      </c>
      <c r="L221">
        <v>72</v>
      </c>
      <c r="M221">
        <v>9.1999999999999993</v>
      </c>
      <c r="N221">
        <v>6.5</v>
      </c>
      <c r="O221">
        <v>7.8</v>
      </c>
      <c r="P221">
        <v>6.9</v>
      </c>
      <c r="Q221" t="s">
        <v>35</v>
      </c>
      <c r="R221" t="s">
        <v>42</v>
      </c>
      <c r="S221">
        <v>2.5</v>
      </c>
      <c r="T221">
        <v>5.0999999999999996</v>
      </c>
      <c r="U221">
        <v>5</v>
      </c>
      <c r="V221">
        <v>5.8</v>
      </c>
      <c r="W221">
        <v>7.6</v>
      </c>
      <c r="X221">
        <v>6.4</v>
      </c>
      <c r="Y221">
        <v>4.4000000000000004</v>
      </c>
      <c r="Z221">
        <v>7.1</v>
      </c>
      <c r="AA221">
        <v>3.5</v>
      </c>
      <c r="AB221">
        <v>5.3</v>
      </c>
      <c r="AC221">
        <v>5.4</v>
      </c>
      <c r="AD221" t="s">
        <v>43</v>
      </c>
      <c r="AE221" t="str">
        <f>IF(AND(data[[#This Row],[Age]]&gt;=18,data[[#This Row],[Age]]&lt;=24),"18-24",IF(AND(data[[#This Row],[Age]]&gt;=25,data[[#This Row],[Age]]&lt;=34),"25-34",IF(AND(data[[#This Row],[Age]]&gt;35,data[[#This Row],[Age]]&lt;=44),"35-44",IF(data[[#This Row],[Age]]&gt;44,"45+",IF(data[[#This Row],[Age]]&lt;18,"below 18 ")))))</f>
        <v>25-34</v>
      </c>
    </row>
    <row r="222" spans="1:31" x14ac:dyDescent="0.25">
      <c r="A222" t="s">
        <v>275</v>
      </c>
      <c r="B222">
        <v>43</v>
      </c>
      <c r="C222" t="s">
        <v>47</v>
      </c>
      <c r="D222" t="s">
        <v>39</v>
      </c>
      <c r="E222" t="s">
        <v>33</v>
      </c>
      <c r="F222" t="s">
        <v>41</v>
      </c>
      <c r="G222">
        <v>4.8</v>
      </c>
      <c r="H222">
        <v>6</v>
      </c>
      <c r="I222">
        <v>3</v>
      </c>
      <c r="J222" t="s">
        <v>35</v>
      </c>
      <c r="K222" t="s">
        <v>62</v>
      </c>
      <c r="L222">
        <v>47</v>
      </c>
      <c r="M222">
        <v>7.2</v>
      </c>
      <c r="N222">
        <v>4.5</v>
      </c>
      <c r="O222">
        <v>4.8</v>
      </c>
      <c r="P222">
        <v>6.3</v>
      </c>
      <c r="Q222" t="s">
        <v>42</v>
      </c>
      <c r="R222" t="s">
        <v>35</v>
      </c>
      <c r="S222">
        <v>5.8</v>
      </c>
      <c r="T222">
        <v>5.0999999999999996</v>
      </c>
      <c r="U222">
        <v>2.7</v>
      </c>
      <c r="V222">
        <v>5.7</v>
      </c>
      <c r="W222">
        <v>3.6</v>
      </c>
      <c r="X222">
        <v>5.4</v>
      </c>
      <c r="Y222">
        <v>7.5</v>
      </c>
      <c r="Z222">
        <v>6.2</v>
      </c>
      <c r="AA222">
        <v>2</v>
      </c>
      <c r="AB222">
        <v>0</v>
      </c>
      <c r="AC222">
        <v>6.7</v>
      </c>
      <c r="AD222" t="s">
        <v>53</v>
      </c>
      <c r="AE222" t="str">
        <f>IF(AND(data[[#This Row],[Age]]&gt;=18,data[[#This Row],[Age]]&lt;=24),"18-24",IF(AND(data[[#This Row],[Age]]&gt;=25,data[[#This Row],[Age]]&lt;=34),"25-34",IF(AND(data[[#This Row],[Age]]&gt;35,data[[#This Row],[Age]]&lt;=44),"35-44",IF(data[[#This Row],[Age]]&gt;44,"45+",IF(data[[#This Row],[Age]]&lt;18,"below 18 ")))))</f>
        <v>35-44</v>
      </c>
    </row>
    <row r="223" spans="1:31" x14ac:dyDescent="0.25">
      <c r="A223" t="s">
        <v>276</v>
      </c>
      <c r="B223">
        <v>31</v>
      </c>
      <c r="C223" t="s">
        <v>50</v>
      </c>
      <c r="D223" t="s">
        <v>39</v>
      </c>
      <c r="E223" t="s">
        <v>40</v>
      </c>
      <c r="F223" t="s">
        <v>41</v>
      </c>
      <c r="G223">
        <v>2.4</v>
      </c>
      <c r="H223">
        <v>2</v>
      </c>
      <c r="I223">
        <v>8</v>
      </c>
      <c r="J223" t="s">
        <v>42</v>
      </c>
      <c r="K223" t="s">
        <v>36</v>
      </c>
      <c r="L223">
        <v>76</v>
      </c>
      <c r="M223">
        <v>6.1</v>
      </c>
      <c r="N223">
        <v>4</v>
      </c>
      <c r="O223">
        <v>3.4</v>
      </c>
      <c r="P223">
        <v>5.5</v>
      </c>
      <c r="Q223" t="s">
        <v>42</v>
      </c>
      <c r="R223" t="s">
        <v>35</v>
      </c>
      <c r="S223">
        <v>3.1</v>
      </c>
      <c r="T223">
        <v>1.8</v>
      </c>
      <c r="U223">
        <v>5.5</v>
      </c>
      <c r="V223">
        <v>6.2</v>
      </c>
      <c r="W223">
        <v>6.1</v>
      </c>
      <c r="X223">
        <v>7.7</v>
      </c>
      <c r="Y223">
        <v>2.6</v>
      </c>
      <c r="Z223">
        <v>4</v>
      </c>
      <c r="AA223">
        <v>3.3</v>
      </c>
      <c r="AB223">
        <v>3.1</v>
      </c>
      <c r="AC223">
        <v>7.5</v>
      </c>
      <c r="AD223" t="s">
        <v>37</v>
      </c>
      <c r="AE223" t="str">
        <f>IF(AND(data[[#This Row],[Age]]&gt;=18,data[[#This Row],[Age]]&lt;=24),"18-24",IF(AND(data[[#This Row],[Age]]&gt;=25,data[[#This Row],[Age]]&lt;=34),"25-34",IF(AND(data[[#This Row],[Age]]&gt;35,data[[#This Row],[Age]]&lt;=44),"35-44",IF(data[[#This Row],[Age]]&gt;44,"45+",IF(data[[#This Row],[Age]]&lt;18,"below 18 ")))))</f>
        <v>25-34</v>
      </c>
    </row>
    <row r="224" spans="1:31" x14ac:dyDescent="0.25">
      <c r="A224" t="s">
        <v>277</v>
      </c>
      <c r="B224">
        <v>20</v>
      </c>
      <c r="C224" t="s">
        <v>47</v>
      </c>
      <c r="D224" t="s">
        <v>39</v>
      </c>
      <c r="E224" t="s">
        <v>33</v>
      </c>
      <c r="F224" t="s">
        <v>51</v>
      </c>
      <c r="G224">
        <v>6.3</v>
      </c>
      <c r="H224">
        <v>4</v>
      </c>
      <c r="I224">
        <v>6</v>
      </c>
      <c r="J224" t="s">
        <v>35</v>
      </c>
      <c r="K224" t="s">
        <v>52</v>
      </c>
      <c r="L224">
        <v>103</v>
      </c>
      <c r="N224">
        <v>6.3</v>
      </c>
      <c r="O224">
        <v>4.7</v>
      </c>
      <c r="P224">
        <v>6.9</v>
      </c>
      <c r="Q224" t="s">
        <v>35</v>
      </c>
      <c r="R224" t="s">
        <v>35</v>
      </c>
      <c r="T224">
        <v>3.3</v>
      </c>
      <c r="U224">
        <v>6.7</v>
      </c>
      <c r="W224">
        <v>8.1</v>
      </c>
      <c r="X224">
        <v>4.5999999999999996</v>
      </c>
      <c r="Y224">
        <v>4.7</v>
      </c>
      <c r="Z224">
        <v>6</v>
      </c>
      <c r="AA224">
        <v>4.0999999999999996</v>
      </c>
      <c r="AB224">
        <v>4.7</v>
      </c>
      <c r="AC224">
        <v>7</v>
      </c>
      <c r="AD224" t="s">
        <v>53</v>
      </c>
      <c r="AE224" t="str">
        <f>IF(AND(data[[#This Row],[Age]]&gt;=18,data[[#This Row],[Age]]&lt;=24),"18-24",IF(AND(data[[#This Row],[Age]]&gt;=25,data[[#This Row],[Age]]&lt;=34),"25-34",IF(AND(data[[#This Row],[Age]]&gt;35,data[[#This Row],[Age]]&lt;=44),"35-44",IF(data[[#This Row],[Age]]&gt;44,"45+",IF(data[[#This Row],[Age]]&lt;18,"below 18 ")))))</f>
        <v>18-24</v>
      </c>
    </row>
    <row r="225" spans="1:31" x14ac:dyDescent="0.25">
      <c r="A225" t="s">
        <v>278</v>
      </c>
      <c r="B225">
        <v>18</v>
      </c>
      <c r="C225" t="s">
        <v>31</v>
      </c>
      <c r="D225" t="s">
        <v>39</v>
      </c>
      <c r="F225" t="s">
        <v>51</v>
      </c>
      <c r="G225">
        <v>5.8</v>
      </c>
      <c r="H225">
        <v>6</v>
      </c>
      <c r="I225">
        <v>0</v>
      </c>
      <c r="J225" t="s">
        <v>35</v>
      </c>
      <c r="K225" t="s">
        <v>36</v>
      </c>
      <c r="L225">
        <v>46</v>
      </c>
      <c r="M225">
        <v>3</v>
      </c>
      <c r="N225">
        <v>3.3</v>
      </c>
      <c r="O225">
        <v>0.2</v>
      </c>
      <c r="P225">
        <v>6</v>
      </c>
      <c r="Q225" t="s">
        <v>35</v>
      </c>
      <c r="R225" t="s">
        <v>42</v>
      </c>
      <c r="S225">
        <v>3.8</v>
      </c>
      <c r="T225">
        <v>4.8</v>
      </c>
      <c r="U225">
        <v>2.7</v>
      </c>
      <c r="V225">
        <v>4.9000000000000004</v>
      </c>
      <c r="W225">
        <v>3</v>
      </c>
      <c r="X225">
        <v>6.7</v>
      </c>
      <c r="Y225">
        <v>6.6</v>
      </c>
      <c r="Z225">
        <v>4.7</v>
      </c>
      <c r="AA225">
        <v>2.5</v>
      </c>
      <c r="AB225">
        <v>5.4</v>
      </c>
      <c r="AC225">
        <v>6.9</v>
      </c>
      <c r="AD225" t="s">
        <v>53</v>
      </c>
      <c r="AE225" t="str">
        <f>IF(AND(data[[#This Row],[Age]]&gt;=18,data[[#This Row],[Age]]&lt;=24),"18-24",IF(AND(data[[#This Row],[Age]]&gt;=25,data[[#This Row],[Age]]&lt;=34),"25-34",IF(AND(data[[#This Row],[Age]]&gt;35,data[[#This Row],[Age]]&lt;=44),"35-44",IF(data[[#This Row],[Age]]&gt;44,"45+",IF(data[[#This Row],[Age]]&lt;18,"below 18 ")))))</f>
        <v>18-24</v>
      </c>
    </row>
    <row r="226" spans="1:31" x14ac:dyDescent="0.25">
      <c r="A226" t="s">
        <v>279</v>
      </c>
      <c r="B226">
        <v>28</v>
      </c>
      <c r="C226" t="s">
        <v>31</v>
      </c>
      <c r="D226" t="s">
        <v>39</v>
      </c>
      <c r="E226" t="s">
        <v>40</v>
      </c>
      <c r="F226" t="s">
        <v>70</v>
      </c>
      <c r="G226">
        <v>3.8</v>
      </c>
      <c r="H226">
        <v>2</v>
      </c>
      <c r="I226">
        <v>6</v>
      </c>
      <c r="J226" t="s">
        <v>35</v>
      </c>
      <c r="K226" t="s">
        <v>52</v>
      </c>
      <c r="L226">
        <v>41</v>
      </c>
      <c r="M226">
        <v>2.4</v>
      </c>
      <c r="N226">
        <v>3.8</v>
      </c>
      <c r="O226">
        <v>3.3</v>
      </c>
      <c r="P226">
        <v>6.9</v>
      </c>
      <c r="Q226" t="s">
        <v>42</v>
      </c>
      <c r="R226" t="s">
        <v>35</v>
      </c>
      <c r="S226">
        <v>2.2999999999999998</v>
      </c>
      <c r="T226">
        <v>8.1999999999999993</v>
      </c>
      <c r="U226">
        <v>9</v>
      </c>
      <c r="V226">
        <v>6</v>
      </c>
      <c r="W226">
        <v>8.3000000000000007</v>
      </c>
      <c r="X226">
        <v>6.7</v>
      </c>
      <c r="Y226">
        <v>9.1999999999999993</v>
      </c>
      <c r="Z226">
        <v>7</v>
      </c>
      <c r="AA226">
        <v>4.3</v>
      </c>
      <c r="AB226">
        <v>3.5</v>
      </c>
      <c r="AC226">
        <v>8.8000000000000007</v>
      </c>
      <c r="AD226" t="s">
        <v>37</v>
      </c>
      <c r="AE226" t="str">
        <f>IF(AND(data[[#This Row],[Age]]&gt;=18,data[[#This Row],[Age]]&lt;=24),"18-24",IF(AND(data[[#This Row],[Age]]&gt;=25,data[[#This Row],[Age]]&lt;=34),"25-34",IF(AND(data[[#This Row],[Age]]&gt;35,data[[#This Row],[Age]]&lt;=44),"35-44",IF(data[[#This Row],[Age]]&gt;44,"45+",IF(data[[#This Row],[Age]]&lt;18,"below 18 ")))))</f>
        <v>25-34</v>
      </c>
    </row>
    <row r="227" spans="1:31" x14ac:dyDescent="0.25">
      <c r="A227" t="s">
        <v>280</v>
      </c>
      <c r="B227">
        <v>15</v>
      </c>
      <c r="C227" t="s">
        <v>47</v>
      </c>
      <c r="D227" t="s">
        <v>39</v>
      </c>
      <c r="E227" t="s">
        <v>33</v>
      </c>
      <c r="F227" t="s">
        <v>41</v>
      </c>
      <c r="G227">
        <v>5.6</v>
      </c>
      <c r="H227">
        <v>6</v>
      </c>
      <c r="I227">
        <v>2</v>
      </c>
      <c r="J227" t="s">
        <v>42</v>
      </c>
      <c r="K227" t="s">
        <v>62</v>
      </c>
      <c r="L227">
        <v>65</v>
      </c>
      <c r="M227">
        <v>6.7</v>
      </c>
      <c r="N227">
        <v>3.9</v>
      </c>
      <c r="O227">
        <v>4</v>
      </c>
      <c r="P227">
        <v>4.5</v>
      </c>
      <c r="Q227" t="s">
        <v>35</v>
      </c>
      <c r="R227" t="s">
        <v>42</v>
      </c>
      <c r="S227">
        <v>9.1999999999999993</v>
      </c>
      <c r="T227">
        <v>2.9</v>
      </c>
      <c r="U227">
        <v>8</v>
      </c>
      <c r="V227">
        <v>10</v>
      </c>
      <c r="W227">
        <v>4.5</v>
      </c>
      <c r="X227">
        <v>8.6</v>
      </c>
      <c r="Y227">
        <v>2.7</v>
      </c>
      <c r="Z227">
        <v>3.4</v>
      </c>
      <c r="AA227">
        <v>3.5</v>
      </c>
      <c r="AB227">
        <v>2.2999999999999998</v>
      </c>
      <c r="AC227">
        <v>5.5</v>
      </c>
      <c r="AD227" t="s">
        <v>45</v>
      </c>
      <c r="AE227" t="str">
        <f>IF(AND(data[[#This Row],[Age]]&gt;=18,data[[#This Row],[Age]]&lt;=24),"18-24",IF(AND(data[[#This Row],[Age]]&gt;=25,data[[#This Row],[Age]]&lt;=34),"25-34",IF(AND(data[[#This Row],[Age]]&gt;35,data[[#This Row],[Age]]&lt;=44),"35-44",IF(data[[#This Row],[Age]]&gt;44,"45+",IF(data[[#This Row],[Age]]&lt;18,"below 18 ")))))</f>
        <v xml:space="preserve">below 18 </v>
      </c>
    </row>
    <row r="228" spans="1:31" x14ac:dyDescent="0.25">
      <c r="A228" t="s">
        <v>281</v>
      </c>
      <c r="B228">
        <v>36</v>
      </c>
      <c r="C228" t="s">
        <v>47</v>
      </c>
      <c r="D228" t="s">
        <v>32</v>
      </c>
      <c r="E228" t="s">
        <v>58</v>
      </c>
      <c r="F228" t="s">
        <v>48</v>
      </c>
      <c r="G228">
        <v>3.6</v>
      </c>
      <c r="H228">
        <v>3</v>
      </c>
      <c r="I228">
        <v>4</v>
      </c>
      <c r="J228" t="s">
        <v>42</v>
      </c>
      <c r="K228" t="s">
        <v>36</v>
      </c>
      <c r="L228">
        <v>26</v>
      </c>
      <c r="M228">
        <v>6.8</v>
      </c>
      <c r="N228">
        <v>3.9</v>
      </c>
      <c r="O228">
        <v>5.8</v>
      </c>
      <c r="P228">
        <v>5.3</v>
      </c>
      <c r="Q228" t="s">
        <v>42</v>
      </c>
      <c r="R228" t="s">
        <v>42</v>
      </c>
      <c r="S228">
        <v>0.2</v>
      </c>
      <c r="T228">
        <v>5.3</v>
      </c>
      <c r="U228">
        <v>4.9000000000000004</v>
      </c>
      <c r="W228">
        <v>8.3000000000000007</v>
      </c>
      <c r="X228">
        <v>5.4</v>
      </c>
      <c r="Y228">
        <v>0.7</v>
      </c>
      <c r="Z228">
        <v>2.2999999999999998</v>
      </c>
      <c r="AA228">
        <v>1.3</v>
      </c>
      <c r="AB228">
        <v>2.1</v>
      </c>
      <c r="AC228">
        <v>8.1</v>
      </c>
      <c r="AD228" t="s">
        <v>37</v>
      </c>
      <c r="AE228" t="str">
        <f>IF(AND(data[[#This Row],[Age]]&gt;=18,data[[#This Row],[Age]]&lt;=24),"18-24",IF(AND(data[[#This Row],[Age]]&gt;=25,data[[#This Row],[Age]]&lt;=34),"25-34",IF(AND(data[[#This Row],[Age]]&gt;35,data[[#This Row],[Age]]&lt;=44),"35-44",IF(data[[#This Row],[Age]]&gt;44,"45+",IF(data[[#This Row],[Age]]&lt;18,"below 18 ")))))</f>
        <v>35-44</v>
      </c>
    </row>
    <row r="229" spans="1:31" x14ac:dyDescent="0.25">
      <c r="A229" t="s">
        <v>282</v>
      </c>
      <c r="B229">
        <v>38</v>
      </c>
      <c r="C229" t="s">
        <v>31</v>
      </c>
      <c r="D229" t="s">
        <v>39</v>
      </c>
      <c r="E229" t="s">
        <v>33</v>
      </c>
      <c r="F229" t="s">
        <v>34</v>
      </c>
      <c r="G229">
        <v>3.5</v>
      </c>
      <c r="H229">
        <v>3</v>
      </c>
      <c r="I229">
        <v>6</v>
      </c>
      <c r="J229" t="s">
        <v>42</v>
      </c>
      <c r="K229" t="s">
        <v>36</v>
      </c>
      <c r="L229">
        <v>58</v>
      </c>
      <c r="M229">
        <v>2.8</v>
      </c>
      <c r="N229">
        <v>7.1</v>
      </c>
      <c r="O229">
        <v>5.4</v>
      </c>
      <c r="P229">
        <v>10</v>
      </c>
      <c r="Q229" t="s">
        <v>42</v>
      </c>
      <c r="R229" t="s">
        <v>35</v>
      </c>
      <c r="S229">
        <v>4.7</v>
      </c>
      <c r="T229">
        <v>4</v>
      </c>
      <c r="U229">
        <v>4</v>
      </c>
      <c r="V229">
        <v>6.2</v>
      </c>
      <c r="W229">
        <v>4.4000000000000004</v>
      </c>
      <c r="X229">
        <v>7.7</v>
      </c>
      <c r="Y229">
        <v>5.2</v>
      </c>
      <c r="Z229">
        <v>4.7</v>
      </c>
      <c r="AA229">
        <v>3.7</v>
      </c>
      <c r="AB229">
        <v>0.3</v>
      </c>
      <c r="AC229">
        <v>5.6</v>
      </c>
      <c r="AD229" t="s">
        <v>45</v>
      </c>
      <c r="AE229" t="str">
        <f>IF(AND(data[[#This Row],[Age]]&gt;=18,data[[#This Row],[Age]]&lt;=24),"18-24",IF(AND(data[[#This Row],[Age]]&gt;=25,data[[#This Row],[Age]]&lt;=34),"25-34",IF(AND(data[[#This Row],[Age]]&gt;35,data[[#This Row],[Age]]&lt;=44),"35-44",IF(data[[#This Row],[Age]]&gt;44,"45+",IF(data[[#This Row],[Age]]&lt;18,"below 18 ")))))</f>
        <v>35-44</v>
      </c>
    </row>
    <row r="230" spans="1:31" x14ac:dyDescent="0.25">
      <c r="A230" t="s">
        <v>283</v>
      </c>
      <c r="B230">
        <v>16</v>
      </c>
      <c r="C230" t="s">
        <v>47</v>
      </c>
      <c r="D230" t="s">
        <v>32</v>
      </c>
      <c r="E230" t="s">
        <v>58</v>
      </c>
      <c r="F230" t="s">
        <v>41</v>
      </c>
      <c r="G230">
        <v>0.7</v>
      </c>
      <c r="H230">
        <v>2</v>
      </c>
      <c r="I230">
        <v>8</v>
      </c>
      <c r="J230" t="s">
        <v>35</v>
      </c>
      <c r="K230" t="s">
        <v>36</v>
      </c>
      <c r="L230">
        <v>61</v>
      </c>
      <c r="M230">
        <v>5.5</v>
      </c>
      <c r="N230">
        <v>5.0999999999999996</v>
      </c>
      <c r="O230">
        <v>6.2</v>
      </c>
      <c r="P230">
        <v>10</v>
      </c>
      <c r="Q230" t="s">
        <v>35</v>
      </c>
      <c r="R230" t="s">
        <v>35</v>
      </c>
      <c r="S230">
        <v>3.7</v>
      </c>
      <c r="T230">
        <v>5.0999999999999996</v>
      </c>
      <c r="U230">
        <v>5.0999999999999996</v>
      </c>
      <c r="V230">
        <v>1</v>
      </c>
      <c r="W230">
        <v>6.4</v>
      </c>
      <c r="X230">
        <v>7.2</v>
      </c>
      <c r="Y230">
        <v>5.7</v>
      </c>
      <c r="Z230">
        <v>6.9</v>
      </c>
      <c r="AA230">
        <v>6.1</v>
      </c>
      <c r="AB230">
        <v>3.5</v>
      </c>
      <c r="AC230">
        <v>7</v>
      </c>
      <c r="AD230" t="s">
        <v>53</v>
      </c>
      <c r="AE230" t="str">
        <f>IF(AND(data[[#This Row],[Age]]&gt;=18,data[[#This Row],[Age]]&lt;=24),"18-24",IF(AND(data[[#This Row],[Age]]&gt;=25,data[[#This Row],[Age]]&lt;=34),"25-34",IF(AND(data[[#This Row],[Age]]&gt;35,data[[#This Row],[Age]]&lt;=44),"35-44",IF(data[[#This Row],[Age]]&gt;44,"45+",IF(data[[#This Row],[Age]]&lt;18,"below 18 ")))))</f>
        <v xml:space="preserve">below 18 </v>
      </c>
    </row>
    <row r="231" spans="1:31" x14ac:dyDescent="0.25">
      <c r="A231" t="s">
        <v>284</v>
      </c>
      <c r="B231">
        <v>28</v>
      </c>
      <c r="C231" t="s">
        <v>50</v>
      </c>
      <c r="D231" t="s">
        <v>39</v>
      </c>
      <c r="E231" t="s">
        <v>40</v>
      </c>
      <c r="F231" t="s">
        <v>59</v>
      </c>
      <c r="G231">
        <v>0.5</v>
      </c>
      <c r="H231">
        <v>3</v>
      </c>
      <c r="I231">
        <v>4</v>
      </c>
      <c r="J231" t="s">
        <v>42</v>
      </c>
      <c r="K231" t="s">
        <v>52</v>
      </c>
      <c r="L231">
        <v>52</v>
      </c>
      <c r="M231">
        <v>4.0999999999999996</v>
      </c>
      <c r="N231">
        <v>5.8</v>
      </c>
      <c r="O231">
        <v>8.9</v>
      </c>
      <c r="P231">
        <v>6.9</v>
      </c>
      <c r="Q231" t="s">
        <v>35</v>
      </c>
      <c r="R231" t="s">
        <v>35</v>
      </c>
      <c r="S231">
        <v>7</v>
      </c>
      <c r="T231">
        <v>4.3</v>
      </c>
      <c r="U231">
        <v>6.3</v>
      </c>
      <c r="V231">
        <v>6.5</v>
      </c>
      <c r="W231">
        <v>6.1</v>
      </c>
      <c r="X231">
        <v>5.9</v>
      </c>
      <c r="Y231">
        <v>6.9</v>
      </c>
      <c r="Z231">
        <v>5.4</v>
      </c>
      <c r="AA231">
        <v>2.8</v>
      </c>
      <c r="AB231">
        <v>2.4</v>
      </c>
      <c r="AC231">
        <v>7</v>
      </c>
      <c r="AD231" t="s">
        <v>53</v>
      </c>
      <c r="AE231" t="str">
        <f>IF(AND(data[[#This Row],[Age]]&gt;=18,data[[#This Row],[Age]]&lt;=24),"18-24",IF(AND(data[[#This Row],[Age]]&gt;=25,data[[#This Row],[Age]]&lt;=34),"25-34",IF(AND(data[[#This Row],[Age]]&gt;35,data[[#This Row],[Age]]&lt;=44),"35-44",IF(data[[#This Row],[Age]]&gt;44,"45+",IF(data[[#This Row],[Age]]&lt;18,"below 18 ")))))</f>
        <v>25-34</v>
      </c>
    </row>
    <row r="232" spans="1:31" x14ac:dyDescent="0.25">
      <c r="A232" t="s">
        <v>285</v>
      </c>
      <c r="B232">
        <v>23</v>
      </c>
      <c r="C232" t="s">
        <v>31</v>
      </c>
      <c r="D232" t="s">
        <v>57</v>
      </c>
      <c r="E232" t="s">
        <v>33</v>
      </c>
      <c r="F232" t="s">
        <v>70</v>
      </c>
      <c r="G232">
        <v>3.6</v>
      </c>
      <c r="H232">
        <v>1</v>
      </c>
      <c r="I232">
        <v>5</v>
      </c>
      <c r="J232" t="s">
        <v>42</v>
      </c>
      <c r="K232" t="s">
        <v>62</v>
      </c>
      <c r="L232">
        <v>60</v>
      </c>
      <c r="M232">
        <v>7.7</v>
      </c>
      <c r="N232">
        <v>2.5</v>
      </c>
      <c r="O232">
        <v>6.9</v>
      </c>
      <c r="P232">
        <v>3.8</v>
      </c>
      <c r="Q232" t="s">
        <v>35</v>
      </c>
      <c r="R232" t="s">
        <v>42</v>
      </c>
      <c r="S232">
        <v>7.5</v>
      </c>
      <c r="T232">
        <v>5</v>
      </c>
      <c r="U232">
        <v>8.5</v>
      </c>
      <c r="V232">
        <v>2.5</v>
      </c>
      <c r="W232">
        <v>4.9000000000000004</v>
      </c>
      <c r="X232">
        <v>6.6</v>
      </c>
      <c r="Y232">
        <v>3.1</v>
      </c>
      <c r="Z232">
        <v>4.7</v>
      </c>
      <c r="AA232">
        <v>2.5</v>
      </c>
      <c r="AB232">
        <v>0.6</v>
      </c>
      <c r="AC232">
        <v>5.4</v>
      </c>
      <c r="AD232" t="s">
        <v>43</v>
      </c>
      <c r="AE232" t="str">
        <f>IF(AND(data[[#This Row],[Age]]&gt;=18,data[[#This Row],[Age]]&lt;=24),"18-24",IF(AND(data[[#This Row],[Age]]&gt;=25,data[[#This Row],[Age]]&lt;=34),"25-34",IF(AND(data[[#This Row],[Age]]&gt;35,data[[#This Row],[Age]]&lt;=44),"35-44",IF(data[[#This Row],[Age]]&gt;44,"45+",IF(data[[#This Row],[Age]]&lt;18,"below 18 ")))))</f>
        <v>18-24</v>
      </c>
    </row>
    <row r="233" spans="1:31" x14ac:dyDescent="0.25">
      <c r="A233" t="s">
        <v>286</v>
      </c>
      <c r="B233">
        <v>35</v>
      </c>
      <c r="C233" t="s">
        <v>31</v>
      </c>
      <c r="D233" t="s">
        <v>39</v>
      </c>
      <c r="E233" t="s">
        <v>40</v>
      </c>
      <c r="F233" t="s">
        <v>41</v>
      </c>
      <c r="G233">
        <v>8.3000000000000007</v>
      </c>
      <c r="H233">
        <v>5</v>
      </c>
      <c r="I233">
        <v>4</v>
      </c>
      <c r="J233" t="s">
        <v>35</v>
      </c>
      <c r="K233" t="s">
        <v>36</v>
      </c>
      <c r="L233">
        <v>20</v>
      </c>
      <c r="M233">
        <v>5.9</v>
      </c>
      <c r="N233">
        <v>6.6</v>
      </c>
      <c r="O233">
        <v>5.3</v>
      </c>
      <c r="P233">
        <v>7</v>
      </c>
      <c r="Q233" t="s">
        <v>42</v>
      </c>
      <c r="R233" t="s">
        <v>42</v>
      </c>
      <c r="T233">
        <v>3.1</v>
      </c>
      <c r="U233">
        <v>3.1</v>
      </c>
      <c r="W233">
        <v>6.3</v>
      </c>
      <c r="X233">
        <v>5.0999999999999996</v>
      </c>
      <c r="Y233">
        <v>4.5</v>
      </c>
      <c r="Z233">
        <v>8</v>
      </c>
      <c r="AA233">
        <v>4.8</v>
      </c>
      <c r="AB233">
        <v>2.6</v>
      </c>
      <c r="AC233">
        <v>6.3</v>
      </c>
      <c r="AD233" t="s">
        <v>45</v>
      </c>
      <c r="AE233" t="b">
        <f>IF(AND(data[[#This Row],[Age]]&gt;=18,data[[#This Row],[Age]]&lt;=24),"18-24",IF(AND(data[[#This Row],[Age]]&gt;=25,data[[#This Row],[Age]]&lt;=34),"25-34",IF(AND(data[[#This Row],[Age]]&gt;35,data[[#This Row],[Age]]&lt;=44),"35-44",IF(data[[#This Row],[Age]]&gt;44,"45+",IF(data[[#This Row],[Age]]&lt;18,"below 18 ")))))</f>
        <v>0</v>
      </c>
    </row>
    <row r="234" spans="1:31" x14ac:dyDescent="0.25">
      <c r="A234" t="s">
        <v>287</v>
      </c>
      <c r="B234">
        <v>42</v>
      </c>
      <c r="C234" t="s">
        <v>47</v>
      </c>
      <c r="D234" t="s">
        <v>64</v>
      </c>
      <c r="E234" t="s">
        <v>33</v>
      </c>
      <c r="F234" t="s">
        <v>70</v>
      </c>
      <c r="G234">
        <v>1.9</v>
      </c>
      <c r="H234">
        <v>4</v>
      </c>
      <c r="I234">
        <v>5</v>
      </c>
      <c r="J234" t="s">
        <v>42</v>
      </c>
      <c r="K234" t="s">
        <v>52</v>
      </c>
      <c r="L234">
        <v>52</v>
      </c>
      <c r="M234">
        <v>7.3</v>
      </c>
      <c r="N234">
        <v>4.8</v>
      </c>
      <c r="O234">
        <v>3.2</v>
      </c>
      <c r="P234">
        <v>5.4</v>
      </c>
      <c r="Q234" t="s">
        <v>42</v>
      </c>
      <c r="R234" t="s">
        <v>42</v>
      </c>
      <c r="S234">
        <v>6.4</v>
      </c>
      <c r="T234">
        <v>7</v>
      </c>
      <c r="U234">
        <v>2.6</v>
      </c>
      <c r="V234">
        <v>7.5</v>
      </c>
      <c r="W234">
        <v>2.2999999999999998</v>
      </c>
      <c r="X234">
        <v>7</v>
      </c>
      <c r="Y234">
        <v>4</v>
      </c>
      <c r="Z234">
        <v>3.5</v>
      </c>
      <c r="AA234">
        <v>0.8</v>
      </c>
      <c r="AB234">
        <v>2.2000000000000002</v>
      </c>
      <c r="AC234">
        <v>6.3</v>
      </c>
      <c r="AD234" t="s">
        <v>53</v>
      </c>
      <c r="AE234" t="str">
        <f>IF(AND(data[[#This Row],[Age]]&gt;=18,data[[#This Row],[Age]]&lt;=24),"18-24",IF(AND(data[[#This Row],[Age]]&gt;=25,data[[#This Row],[Age]]&lt;=34),"25-34",IF(AND(data[[#This Row],[Age]]&gt;35,data[[#This Row],[Age]]&lt;=44),"35-44",IF(data[[#This Row],[Age]]&gt;44,"45+",IF(data[[#This Row],[Age]]&lt;18,"below 18 ")))))</f>
        <v>35-44</v>
      </c>
    </row>
    <row r="235" spans="1:31" x14ac:dyDescent="0.25">
      <c r="A235" t="s">
        <v>288</v>
      </c>
      <c r="B235">
        <v>29</v>
      </c>
      <c r="C235" t="s">
        <v>31</v>
      </c>
      <c r="D235" t="s">
        <v>32</v>
      </c>
      <c r="E235" t="s">
        <v>33</v>
      </c>
      <c r="F235" t="s">
        <v>41</v>
      </c>
      <c r="G235">
        <v>4.3</v>
      </c>
      <c r="H235">
        <v>1</v>
      </c>
      <c r="I235">
        <v>6</v>
      </c>
      <c r="J235" t="s">
        <v>35</v>
      </c>
      <c r="K235" t="s">
        <v>36</v>
      </c>
      <c r="L235">
        <v>14</v>
      </c>
      <c r="M235">
        <v>3.7</v>
      </c>
      <c r="N235">
        <v>5</v>
      </c>
      <c r="O235">
        <v>5</v>
      </c>
      <c r="P235">
        <v>7</v>
      </c>
      <c r="Q235" t="s">
        <v>35</v>
      </c>
      <c r="R235" t="s">
        <v>35</v>
      </c>
      <c r="S235">
        <v>6.1</v>
      </c>
      <c r="T235">
        <v>2.1</v>
      </c>
      <c r="U235">
        <v>3.9</v>
      </c>
      <c r="V235">
        <v>5.9</v>
      </c>
      <c r="W235">
        <v>7.2</v>
      </c>
      <c r="X235">
        <v>6</v>
      </c>
      <c r="Y235">
        <v>4.3</v>
      </c>
      <c r="Z235">
        <v>1.2</v>
      </c>
      <c r="AA235">
        <v>4</v>
      </c>
      <c r="AB235">
        <v>3.7</v>
      </c>
      <c r="AC235">
        <v>7.5</v>
      </c>
      <c r="AD235" t="s">
        <v>37</v>
      </c>
      <c r="AE235" t="str">
        <f>IF(AND(data[[#This Row],[Age]]&gt;=18,data[[#This Row],[Age]]&lt;=24),"18-24",IF(AND(data[[#This Row],[Age]]&gt;=25,data[[#This Row],[Age]]&lt;=34),"25-34",IF(AND(data[[#This Row],[Age]]&gt;35,data[[#This Row],[Age]]&lt;=44),"35-44",IF(data[[#This Row],[Age]]&gt;44,"45+",IF(data[[#This Row],[Age]]&lt;18,"below 18 ")))))</f>
        <v>25-34</v>
      </c>
    </row>
    <row r="236" spans="1:31" x14ac:dyDescent="0.25">
      <c r="A236" t="s">
        <v>289</v>
      </c>
      <c r="B236">
        <v>28</v>
      </c>
      <c r="C236" t="s">
        <v>31</v>
      </c>
      <c r="D236" t="s">
        <v>64</v>
      </c>
      <c r="E236" t="s">
        <v>58</v>
      </c>
      <c r="F236" t="s">
        <v>41</v>
      </c>
      <c r="G236">
        <v>3.1</v>
      </c>
      <c r="H236">
        <v>3</v>
      </c>
      <c r="I236">
        <v>4</v>
      </c>
      <c r="J236" t="s">
        <v>42</v>
      </c>
      <c r="K236" t="s">
        <v>52</v>
      </c>
      <c r="L236">
        <v>110</v>
      </c>
      <c r="M236">
        <v>2.6</v>
      </c>
      <c r="N236">
        <v>6</v>
      </c>
      <c r="O236">
        <v>8</v>
      </c>
      <c r="P236">
        <v>4.2</v>
      </c>
      <c r="Q236" t="s">
        <v>35</v>
      </c>
      <c r="R236" t="s">
        <v>42</v>
      </c>
      <c r="S236">
        <v>3.1</v>
      </c>
      <c r="T236">
        <v>6.3</v>
      </c>
      <c r="U236">
        <v>3.3</v>
      </c>
      <c r="V236">
        <v>6.1</v>
      </c>
      <c r="W236">
        <v>2.9</v>
      </c>
      <c r="X236">
        <v>6.4</v>
      </c>
      <c r="Y236">
        <v>7.6</v>
      </c>
      <c r="Z236">
        <v>7.1</v>
      </c>
      <c r="AA236">
        <v>2.8</v>
      </c>
      <c r="AB236">
        <v>3.2</v>
      </c>
      <c r="AC236">
        <v>5.2</v>
      </c>
      <c r="AD236" t="s">
        <v>45</v>
      </c>
      <c r="AE236" t="str">
        <f>IF(AND(data[[#This Row],[Age]]&gt;=18,data[[#This Row],[Age]]&lt;=24),"18-24",IF(AND(data[[#This Row],[Age]]&gt;=25,data[[#This Row],[Age]]&lt;=34),"25-34",IF(AND(data[[#This Row],[Age]]&gt;35,data[[#This Row],[Age]]&lt;=44),"35-44",IF(data[[#This Row],[Age]]&gt;44,"45+",IF(data[[#This Row],[Age]]&lt;18,"below 18 ")))))</f>
        <v>25-34</v>
      </c>
    </row>
    <row r="237" spans="1:31" x14ac:dyDescent="0.25">
      <c r="A237" t="s">
        <v>290</v>
      </c>
      <c r="B237">
        <v>24</v>
      </c>
      <c r="C237" t="s">
        <v>31</v>
      </c>
      <c r="D237" t="s">
        <v>32</v>
      </c>
      <c r="E237" t="s">
        <v>40</v>
      </c>
      <c r="F237" t="s">
        <v>51</v>
      </c>
      <c r="G237">
        <v>5.6</v>
      </c>
      <c r="H237">
        <v>3</v>
      </c>
      <c r="I237">
        <v>3</v>
      </c>
      <c r="J237" t="s">
        <v>42</v>
      </c>
      <c r="K237" t="s">
        <v>36</v>
      </c>
      <c r="L237">
        <v>28</v>
      </c>
      <c r="M237">
        <v>4.9000000000000004</v>
      </c>
      <c r="N237">
        <v>5.6</v>
      </c>
      <c r="O237">
        <v>2.5</v>
      </c>
      <c r="P237">
        <v>4.3</v>
      </c>
      <c r="Q237" t="s">
        <v>42</v>
      </c>
      <c r="R237" t="s">
        <v>42</v>
      </c>
      <c r="S237">
        <v>6.1</v>
      </c>
      <c r="T237">
        <v>5.9</v>
      </c>
      <c r="U237">
        <v>6.3</v>
      </c>
      <c r="V237">
        <v>2.2000000000000002</v>
      </c>
      <c r="W237">
        <v>5</v>
      </c>
      <c r="X237">
        <v>6.2</v>
      </c>
      <c r="Y237">
        <v>6</v>
      </c>
      <c r="AA237">
        <v>4.8</v>
      </c>
      <c r="AB237">
        <v>4.3</v>
      </c>
      <c r="AC237">
        <v>5.2</v>
      </c>
      <c r="AD237" t="s">
        <v>43</v>
      </c>
      <c r="AE237" t="str">
        <f>IF(AND(data[[#This Row],[Age]]&gt;=18,data[[#This Row],[Age]]&lt;=24),"18-24",IF(AND(data[[#This Row],[Age]]&gt;=25,data[[#This Row],[Age]]&lt;=34),"25-34",IF(AND(data[[#This Row],[Age]]&gt;35,data[[#This Row],[Age]]&lt;=44),"35-44",IF(data[[#This Row],[Age]]&gt;44,"45+",IF(data[[#This Row],[Age]]&lt;18,"below 18 ")))))</f>
        <v>18-24</v>
      </c>
    </row>
    <row r="238" spans="1:31" x14ac:dyDescent="0.25">
      <c r="A238" t="s">
        <v>291</v>
      </c>
      <c r="B238">
        <v>25</v>
      </c>
      <c r="C238" t="s">
        <v>47</v>
      </c>
      <c r="D238" t="s">
        <v>39</v>
      </c>
      <c r="E238" t="s">
        <v>58</v>
      </c>
      <c r="F238" t="s">
        <v>41</v>
      </c>
      <c r="G238">
        <v>2.7</v>
      </c>
      <c r="H238">
        <v>2</v>
      </c>
      <c r="I238">
        <v>8</v>
      </c>
      <c r="J238" t="s">
        <v>35</v>
      </c>
      <c r="K238" t="s">
        <v>52</v>
      </c>
      <c r="L238">
        <v>5</v>
      </c>
      <c r="M238">
        <v>8.4</v>
      </c>
      <c r="N238">
        <v>2.2999999999999998</v>
      </c>
      <c r="O238">
        <v>10</v>
      </c>
      <c r="P238">
        <v>6.2</v>
      </c>
      <c r="Q238" t="s">
        <v>35</v>
      </c>
      <c r="R238" t="s">
        <v>35</v>
      </c>
      <c r="S238">
        <v>0</v>
      </c>
      <c r="T238">
        <v>6.2</v>
      </c>
      <c r="U238">
        <v>7.2</v>
      </c>
      <c r="W238">
        <v>5.8</v>
      </c>
      <c r="X238">
        <v>6.6</v>
      </c>
      <c r="Y238">
        <v>1.4</v>
      </c>
      <c r="Z238">
        <v>7.8</v>
      </c>
      <c r="AA238">
        <v>5</v>
      </c>
      <c r="AB238">
        <v>2.7</v>
      </c>
      <c r="AC238">
        <v>8</v>
      </c>
      <c r="AD238" t="s">
        <v>37</v>
      </c>
      <c r="AE238" t="str">
        <f>IF(AND(data[[#This Row],[Age]]&gt;=18,data[[#This Row],[Age]]&lt;=24),"18-24",IF(AND(data[[#This Row],[Age]]&gt;=25,data[[#This Row],[Age]]&lt;=34),"25-34",IF(AND(data[[#This Row],[Age]]&gt;35,data[[#This Row],[Age]]&lt;=44),"35-44",IF(data[[#This Row],[Age]]&gt;44,"45+",IF(data[[#This Row],[Age]]&lt;18,"below 18 ")))))</f>
        <v>25-34</v>
      </c>
    </row>
    <row r="239" spans="1:31" x14ac:dyDescent="0.25">
      <c r="A239" t="s">
        <v>292</v>
      </c>
      <c r="B239">
        <v>15</v>
      </c>
      <c r="C239" t="s">
        <v>31</v>
      </c>
      <c r="D239" t="s">
        <v>32</v>
      </c>
      <c r="E239" t="s">
        <v>40</v>
      </c>
      <c r="F239" t="s">
        <v>41</v>
      </c>
      <c r="G239">
        <v>4.3</v>
      </c>
      <c r="H239">
        <v>1</v>
      </c>
      <c r="I239">
        <v>5</v>
      </c>
      <c r="J239" t="s">
        <v>42</v>
      </c>
      <c r="K239" t="s">
        <v>36</v>
      </c>
      <c r="L239">
        <v>46</v>
      </c>
      <c r="M239">
        <v>2.4</v>
      </c>
      <c r="N239">
        <v>4.5</v>
      </c>
      <c r="O239">
        <v>1.6</v>
      </c>
      <c r="P239">
        <v>3.9</v>
      </c>
      <c r="Q239" t="s">
        <v>42</v>
      </c>
      <c r="R239" t="s">
        <v>35</v>
      </c>
      <c r="S239">
        <v>9.9</v>
      </c>
      <c r="T239">
        <v>4.2</v>
      </c>
      <c r="U239">
        <v>1.2</v>
      </c>
      <c r="V239">
        <v>6.7</v>
      </c>
      <c r="W239">
        <v>4.3</v>
      </c>
      <c r="X239">
        <v>8.4</v>
      </c>
      <c r="Y239">
        <v>3.2</v>
      </c>
      <c r="Z239">
        <v>7.8</v>
      </c>
      <c r="AA239">
        <v>4</v>
      </c>
      <c r="AB239">
        <v>6.1</v>
      </c>
      <c r="AC239">
        <v>8.1</v>
      </c>
      <c r="AD239" t="s">
        <v>37</v>
      </c>
      <c r="AE239" t="str">
        <f>IF(AND(data[[#This Row],[Age]]&gt;=18,data[[#This Row],[Age]]&lt;=24),"18-24",IF(AND(data[[#This Row],[Age]]&gt;=25,data[[#This Row],[Age]]&lt;=34),"25-34",IF(AND(data[[#This Row],[Age]]&gt;35,data[[#This Row],[Age]]&lt;=44),"35-44",IF(data[[#This Row],[Age]]&gt;44,"45+",IF(data[[#This Row],[Age]]&lt;18,"below 18 ")))))</f>
        <v xml:space="preserve">below 18 </v>
      </c>
    </row>
    <row r="240" spans="1:31" x14ac:dyDescent="0.25">
      <c r="A240" t="s">
        <v>293</v>
      </c>
      <c r="B240">
        <v>17</v>
      </c>
      <c r="C240" t="s">
        <v>31</v>
      </c>
      <c r="D240" t="s">
        <v>39</v>
      </c>
      <c r="E240" t="s">
        <v>40</v>
      </c>
      <c r="F240" t="s">
        <v>34</v>
      </c>
      <c r="G240">
        <v>5.4</v>
      </c>
      <c r="H240">
        <v>1</v>
      </c>
      <c r="I240">
        <v>3</v>
      </c>
      <c r="J240" t="s">
        <v>35</v>
      </c>
      <c r="K240" t="s">
        <v>62</v>
      </c>
      <c r="L240">
        <v>122</v>
      </c>
      <c r="M240">
        <v>8.9</v>
      </c>
      <c r="N240">
        <v>4.9000000000000004</v>
      </c>
      <c r="O240">
        <v>2.2000000000000002</v>
      </c>
      <c r="P240">
        <v>6.8</v>
      </c>
      <c r="Q240" t="s">
        <v>42</v>
      </c>
      <c r="R240" t="s">
        <v>42</v>
      </c>
      <c r="T240">
        <v>4.7</v>
      </c>
      <c r="V240">
        <v>4.7</v>
      </c>
      <c r="W240">
        <v>3.8</v>
      </c>
      <c r="X240">
        <v>8.1</v>
      </c>
      <c r="Y240">
        <v>3.5</v>
      </c>
      <c r="Z240">
        <v>7.4</v>
      </c>
      <c r="AA240">
        <v>3.6</v>
      </c>
      <c r="AB240">
        <v>4.5</v>
      </c>
      <c r="AC240">
        <v>6</v>
      </c>
      <c r="AD240" t="s">
        <v>53</v>
      </c>
      <c r="AE240" t="str">
        <f>IF(AND(data[[#This Row],[Age]]&gt;=18,data[[#This Row],[Age]]&lt;=24),"18-24",IF(AND(data[[#This Row],[Age]]&gt;=25,data[[#This Row],[Age]]&lt;=34),"25-34",IF(AND(data[[#This Row],[Age]]&gt;35,data[[#This Row],[Age]]&lt;=44),"35-44",IF(data[[#This Row],[Age]]&gt;44,"45+",IF(data[[#This Row],[Age]]&lt;18,"below 18 ")))))</f>
        <v xml:space="preserve">below 18 </v>
      </c>
    </row>
    <row r="241" spans="1:31" x14ac:dyDescent="0.25">
      <c r="A241" t="s">
        <v>294</v>
      </c>
      <c r="B241">
        <v>31</v>
      </c>
      <c r="C241" t="s">
        <v>47</v>
      </c>
      <c r="D241" t="s">
        <v>32</v>
      </c>
      <c r="E241" t="s">
        <v>58</v>
      </c>
      <c r="F241" t="s">
        <v>48</v>
      </c>
      <c r="G241">
        <v>3.4</v>
      </c>
      <c r="H241">
        <v>2</v>
      </c>
      <c r="I241">
        <v>1</v>
      </c>
      <c r="J241" t="s">
        <v>35</v>
      </c>
      <c r="K241" t="s">
        <v>52</v>
      </c>
      <c r="L241">
        <v>81</v>
      </c>
      <c r="M241">
        <v>5.8</v>
      </c>
      <c r="N241">
        <v>6.6</v>
      </c>
      <c r="O241">
        <v>3.2</v>
      </c>
      <c r="P241">
        <v>5</v>
      </c>
      <c r="Q241" t="s">
        <v>35</v>
      </c>
      <c r="R241" t="s">
        <v>42</v>
      </c>
      <c r="S241">
        <v>4.9000000000000004</v>
      </c>
      <c r="T241">
        <v>3.4</v>
      </c>
      <c r="U241">
        <v>4.3</v>
      </c>
      <c r="V241">
        <v>6.8</v>
      </c>
      <c r="W241">
        <v>2.9</v>
      </c>
      <c r="X241">
        <v>6.4</v>
      </c>
      <c r="Y241">
        <v>6.2</v>
      </c>
      <c r="Z241">
        <v>5.5</v>
      </c>
      <c r="AA241">
        <v>3.1</v>
      </c>
      <c r="AB241">
        <v>3.7</v>
      </c>
      <c r="AC241">
        <v>6.2</v>
      </c>
      <c r="AD241" t="s">
        <v>53</v>
      </c>
      <c r="AE241" t="str">
        <f>IF(AND(data[[#This Row],[Age]]&gt;=18,data[[#This Row],[Age]]&lt;=24),"18-24",IF(AND(data[[#This Row],[Age]]&gt;=25,data[[#This Row],[Age]]&lt;=34),"25-34",IF(AND(data[[#This Row],[Age]]&gt;35,data[[#This Row],[Age]]&lt;=44),"35-44",IF(data[[#This Row],[Age]]&gt;44,"45+",IF(data[[#This Row],[Age]]&lt;18,"below 18 ")))))</f>
        <v>25-34</v>
      </c>
    </row>
    <row r="242" spans="1:31" x14ac:dyDescent="0.25">
      <c r="A242" t="s">
        <v>295</v>
      </c>
      <c r="B242">
        <v>38</v>
      </c>
      <c r="C242" t="s">
        <v>47</v>
      </c>
      <c r="D242" t="s">
        <v>32</v>
      </c>
      <c r="E242" t="s">
        <v>58</v>
      </c>
      <c r="F242" t="s">
        <v>41</v>
      </c>
      <c r="G242">
        <v>4.2</v>
      </c>
      <c r="H242">
        <v>3</v>
      </c>
      <c r="I242">
        <v>4</v>
      </c>
      <c r="J242" t="s">
        <v>42</v>
      </c>
      <c r="K242" t="s">
        <v>52</v>
      </c>
      <c r="L242">
        <v>88</v>
      </c>
      <c r="M242">
        <v>8.4</v>
      </c>
      <c r="N242">
        <v>3.8</v>
      </c>
      <c r="O242">
        <v>5.8</v>
      </c>
      <c r="P242">
        <v>7.5</v>
      </c>
      <c r="Q242" t="s">
        <v>42</v>
      </c>
      <c r="R242" t="s">
        <v>42</v>
      </c>
      <c r="S242">
        <v>3.9</v>
      </c>
      <c r="T242">
        <v>1.3</v>
      </c>
      <c r="U242">
        <v>4.7</v>
      </c>
      <c r="V242">
        <v>3.1</v>
      </c>
      <c r="W242">
        <v>3.8</v>
      </c>
      <c r="X242">
        <v>6.1</v>
      </c>
      <c r="Y242">
        <v>8</v>
      </c>
      <c r="Z242">
        <v>3.1</v>
      </c>
      <c r="AA242">
        <v>2.1</v>
      </c>
      <c r="AB242">
        <v>4.5</v>
      </c>
      <c r="AC242">
        <v>4.0999999999999996</v>
      </c>
      <c r="AD242" t="s">
        <v>43</v>
      </c>
      <c r="AE242" t="str">
        <f>IF(AND(data[[#This Row],[Age]]&gt;=18,data[[#This Row],[Age]]&lt;=24),"18-24",IF(AND(data[[#This Row],[Age]]&gt;=25,data[[#This Row],[Age]]&lt;=34),"25-34",IF(AND(data[[#This Row],[Age]]&gt;35,data[[#This Row],[Age]]&lt;=44),"35-44",IF(data[[#This Row],[Age]]&gt;44,"45+",IF(data[[#This Row],[Age]]&lt;18,"below 18 ")))))</f>
        <v>35-44</v>
      </c>
    </row>
    <row r="243" spans="1:31" x14ac:dyDescent="0.25">
      <c r="A243" t="s">
        <v>296</v>
      </c>
      <c r="B243">
        <v>21</v>
      </c>
      <c r="C243" t="s">
        <v>47</v>
      </c>
      <c r="D243" t="s">
        <v>39</v>
      </c>
      <c r="E243" t="s">
        <v>58</v>
      </c>
      <c r="F243" t="s">
        <v>48</v>
      </c>
      <c r="G243">
        <v>4</v>
      </c>
      <c r="H243">
        <v>3</v>
      </c>
      <c r="I243">
        <v>1</v>
      </c>
      <c r="J243" t="s">
        <v>35</v>
      </c>
      <c r="K243" t="s">
        <v>52</v>
      </c>
      <c r="L243">
        <v>55</v>
      </c>
      <c r="M243">
        <v>5.5</v>
      </c>
      <c r="N243">
        <v>6.6</v>
      </c>
      <c r="O243">
        <v>1</v>
      </c>
      <c r="P243">
        <v>5.0999999999999996</v>
      </c>
      <c r="Q243" t="s">
        <v>42</v>
      </c>
      <c r="R243" t="s">
        <v>42</v>
      </c>
      <c r="S243">
        <v>5.7</v>
      </c>
      <c r="T243">
        <v>4</v>
      </c>
      <c r="U243">
        <v>3.3</v>
      </c>
      <c r="V243">
        <v>5</v>
      </c>
      <c r="W243">
        <v>3.4</v>
      </c>
      <c r="X243">
        <v>7.2</v>
      </c>
      <c r="Y243">
        <v>3.8</v>
      </c>
      <c r="Z243">
        <v>5.6</v>
      </c>
      <c r="AA243">
        <v>1.3</v>
      </c>
      <c r="AB243">
        <v>3.6</v>
      </c>
      <c r="AC243">
        <v>7.3</v>
      </c>
      <c r="AD243" t="s">
        <v>37</v>
      </c>
      <c r="AE243" t="str">
        <f>IF(AND(data[[#This Row],[Age]]&gt;=18,data[[#This Row],[Age]]&lt;=24),"18-24",IF(AND(data[[#This Row],[Age]]&gt;=25,data[[#This Row],[Age]]&lt;=34),"25-34",IF(AND(data[[#This Row],[Age]]&gt;35,data[[#This Row],[Age]]&lt;=44),"35-44",IF(data[[#This Row],[Age]]&gt;44,"45+",IF(data[[#This Row],[Age]]&lt;18,"below 18 ")))))</f>
        <v>18-24</v>
      </c>
    </row>
    <row r="244" spans="1:31" x14ac:dyDescent="0.25">
      <c r="A244" t="s">
        <v>297</v>
      </c>
      <c r="B244">
        <v>33</v>
      </c>
      <c r="C244" t="s">
        <v>31</v>
      </c>
      <c r="D244" t="s">
        <v>64</v>
      </c>
      <c r="E244" t="s">
        <v>58</v>
      </c>
      <c r="F244" t="s">
        <v>70</v>
      </c>
      <c r="G244">
        <v>5.6</v>
      </c>
      <c r="H244">
        <v>4</v>
      </c>
      <c r="I244">
        <v>4</v>
      </c>
      <c r="J244" t="s">
        <v>35</v>
      </c>
      <c r="K244" t="s">
        <v>52</v>
      </c>
      <c r="L244">
        <v>29</v>
      </c>
      <c r="M244">
        <v>8.5</v>
      </c>
      <c r="N244">
        <v>7.3</v>
      </c>
      <c r="O244">
        <v>6</v>
      </c>
      <c r="P244">
        <v>9.9</v>
      </c>
      <c r="Q244" t="s">
        <v>35</v>
      </c>
      <c r="R244" t="s">
        <v>42</v>
      </c>
      <c r="S244">
        <v>5</v>
      </c>
      <c r="T244">
        <v>5</v>
      </c>
      <c r="U244">
        <v>5.2</v>
      </c>
      <c r="V244">
        <v>2.6</v>
      </c>
      <c r="X244">
        <v>6.2</v>
      </c>
      <c r="Y244">
        <v>3.5</v>
      </c>
      <c r="Z244">
        <v>7</v>
      </c>
      <c r="AA244">
        <v>5.3</v>
      </c>
      <c r="AB244">
        <v>0.4</v>
      </c>
      <c r="AC244">
        <v>4</v>
      </c>
      <c r="AD244" t="s">
        <v>43</v>
      </c>
      <c r="AE244" t="str">
        <f>IF(AND(data[[#This Row],[Age]]&gt;=18,data[[#This Row],[Age]]&lt;=24),"18-24",IF(AND(data[[#This Row],[Age]]&gt;=25,data[[#This Row],[Age]]&lt;=34),"25-34",IF(AND(data[[#This Row],[Age]]&gt;35,data[[#This Row],[Age]]&lt;=44),"35-44",IF(data[[#This Row],[Age]]&gt;44,"45+",IF(data[[#This Row],[Age]]&lt;18,"below 18 ")))))</f>
        <v>25-34</v>
      </c>
    </row>
    <row r="245" spans="1:31" x14ac:dyDescent="0.25">
      <c r="A245" t="s">
        <v>298</v>
      </c>
      <c r="B245">
        <v>24</v>
      </c>
      <c r="C245" t="s">
        <v>50</v>
      </c>
      <c r="D245" t="s">
        <v>32</v>
      </c>
      <c r="E245" t="s">
        <v>58</v>
      </c>
      <c r="F245" t="s">
        <v>51</v>
      </c>
      <c r="G245">
        <v>5.8</v>
      </c>
      <c r="H245">
        <v>2</v>
      </c>
      <c r="I245">
        <v>5</v>
      </c>
      <c r="J245" t="s">
        <v>42</v>
      </c>
      <c r="K245" t="s">
        <v>36</v>
      </c>
      <c r="L245">
        <v>30</v>
      </c>
      <c r="M245">
        <v>5.7</v>
      </c>
      <c r="N245">
        <v>5.6</v>
      </c>
      <c r="O245">
        <v>2.7</v>
      </c>
      <c r="P245">
        <v>4.4000000000000004</v>
      </c>
      <c r="Q245" t="s">
        <v>42</v>
      </c>
      <c r="R245" t="s">
        <v>42</v>
      </c>
      <c r="S245">
        <v>5.2</v>
      </c>
      <c r="T245">
        <v>7.4</v>
      </c>
      <c r="U245">
        <v>7</v>
      </c>
      <c r="V245">
        <v>6</v>
      </c>
      <c r="W245">
        <v>6.6</v>
      </c>
      <c r="X245">
        <v>6.4</v>
      </c>
      <c r="Y245">
        <v>5.9</v>
      </c>
      <c r="Z245">
        <v>4.3</v>
      </c>
      <c r="AA245">
        <v>2.5</v>
      </c>
      <c r="AB245">
        <v>0.9</v>
      </c>
      <c r="AC245">
        <v>3.5</v>
      </c>
      <c r="AD245" t="s">
        <v>43</v>
      </c>
      <c r="AE245" t="str">
        <f>IF(AND(data[[#This Row],[Age]]&gt;=18,data[[#This Row],[Age]]&lt;=24),"18-24",IF(AND(data[[#This Row],[Age]]&gt;=25,data[[#This Row],[Age]]&lt;=34),"25-34",IF(AND(data[[#This Row],[Age]]&gt;35,data[[#This Row],[Age]]&lt;=44),"35-44",IF(data[[#This Row],[Age]]&gt;44,"45+",IF(data[[#This Row],[Age]]&lt;18,"below 18 ")))))</f>
        <v>18-24</v>
      </c>
    </row>
    <row r="246" spans="1:31" x14ac:dyDescent="0.25">
      <c r="A246" t="s">
        <v>299</v>
      </c>
      <c r="B246">
        <v>24</v>
      </c>
      <c r="C246" t="s">
        <v>31</v>
      </c>
      <c r="D246" t="s">
        <v>32</v>
      </c>
      <c r="E246" t="s">
        <v>58</v>
      </c>
      <c r="F246" t="s">
        <v>59</v>
      </c>
      <c r="G246">
        <v>6.1</v>
      </c>
      <c r="H246">
        <v>8</v>
      </c>
      <c r="I246">
        <v>2</v>
      </c>
      <c r="J246" t="s">
        <v>42</v>
      </c>
      <c r="K246" t="s">
        <v>36</v>
      </c>
      <c r="L246">
        <v>122</v>
      </c>
      <c r="M246">
        <v>5.4</v>
      </c>
      <c r="N246">
        <v>4.0999999999999996</v>
      </c>
      <c r="O246">
        <v>4.4000000000000004</v>
      </c>
      <c r="P246">
        <v>4.3</v>
      </c>
      <c r="Q246" t="s">
        <v>42</v>
      </c>
      <c r="R246" t="s">
        <v>35</v>
      </c>
      <c r="S246">
        <v>2</v>
      </c>
      <c r="T246">
        <v>4.5</v>
      </c>
      <c r="U246">
        <v>6.2</v>
      </c>
      <c r="V246">
        <v>7.3</v>
      </c>
      <c r="W246">
        <v>7.6</v>
      </c>
      <c r="X246">
        <v>3.9</v>
      </c>
      <c r="Y246">
        <v>10</v>
      </c>
      <c r="Z246">
        <v>8.4</v>
      </c>
      <c r="AA246">
        <v>2.1</v>
      </c>
      <c r="AB246">
        <v>0</v>
      </c>
      <c r="AC246">
        <v>5.6</v>
      </c>
      <c r="AD246" t="s">
        <v>45</v>
      </c>
      <c r="AE246" t="str">
        <f>IF(AND(data[[#This Row],[Age]]&gt;=18,data[[#This Row],[Age]]&lt;=24),"18-24",IF(AND(data[[#This Row],[Age]]&gt;=25,data[[#This Row],[Age]]&lt;=34),"25-34",IF(AND(data[[#This Row],[Age]]&gt;35,data[[#This Row],[Age]]&lt;=44),"35-44",IF(data[[#This Row],[Age]]&gt;44,"45+",IF(data[[#This Row],[Age]]&lt;18,"below 18 ")))))</f>
        <v>18-24</v>
      </c>
    </row>
    <row r="247" spans="1:31" x14ac:dyDescent="0.25">
      <c r="A247" t="s">
        <v>300</v>
      </c>
      <c r="B247">
        <v>28</v>
      </c>
      <c r="C247" t="s">
        <v>47</v>
      </c>
      <c r="D247" t="s">
        <v>32</v>
      </c>
      <c r="E247" t="s">
        <v>40</v>
      </c>
      <c r="F247" t="s">
        <v>41</v>
      </c>
      <c r="G247">
        <v>5.4</v>
      </c>
      <c r="H247">
        <v>4</v>
      </c>
      <c r="I247">
        <v>4</v>
      </c>
      <c r="J247" t="s">
        <v>42</v>
      </c>
      <c r="K247" t="s">
        <v>36</v>
      </c>
      <c r="L247">
        <v>97</v>
      </c>
      <c r="M247">
        <v>0.9</v>
      </c>
      <c r="N247">
        <v>4.5</v>
      </c>
      <c r="O247">
        <v>5.3</v>
      </c>
      <c r="P247">
        <v>7.2</v>
      </c>
      <c r="Q247" t="s">
        <v>35</v>
      </c>
      <c r="R247" t="s">
        <v>35</v>
      </c>
      <c r="S247">
        <v>8.6</v>
      </c>
      <c r="U247">
        <v>0</v>
      </c>
      <c r="V247">
        <v>7</v>
      </c>
      <c r="W247">
        <v>8.3000000000000007</v>
      </c>
      <c r="X247">
        <v>8.3000000000000007</v>
      </c>
      <c r="Y247">
        <v>4.2</v>
      </c>
      <c r="Z247">
        <v>4.4000000000000004</v>
      </c>
      <c r="AA247">
        <v>2.5</v>
      </c>
      <c r="AC247">
        <v>7.6</v>
      </c>
      <c r="AD247" t="s">
        <v>53</v>
      </c>
      <c r="AE247" t="str">
        <f>IF(AND(data[[#This Row],[Age]]&gt;=18,data[[#This Row],[Age]]&lt;=24),"18-24",IF(AND(data[[#This Row],[Age]]&gt;=25,data[[#This Row],[Age]]&lt;=34),"25-34",IF(AND(data[[#This Row],[Age]]&gt;35,data[[#This Row],[Age]]&lt;=44),"35-44",IF(data[[#This Row],[Age]]&gt;44,"45+",IF(data[[#This Row],[Age]]&lt;18,"below 18 ")))))</f>
        <v>25-34</v>
      </c>
    </row>
    <row r="248" spans="1:31" x14ac:dyDescent="0.25">
      <c r="A248" t="s">
        <v>301</v>
      </c>
      <c r="B248">
        <v>36</v>
      </c>
      <c r="C248" t="s">
        <v>31</v>
      </c>
      <c r="D248" t="s">
        <v>64</v>
      </c>
      <c r="E248" t="s">
        <v>58</v>
      </c>
      <c r="F248" t="s">
        <v>41</v>
      </c>
      <c r="G248">
        <v>2.4</v>
      </c>
      <c r="H248">
        <v>2</v>
      </c>
      <c r="I248">
        <v>3</v>
      </c>
      <c r="K248" t="s">
        <v>36</v>
      </c>
      <c r="L248">
        <v>137</v>
      </c>
      <c r="M248">
        <v>6</v>
      </c>
      <c r="N248">
        <v>5.6</v>
      </c>
      <c r="O248">
        <v>3.2</v>
      </c>
      <c r="P248">
        <v>5.6</v>
      </c>
      <c r="Q248" t="s">
        <v>35</v>
      </c>
      <c r="R248" t="s">
        <v>35</v>
      </c>
      <c r="S248">
        <v>4</v>
      </c>
      <c r="T248">
        <v>0.2</v>
      </c>
      <c r="U248">
        <v>6.5</v>
      </c>
      <c r="V248">
        <v>6.1</v>
      </c>
      <c r="W248">
        <v>6.4</v>
      </c>
      <c r="X248">
        <v>3.9</v>
      </c>
      <c r="Y248">
        <v>10</v>
      </c>
      <c r="Z248">
        <v>5.0999999999999996</v>
      </c>
      <c r="AA248">
        <v>8</v>
      </c>
      <c r="AB248">
        <v>0.2</v>
      </c>
      <c r="AC248">
        <v>6</v>
      </c>
      <c r="AD248" t="s">
        <v>45</v>
      </c>
      <c r="AE248" t="str">
        <f>IF(AND(data[[#This Row],[Age]]&gt;=18,data[[#This Row],[Age]]&lt;=24),"18-24",IF(AND(data[[#This Row],[Age]]&gt;=25,data[[#This Row],[Age]]&lt;=34),"25-34",IF(AND(data[[#This Row],[Age]]&gt;35,data[[#This Row],[Age]]&lt;=44),"35-44",IF(data[[#This Row],[Age]]&gt;44,"45+",IF(data[[#This Row],[Age]]&lt;18,"below 18 ")))))</f>
        <v>35-44</v>
      </c>
    </row>
    <row r="249" spans="1:31" x14ac:dyDescent="0.25">
      <c r="A249" t="s">
        <v>302</v>
      </c>
      <c r="B249">
        <v>26</v>
      </c>
      <c r="C249" t="s">
        <v>47</v>
      </c>
      <c r="D249" t="s">
        <v>39</v>
      </c>
      <c r="E249" t="s">
        <v>58</v>
      </c>
      <c r="F249" t="s">
        <v>59</v>
      </c>
      <c r="G249">
        <v>3.6</v>
      </c>
      <c r="H249">
        <v>1</v>
      </c>
      <c r="I249">
        <v>2</v>
      </c>
      <c r="J249" t="s">
        <v>35</v>
      </c>
      <c r="K249" t="s">
        <v>52</v>
      </c>
      <c r="L249">
        <v>5</v>
      </c>
      <c r="M249">
        <v>9.1</v>
      </c>
      <c r="N249">
        <v>3.2</v>
      </c>
      <c r="O249">
        <v>5.4</v>
      </c>
      <c r="P249">
        <v>4.9000000000000004</v>
      </c>
      <c r="Q249" t="s">
        <v>35</v>
      </c>
      <c r="R249" t="s">
        <v>35</v>
      </c>
      <c r="S249">
        <v>2.6</v>
      </c>
      <c r="T249">
        <v>3.8</v>
      </c>
      <c r="U249">
        <v>5.9</v>
      </c>
      <c r="V249">
        <v>8.6999999999999993</v>
      </c>
      <c r="W249">
        <v>8.3000000000000007</v>
      </c>
      <c r="X249">
        <v>7.9</v>
      </c>
      <c r="Y249">
        <v>6.2</v>
      </c>
      <c r="Z249">
        <v>4.2</v>
      </c>
      <c r="AA249">
        <v>0</v>
      </c>
      <c r="AB249">
        <v>1.7</v>
      </c>
      <c r="AC249">
        <v>7.7</v>
      </c>
      <c r="AD249" t="s">
        <v>37</v>
      </c>
      <c r="AE249" t="str">
        <f>IF(AND(data[[#This Row],[Age]]&gt;=18,data[[#This Row],[Age]]&lt;=24),"18-24",IF(AND(data[[#This Row],[Age]]&gt;=25,data[[#This Row],[Age]]&lt;=34),"25-34",IF(AND(data[[#This Row],[Age]]&gt;35,data[[#This Row],[Age]]&lt;=44),"35-44",IF(data[[#This Row],[Age]]&gt;44,"45+",IF(data[[#This Row],[Age]]&lt;18,"below 18 ")))))</f>
        <v>25-34</v>
      </c>
    </row>
    <row r="250" spans="1:31" x14ac:dyDescent="0.25">
      <c r="A250" t="s">
        <v>303</v>
      </c>
      <c r="B250">
        <v>16</v>
      </c>
      <c r="C250" t="s">
        <v>31</v>
      </c>
      <c r="D250" t="s">
        <v>39</v>
      </c>
      <c r="E250" t="s">
        <v>58</v>
      </c>
      <c r="F250" t="s">
        <v>41</v>
      </c>
      <c r="G250">
        <v>5.6</v>
      </c>
      <c r="H250">
        <v>3</v>
      </c>
      <c r="I250">
        <v>6</v>
      </c>
      <c r="J250" t="s">
        <v>42</v>
      </c>
      <c r="K250" t="s">
        <v>36</v>
      </c>
      <c r="L250">
        <v>5</v>
      </c>
      <c r="M250">
        <v>5.0999999999999996</v>
      </c>
      <c r="N250">
        <v>6.7</v>
      </c>
      <c r="O250">
        <v>3.5</v>
      </c>
      <c r="P250">
        <v>10</v>
      </c>
      <c r="Q250" t="s">
        <v>42</v>
      </c>
      <c r="R250" t="s">
        <v>35</v>
      </c>
      <c r="S250">
        <v>5.4</v>
      </c>
      <c r="T250">
        <v>0</v>
      </c>
      <c r="U250">
        <v>3.1</v>
      </c>
      <c r="V250">
        <v>2.9</v>
      </c>
      <c r="W250">
        <v>5.7</v>
      </c>
      <c r="X250">
        <v>7.9</v>
      </c>
      <c r="Y250">
        <v>9.6</v>
      </c>
      <c r="Z250">
        <v>6.7</v>
      </c>
      <c r="AA250">
        <v>2.1</v>
      </c>
      <c r="AB250">
        <v>0</v>
      </c>
      <c r="AC250">
        <v>4.3</v>
      </c>
      <c r="AD250" t="s">
        <v>43</v>
      </c>
      <c r="AE250" t="str">
        <f>IF(AND(data[[#This Row],[Age]]&gt;=18,data[[#This Row],[Age]]&lt;=24),"18-24",IF(AND(data[[#This Row],[Age]]&gt;=25,data[[#This Row],[Age]]&lt;=34),"25-34",IF(AND(data[[#This Row],[Age]]&gt;35,data[[#This Row],[Age]]&lt;=44),"35-44",IF(data[[#This Row],[Age]]&gt;44,"45+",IF(data[[#This Row],[Age]]&lt;18,"below 18 ")))))</f>
        <v xml:space="preserve">below 18 </v>
      </c>
    </row>
    <row r="251" spans="1:31" x14ac:dyDescent="0.25">
      <c r="A251" t="s">
        <v>304</v>
      </c>
      <c r="B251">
        <v>29</v>
      </c>
      <c r="C251" t="s">
        <v>31</v>
      </c>
      <c r="D251" t="s">
        <v>39</v>
      </c>
      <c r="E251" t="s">
        <v>40</v>
      </c>
      <c r="F251" t="s">
        <v>59</v>
      </c>
      <c r="G251">
        <v>4.5999999999999996</v>
      </c>
      <c r="H251">
        <v>3</v>
      </c>
      <c r="I251">
        <v>5</v>
      </c>
      <c r="J251" t="s">
        <v>42</v>
      </c>
      <c r="K251" t="s">
        <v>36</v>
      </c>
      <c r="L251">
        <v>45</v>
      </c>
      <c r="M251">
        <v>4.7</v>
      </c>
      <c r="N251">
        <v>5.6</v>
      </c>
      <c r="O251">
        <v>7.1</v>
      </c>
      <c r="P251">
        <v>7.1</v>
      </c>
      <c r="Q251" t="s">
        <v>42</v>
      </c>
      <c r="R251" t="s">
        <v>35</v>
      </c>
      <c r="S251">
        <v>6.9</v>
      </c>
      <c r="T251">
        <v>2.5</v>
      </c>
      <c r="U251">
        <v>6.2</v>
      </c>
      <c r="V251">
        <v>3.8</v>
      </c>
      <c r="W251">
        <v>5.2</v>
      </c>
      <c r="X251">
        <v>9.3000000000000007</v>
      </c>
      <c r="Y251">
        <v>7.8</v>
      </c>
      <c r="Z251">
        <v>7.2</v>
      </c>
      <c r="AA251">
        <v>4</v>
      </c>
      <c r="AB251">
        <v>3.1</v>
      </c>
      <c r="AC251">
        <v>5.4</v>
      </c>
      <c r="AD251" t="s">
        <v>43</v>
      </c>
      <c r="AE251" t="str">
        <f>IF(AND(data[[#This Row],[Age]]&gt;=18,data[[#This Row],[Age]]&lt;=24),"18-24",IF(AND(data[[#This Row],[Age]]&gt;=25,data[[#This Row],[Age]]&lt;=34),"25-34",IF(AND(data[[#This Row],[Age]]&gt;35,data[[#This Row],[Age]]&lt;=44),"35-44",IF(data[[#This Row],[Age]]&gt;44,"45+",IF(data[[#This Row],[Age]]&lt;18,"below 18 ")))))</f>
        <v>25-34</v>
      </c>
    </row>
    <row r="252" spans="1:31" x14ac:dyDescent="0.25">
      <c r="A252" t="s">
        <v>305</v>
      </c>
      <c r="B252">
        <v>31</v>
      </c>
      <c r="C252" t="s">
        <v>50</v>
      </c>
      <c r="D252" t="s">
        <v>57</v>
      </c>
      <c r="E252" t="s">
        <v>58</v>
      </c>
      <c r="F252" t="s">
        <v>70</v>
      </c>
      <c r="G252">
        <v>6.4</v>
      </c>
      <c r="H252">
        <v>5</v>
      </c>
      <c r="I252">
        <v>5</v>
      </c>
      <c r="J252" t="s">
        <v>42</v>
      </c>
      <c r="K252" t="s">
        <v>36</v>
      </c>
      <c r="L252">
        <v>5</v>
      </c>
      <c r="M252">
        <v>3.4</v>
      </c>
      <c r="N252">
        <v>9.1999999999999993</v>
      </c>
      <c r="O252">
        <v>4</v>
      </c>
      <c r="P252">
        <v>8</v>
      </c>
      <c r="Q252" t="s">
        <v>42</v>
      </c>
      <c r="R252" t="s">
        <v>35</v>
      </c>
      <c r="S252">
        <v>8.5</v>
      </c>
      <c r="T252">
        <v>2.2000000000000002</v>
      </c>
      <c r="U252">
        <v>3.7</v>
      </c>
      <c r="V252">
        <v>5.6</v>
      </c>
      <c r="W252">
        <v>8.9</v>
      </c>
      <c r="X252">
        <v>5.0999999999999996</v>
      </c>
      <c r="Y252">
        <v>5</v>
      </c>
      <c r="Z252">
        <v>3.4</v>
      </c>
      <c r="AA252">
        <v>4.3</v>
      </c>
      <c r="AB252">
        <v>0</v>
      </c>
      <c r="AC252">
        <v>5.6</v>
      </c>
      <c r="AD252" t="s">
        <v>45</v>
      </c>
      <c r="AE252" t="str">
        <f>IF(AND(data[[#This Row],[Age]]&gt;=18,data[[#This Row],[Age]]&lt;=24),"18-24",IF(AND(data[[#This Row],[Age]]&gt;=25,data[[#This Row],[Age]]&lt;=34),"25-34",IF(AND(data[[#This Row],[Age]]&gt;35,data[[#This Row],[Age]]&lt;=44),"35-44",IF(data[[#This Row],[Age]]&gt;44,"45+",IF(data[[#This Row],[Age]]&lt;18,"below 18 ")))))</f>
        <v>25-34</v>
      </c>
    </row>
    <row r="253" spans="1:31" x14ac:dyDescent="0.25">
      <c r="A253" t="s">
        <v>306</v>
      </c>
      <c r="B253">
        <v>31</v>
      </c>
      <c r="C253" t="s">
        <v>31</v>
      </c>
      <c r="D253" t="s">
        <v>32</v>
      </c>
      <c r="E253" t="s">
        <v>33</v>
      </c>
      <c r="F253" t="s">
        <v>41</v>
      </c>
      <c r="G253">
        <v>1.8</v>
      </c>
      <c r="H253">
        <v>5</v>
      </c>
      <c r="I253">
        <v>4</v>
      </c>
      <c r="J253" t="s">
        <v>42</v>
      </c>
      <c r="K253" t="s">
        <v>52</v>
      </c>
      <c r="L253">
        <v>63</v>
      </c>
      <c r="M253">
        <v>5.4</v>
      </c>
      <c r="N253">
        <v>2.9</v>
      </c>
      <c r="O253">
        <v>5</v>
      </c>
      <c r="P253">
        <v>2.5</v>
      </c>
      <c r="Q253" t="s">
        <v>35</v>
      </c>
      <c r="R253" t="s">
        <v>42</v>
      </c>
      <c r="S253">
        <v>9.1</v>
      </c>
      <c r="T253">
        <v>6.8</v>
      </c>
      <c r="U253">
        <v>2.1</v>
      </c>
      <c r="V253">
        <v>7.3</v>
      </c>
      <c r="W253">
        <v>5.4</v>
      </c>
      <c r="X253">
        <v>5.4</v>
      </c>
      <c r="Y253">
        <v>8.3000000000000007</v>
      </c>
      <c r="Z253">
        <v>2.6</v>
      </c>
      <c r="AA253">
        <v>3.3</v>
      </c>
      <c r="AB253">
        <v>3.5</v>
      </c>
      <c r="AC253">
        <v>6</v>
      </c>
      <c r="AD253" t="s">
        <v>45</v>
      </c>
      <c r="AE253" t="str">
        <f>IF(AND(data[[#This Row],[Age]]&gt;=18,data[[#This Row],[Age]]&lt;=24),"18-24",IF(AND(data[[#This Row],[Age]]&gt;=25,data[[#This Row],[Age]]&lt;=34),"25-34",IF(AND(data[[#This Row],[Age]]&gt;35,data[[#This Row],[Age]]&lt;=44),"35-44",IF(data[[#This Row],[Age]]&gt;44,"45+",IF(data[[#This Row],[Age]]&lt;18,"below 18 ")))))</f>
        <v>25-34</v>
      </c>
    </row>
    <row r="254" spans="1:31" x14ac:dyDescent="0.25">
      <c r="A254" t="s">
        <v>307</v>
      </c>
      <c r="B254">
        <v>40</v>
      </c>
      <c r="C254" t="s">
        <v>47</v>
      </c>
      <c r="D254" t="s">
        <v>32</v>
      </c>
      <c r="E254" t="s">
        <v>33</v>
      </c>
      <c r="F254" t="s">
        <v>59</v>
      </c>
      <c r="G254">
        <v>2.6</v>
      </c>
      <c r="H254">
        <v>2</v>
      </c>
      <c r="I254">
        <v>3</v>
      </c>
      <c r="J254" t="s">
        <v>42</v>
      </c>
      <c r="K254" t="s">
        <v>52</v>
      </c>
      <c r="L254">
        <v>66</v>
      </c>
      <c r="M254">
        <v>4.5</v>
      </c>
      <c r="N254">
        <v>5.7</v>
      </c>
      <c r="O254">
        <v>4.5999999999999996</v>
      </c>
      <c r="P254">
        <v>3.6</v>
      </c>
      <c r="Q254" t="s">
        <v>42</v>
      </c>
      <c r="R254" t="s">
        <v>42</v>
      </c>
      <c r="S254">
        <v>5.5</v>
      </c>
      <c r="T254">
        <v>9.3000000000000007</v>
      </c>
      <c r="U254">
        <v>9.6999999999999993</v>
      </c>
      <c r="V254">
        <v>5.5</v>
      </c>
      <c r="W254">
        <v>2.6</v>
      </c>
      <c r="X254">
        <v>7.6</v>
      </c>
      <c r="Y254">
        <v>6.1</v>
      </c>
      <c r="Z254">
        <v>5.0999999999999996</v>
      </c>
      <c r="AB254">
        <v>2.2000000000000002</v>
      </c>
      <c r="AC254">
        <v>5.9</v>
      </c>
      <c r="AD254" t="s">
        <v>45</v>
      </c>
      <c r="AE254" t="str">
        <f>IF(AND(data[[#This Row],[Age]]&gt;=18,data[[#This Row],[Age]]&lt;=24),"18-24",IF(AND(data[[#This Row],[Age]]&gt;=25,data[[#This Row],[Age]]&lt;=34),"25-34",IF(AND(data[[#This Row],[Age]]&gt;35,data[[#This Row],[Age]]&lt;=44),"35-44",IF(data[[#This Row],[Age]]&gt;44,"45+",IF(data[[#This Row],[Age]]&lt;18,"below 18 ")))))</f>
        <v>35-44</v>
      </c>
    </row>
    <row r="255" spans="1:31" x14ac:dyDescent="0.25">
      <c r="A255" t="s">
        <v>308</v>
      </c>
      <c r="B255">
        <v>32</v>
      </c>
      <c r="C255" t="s">
        <v>50</v>
      </c>
      <c r="D255" t="s">
        <v>39</v>
      </c>
      <c r="E255" t="s">
        <v>58</v>
      </c>
      <c r="F255" t="s">
        <v>41</v>
      </c>
      <c r="G255">
        <v>2.7</v>
      </c>
      <c r="H255">
        <v>7</v>
      </c>
      <c r="I255">
        <v>6</v>
      </c>
      <c r="J255" t="s">
        <v>35</v>
      </c>
      <c r="K255" t="s">
        <v>52</v>
      </c>
      <c r="L255">
        <v>43</v>
      </c>
      <c r="M255">
        <v>1.4</v>
      </c>
      <c r="N255">
        <v>7</v>
      </c>
      <c r="O255">
        <v>7.9</v>
      </c>
      <c r="P255">
        <v>6.9</v>
      </c>
      <c r="Q255" t="s">
        <v>35</v>
      </c>
      <c r="R255" t="s">
        <v>42</v>
      </c>
      <c r="S255">
        <v>5.5</v>
      </c>
      <c r="T255">
        <v>7.6</v>
      </c>
      <c r="U255">
        <v>6.6</v>
      </c>
      <c r="V255">
        <v>4.5999999999999996</v>
      </c>
      <c r="W255">
        <v>10</v>
      </c>
      <c r="X255">
        <v>3.9</v>
      </c>
      <c r="Y255">
        <v>8.6</v>
      </c>
      <c r="Z255">
        <v>7.7</v>
      </c>
      <c r="AA255">
        <v>5.5</v>
      </c>
      <c r="AB255">
        <v>3.4</v>
      </c>
      <c r="AC255">
        <v>6.3</v>
      </c>
      <c r="AD255" t="s">
        <v>53</v>
      </c>
      <c r="AE255" t="str">
        <f>IF(AND(data[[#This Row],[Age]]&gt;=18,data[[#This Row],[Age]]&lt;=24),"18-24",IF(AND(data[[#This Row],[Age]]&gt;=25,data[[#This Row],[Age]]&lt;=34),"25-34",IF(AND(data[[#This Row],[Age]]&gt;35,data[[#This Row],[Age]]&lt;=44),"35-44",IF(data[[#This Row],[Age]]&gt;44,"45+",IF(data[[#This Row],[Age]]&lt;18,"below 18 ")))))</f>
        <v>25-34</v>
      </c>
    </row>
    <row r="256" spans="1:31" x14ac:dyDescent="0.25">
      <c r="A256" t="s">
        <v>309</v>
      </c>
      <c r="B256">
        <v>29</v>
      </c>
      <c r="C256" t="s">
        <v>31</v>
      </c>
      <c r="D256" t="s">
        <v>57</v>
      </c>
      <c r="E256" t="s">
        <v>58</v>
      </c>
      <c r="F256" t="s">
        <v>41</v>
      </c>
      <c r="G256">
        <v>5.0999999999999996</v>
      </c>
      <c r="H256">
        <v>5</v>
      </c>
      <c r="I256">
        <v>5</v>
      </c>
      <c r="J256" t="s">
        <v>42</v>
      </c>
      <c r="K256" t="s">
        <v>52</v>
      </c>
      <c r="L256">
        <v>105</v>
      </c>
      <c r="M256">
        <v>4.5999999999999996</v>
      </c>
      <c r="N256">
        <v>5.4</v>
      </c>
      <c r="O256">
        <v>3.5</v>
      </c>
      <c r="P256">
        <v>7.8</v>
      </c>
      <c r="R256" t="s">
        <v>42</v>
      </c>
      <c r="S256">
        <v>7.1</v>
      </c>
      <c r="T256">
        <v>6.4</v>
      </c>
      <c r="U256">
        <v>3.8</v>
      </c>
      <c r="V256">
        <v>7.6</v>
      </c>
      <c r="W256">
        <v>6.3</v>
      </c>
      <c r="X256">
        <v>6.2</v>
      </c>
      <c r="Y256">
        <v>4.4000000000000004</v>
      </c>
      <c r="Z256">
        <v>1.6</v>
      </c>
      <c r="AA256">
        <v>2.6</v>
      </c>
      <c r="AB256">
        <v>2.2000000000000002</v>
      </c>
      <c r="AC256">
        <v>3.8</v>
      </c>
      <c r="AD256" t="s">
        <v>43</v>
      </c>
      <c r="AE256" t="str">
        <f>IF(AND(data[[#This Row],[Age]]&gt;=18,data[[#This Row],[Age]]&lt;=24),"18-24",IF(AND(data[[#This Row],[Age]]&gt;=25,data[[#This Row],[Age]]&lt;=34),"25-34",IF(AND(data[[#This Row],[Age]]&gt;35,data[[#This Row],[Age]]&lt;=44),"35-44",IF(data[[#This Row],[Age]]&gt;44,"45+",IF(data[[#This Row],[Age]]&lt;18,"below 18 ")))))</f>
        <v>25-34</v>
      </c>
    </row>
    <row r="257" spans="1:31" x14ac:dyDescent="0.25">
      <c r="A257" t="s">
        <v>310</v>
      </c>
      <c r="B257">
        <v>16</v>
      </c>
      <c r="C257" t="s">
        <v>31</v>
      </c>
      <c r="D257" t="s">
        <v>39</v>
      </c>
      <c r="E257" t="s">
        <v>40</v>
      </c>
      <c r="F257" t="s">
        <v>51</v>
      </c>
      <c r="G257">
        <v>3.1</v>
      </c>
      <c r="H257">
        <v>4</v>
      </c>
      <c r="I257">
        <v>2</v>
      </c>
      <c r="J257" t="s">
        <v>42</v>
      </c>
      <c r="K257" t="s">
        <v>36</v>
      </c>
      <c r="L257">
        <v>56</v>
      </c>
      <c r="M257">
        <v>7.9</v>
      </c>
      <c r="N257">
        <v>3.5</v>
      </c>
      <c r="O257">
        <v>1.7</v>
      </c>
      <c r="P257">
        <v>5.7</v>
      </c>
      <c r="Q257" t="s">
        <v>42</v>
      </c>
      <c r="R257" t="s">
        <v>42</v>
      </c>
      <c r="S257">
        <v>5.7</v>
      </c>
      <c r="T257">
        <v>4.0999999999999996</v>
      </c>
      <c r="U257">
        <v>6.7</v>
      </c>
      <c r="V257">
        <v>1.9</v>
      </c>
      <c r="W257">
        <v>3.8</v>
      </c>
      <c r="X257">
        <v>7.3</v>
      </c>
      <c r="Y257">
        <v>0</v>
      </c>
      <c r="Z257">
        <v>6.8</v>
      </c>
      <c r="AA257">
        <v>3.4</v>
      </c>
      <c r="AB257">
        <v>5.2</v>
      </c>
      <c r="AC257">
        <v>5.7</v>
      </c>
      <c r="AD257" t="s">
        <v>43</v>
      </c>
      <c r="AE257" t="str">
        <f>IF(AND(data[[#This Row],[Age]]&gt;=18,data[[#This Row],[Age]]&lt;=24),"18-24",IF(AND(data[[#This Row],[Age]]&gt;=25,data[[#This Row],[Age]]&lt;=34),"25-34",IF(AND(data[[#This Row],[Age]]&gt;35,data[[#This Row],[Age]]&lt;=44),"35-44",IF(data[[#This Row],[Age]]&gt;44,"45+",IF(data[[#This Row],[Age]]&lt;18,"below 18 ")))))</f>
        <v xml:space="preserve">below 18 </v>
      </c>
    </row>
    <row r="258" spans="1:31" x14ac:dyDescent="0.25">
      <c r="A258" t="s">
        <v>311</v>
      </c>
      <c r="B258">
        <v>36</v>
      </c>
      <c r="C258" t="s">
        <v>47</v>
      </c>
      <c r="D258" t="s">
        <v>32</v>
      </c>
      <c r="F258" t="s">
        <v>34</v>
      </c>
      <c r="G258">
        <v>2.6</v>
      </c>
      <c r="H258">
        <v>2</v>
      </c>
      <c r="I258">
        <v>6</v>
      </c>
      <c r="J258" t="s">
        <v>42</v>
      </c>
      <c r="K258" t="s">
        <v>36</v>
      </c>
      <c r="L258">
        <v>85</v>
      </c>
      <c r="M258">
        <v>4.5</v>
      </c>
      <c r="N258">
        <v>3.8</v>
      </c>
      <c r="O258">
        <v>8.1</v>
      </c>
      <c r="P258">
        <v>7.8</v>
      </c>
      <c r="Q258" t="s">
        <v>42</v>
      </c>
      <c r="R258" t="s">
        <v>42</v>
      </c>
      <c r="S258">
        <v>4.5999999999999996</v>
      </c>
      <c r="T258">
        <v>5.4</v>
      </c>
      <c r="U258">
        <v>3.8</v>
      </c>
      <c r="V258">
        <v>4.5999999999999996</v>
      </c>
      <c r="W258">
        <v>5.5</v>
      </c>
      <c r="X258">
        <v>8.6999999999999993</v>
      </c>
      <c r="Y258">
        <v>4.8</v>
      </c>
      <c r="Z258">
        <v>1.8</v>
      </c>
      <c r="AB258">
        <v>6.2</v>
      </c>
      <c r="AC258">
        <v>4.5999999999999996</v>
      </c>
      <c r="AD258" t="s">
        <v>43</v>
      </c>
      <c r="AE258" t="str">
        <f>IF(AND(data[[#This Row],[Age]]&gt;=18,data[[#This Row],[Age]]&lt;=24),"18-24",IF(AND(data[[#This Row],[Age]]&gt;=25,data[[#This Row],[Age]]&lt;=34),"25-34",IF(AND(data[[#This Row],[Age]]&gt;35,data[[#This Row],[Age]]&lt;=44),"35-44",IF(data[[#This Row],[Age]]&gt;44,"45+",IF(data[[#This Row],[Age]]&lt;18,"below 18 ")))))</f>
        <v>35-44</v>
      </c>
    </row>
    <row r="259" spans="1:31" x14ac:dyDescent="0.25">
      <c r="A259" t="s">
        <v>312</v>
      </c>
      <c r="B259">
        <v>34</v>
      </c>
      <c r="C259" t="s">
        <v>31</v>
      </c>
      <c r="D259" t="s">
        <v>39</v>
      </c>
      <c r="E259" t="s">
        <v>40</v>
      </c>
      <c r="F259" t="s">
        <v>59</v>
      </c>
      <c r="G259">
        <v>5.2</v>
      </c>
      <c r="H259">
        <v>2</v>
      </c>
      <c r="I259">
        <v>3</v>
      </c>
      <c r="J259" t="s">
        <v>35</v>
      </c>
      <c r="K259" t="s">
        <v>36</v>
      </c>
      <c r="L259">
        <v>64</v>
      </c>
      <c r="M259">
        <v>7.9</v>
      </c>
      <c r="N259">
        <v>4.2</v>
      </c>
      <c r="O259">
        <v>5</v>
      </c>
      <c r="P259">
        <v>6.9</v>
      </c>
      <c r="Q259" t="s">
        <v>42</v>
      </c>
      <c r="R259" t="s">
        <v>42</v>
      </c>
      <c r="S259">
        <v>3.9</v>
      </c>
      <c r="T259">
        <v>5.5</v>
      </c>
      <c r="U259">
        <v>4.2</v>
      </c>
      <c r="V259">
        <v>1.7</v>
      </c>
      <c r="W259">
        <v>6.3</v>
      </c>
      <c r="X259">
        <v>7.5</v>
      </c>
      <c r="Y259">
        <v>10</v>
      </c>
      <c r="Z259">
        <v>2.4</v>
      </c>
      <c r="AA259">
        <v>6</v>
      </c>
      <c r="AB259">
        <v>2.2999999999999998</v>
      </c>
      <c r="AC259">
        <v>4.7</v>
      </c>
      <c r="AD259" t="s">
        <v>43</v>
      </c>
      <c r="AE259" t="str">
        <f>IF(AND(data[[#This Row],[Age]]&gt;=18,data[[#This Row],[Age]]&lt;=24),"18-24",IF(AND(data[[#This Row],[Age]]&gt;=25,data[[#This Row],[Age]]&lt;=34),"25-34",IF(AND(data[[#This Row],[Age]]&gt;35,data[[#This Row],[Age]]&lt;=44),"35-44",IF(data[[#This Row],[Age]]&gt;44,"45+",IF(data[[#This Row],[Age]]&lt;18,"below 18 ")))))</f>
        <v>25-34</v>
      </c>
    </row>
    <row r="260" spans="1:31" x14ac:dyDescent="0.25">
      <c r="A260" t="s">
        <v>313</v>
      </c>
      <c r="B260">
        <v>33</v>
      </c>
      <c r="C260" t="s">
        <v>31</v>
      </c>
      <c r="E260" t="s">
        <v>58</v>
      </c>
      <c r="F260" t="s">
        <v>41</v>
      </c>
      <c r="G260">
        <v>3.6</v>
      </c>
      <c r="H260">
        <v>5</v>
      </c>
      <c r="I260">
        <v>2</v>
      </c>
      <c r="J260" t="s">
        <v>35</v>
      </c>
      <c r="K260" t="s">
        <v>36</v>
      </c>
      <c r="L260">
        <v>11</v>
      </c>
      <c r="N260">
        <v>4.5</v>
      </c>
      <c r="O260">
        <v>9.3000000000000007</v>
      </c>
      <c r="P260">
        <v>7.4</v>
      </c>
      <c r="Q260" t="s">
        <v>42</v>
      </c>
      <c r="R260" t="s">
        <v>42</v>
      </c>
      <c r="S260">
        <v>3.4</v>
      </c>
      <c r="T260">
        <v>8.1</v>
      </c>
      <c r="U260">
        <v>6.9</v>
      </c>
      <c r="V260">
        <v>3.8</v>
      </c>
      <c r="W260">
        <v>5.2</v>
      </c>
      <c r="X260">
        <v>4.5</v>
      </c>
      <c r="Y260">
        <v>0.9</v>
      </c>
      <c r="Z260">
        <v>4.7</v>
      </c>
      <c r="AA260">
        <v>3.1</v>
      </c>
      <c r="AB260">
        <v>2.4</v>
      </c>
      <c r="AC260">
        <v>5.6</v>
      </c>
      <c r="AD260" t="s">
        <v>43</v>
      </c>
      <c r="AE260" t="str">
        <f>IF(AND(data[[#This Row],[Age]]&gt;=18,data[[#This Row],[Age]]&lt;=24),"18-24",IF(AND(data[[#This Row],[Age]]&gt;=25,data[[#This Row],[Age]]&lt;=34),"25-34",IF(AND(data[[#This Row],[Age]]&gt;35,data[[#This Row],[Age]]&lt;=44),"35-44",IF(data[[#This Row],[Age]]&gt;44,"45+",IF(data[[#This Row],[Age]]&lt;18,"below 18 ")))))</f>
        <v>25-34</v>
      </c>
    </row>
    <row r="261" spans="1:31" x14ac:dyDescent="0.25">
      <c r="A261" t="s">
        <v>314</v>
      </c>
      <c r="B261">
        <v>15</v>
      </c>
      <c r="C261" t="s">
        <v>47</v>
      </c>
      <c r="D261" t="s">
        <v>39</v>
      </c>
      <c r="E261" t="s">
        <v>58</v>
      </c>
      <c r="F261" t="s">
        <v>41</v>
      </c>
      <c r="G261">
        <v>2.2000000000000002</v>
      </c>
      <c r="H261">
        <v>2</v>
      </c>
      <c r="I261">
        <v>3</v>
      </c>
      <c r="J261" t="s">
        <v>42</v>
      </c>
      <c r="K261" t="s">
        <v>52</v>
      </c>
      <c r="L261">
        <v>86</v>
      </c>
      <c r="M261">
        <v>5.8</v>
      </c>
      <c r="N261">
        <v>4.3</v>
      </c>
      <c r="O261">
        <v>7.1</v>
      </c>
      <c r="P261">
        <v>4</v>
      </c>
      <c r="Q261" t="s">
        <v>42</v>
      </c>
      <c r="R261" t="s">
        <v>42</v>
      </c>
      <c r="S261">
        <v>6.4</v>
      </c>
      <c r="U261">
        <v>3.5</v>
      </c>
      <c r="V261">
        <v>3.8</v>
      </c>
      <c r="W261">
        <v>3.5</v>
      </c>
      <c r="X261">
        <v>3.2</v>
      </c>
      <c r="Y261">
        <v>6.4</v>
      </c>
      <c r="Z261">
        <v>1.4</v>
      </c>
      <c r="AA261">
        <v>2</v>
      </c>
      <c r="AB261">
        <v>2.1</v>
      </c>
      <c r="AC261">
        <v>5.4</v>
      </c>
      <c r="AD261" t="s">
        <v>43</v>
      </c>
      <c r="AE261" t="str">
        <f>IF(AND(data[[#This Row],[Age]]&gt;=18,data[[#This Row],[Age]]&lt;=24),"18-24",IF(AND(data[[#This Row],[Age]]&gt;=25,data[[#This Row],[Age]]&lt;=34),"25-34",IF(AND(data[[#This Row],[Age]]&gt;35,data[[#This Row],[Age]]&lt;=44),"35-44",IF(data[[#This Row],[Age]]&gt;44,"45+",IF(data[[#This Row],[Age]]&lt;18,"below 18 ")))))</f>
        <v xml:space="preserve">below 18 </v>
      </c>
    </row>
    <row r="262" spans="1:31" x14ac:dyDescent="0.25">
      <c r="A262" t="s">
        <v>315</v>
      </c>
      <c r="B262">
        <v>28</v>
      </c>
      <c r="C262" t="s">
        <v>31</v>
      </c>
      <c r="D262" t="s">
        <v>32</v>
      </c>
      <c r="E262" t="s">
        <v>58</v>
      </c>
      <c r="F262" t="s">
        <v>51</v>
      </c>
      <c r="G262">
        <v>5.4</v>
      </c>
      <c r="H262">
        <v>3</v>
      </c>
      <c r="I262">
        <v>3</v>
      </c>
      <c r="J262" t="s">
        <v>42</v>
      </c>
      <c r="K262" t="s">
        <v>62</v>
      </c>
      <c r="L262">
        <v>5</v>
      </c>
      <c r="M262">
        <v>6.2</v>
      </c>
      <c r="N262">
        <v>6.6</v>
      </c>
      <c r="O262">
        <v>5.8</v>
      </c>
      <c r="P262">
        <v>4.8</v>
      </c>
      <c r="Q262" t="s">
        <v>35</v>
      </c>
      <c r="R262" t="s">
        <v>35</v>
      </c>
      <c r="S262">
        <v>3.4</v>
      </c>
      <c r="T262">
        <v>7.1</v>
      </c>
      <c r="U262">
        <v>4.3</v>
      </c>
      <c r="V262">
        <v>5.2</v>
      </c>
      <c r="W262">
        <v>6.3</v>
      </c>
      <c r="X262">
        <v>6</v>
      </c>
      <c r="Y262">
        <v>4</v>
      </c>
      <c r="Z262">
        <v>6</v>
      </c>
      <c r="AA262">
        <v>6.8</v>
      </c>
      <c r="AB262">
        <v>3.4</v>
      </c>
      <c r="AC262">
        <v>7.2</v>
      </c>
      <c r="AD262" t="s">
        <v>53</v>
      </c>
      <c r="AE262" t="str">
        <f>IF(AND(data[[#This Row],[Age]]&gt;=18,data[[#This Row],[Age]]&lt;=24),"18-24",IF(AND(data[[#This Row],[Age]]&gt;=25,data[[#This Row],[Age]]&lt;=34),"25-34",IF(AND(data[[#This Row],[Age]]&gt;35,data[[#This Row],[Age]]&lt;=44),"35-44",IF(data[[#This Row],[Age]]&gt;44,"45+",IF(data[[#This Row],[Age]]&lt;18,"below 18 ")))))</f>
        <v>25-34</v>
      </c>
    </row>
    <row r="263" spans="1:31" x14ac:dyDescent="0.25">
      <c r="A263" t="s">
        <v>316</v>
      </c>
      <c r="B263">
        <v>41</v>
      </c>
      <c r="C263" t="s">
        <v>31</v>
      </c>
      <c r="D263" t="s">
        <v>32</v>
      </c>
      <c r="E263" t="s">
        <v>40</v>
      </c>
      <c r="F263" t="s">
        <v>48</v>
      </c>
      <c r="G263">
        <v>4.3</v>
      </c>
      <c r="H263">
        <v>2</v>
      </c>
      <c r="I263">
        <v>8</v>
      </c>
      <c r="J263" t="s">
        <v>35</v>
      </c>
      <c r="K263" t="s">
        <v>52</v>
      </c>
      <c r="L263">
        <v>42</v>
      </c>
      <c r="M263">
        <v>2.5</v>
      </c>
      <c r="N263">
        <v>6.4</v>
      </c>
      <c r="O263">
        <v>0.4</v>
      </c>
      <c r="P263">
        <v>5.8</v>
      </c>
      <c r="Q263" t="s">
        <v>42</v>
      </c>
      <c r="R263" t="s">
        <v>42</v>
      </c>
      <c r="S263">
        <v>4.4000000000000004</v>
      </c>
      <c r="T263">
        <v>7.7</v>
      </c>
      <c r="U263">
        <v>2.5</v>
      </c>
      <c r="V263">
        <v>6.2</v>
      </c>
      <c r="W263">
        <v>8</v>
      </c>
      <c r="X263">
        <v>7.2</v>
      </c>
      <c r="Y263">
        <v>8.9</v>
      </c>
      <c r="Z263">
        <v>9.6999999999999993</v>
      </c>
      <c r="AA263">
        <v>2.6</v>
      </c>
      <c r="AB263">
        <v>1.3</v>
      </c>
      <c r="AC263">
        <v>9</v>
      </c>
      <c r="AD263" t="s">
        <v>37</v>
      </c>
      <c r="AE263" t="str">
        <f>IF(AND(data[[#This Row],[Age]]&gt;=18,data[[#This Row],[Age]]&lt;=24),"18-24",IF(AND(data[[#This Row],[Age]]&gt;=25,data[[#This Row],[Age]]&lt;=34),"25-34",IF(AND(data[[#This Row],[Age]]&gt;35,data[[#This Row],[Age]]&lt;=44),"35-44",IF(data[[#This Row],[Age]]&gt;44,"45+",IF(data[[#This Row],[Age]]&lt;18,"below 18 ")))))</f>
        <v>35-44</v>
      </c>
    </row>
    <row r="264" spans="1:31" x14ac:dyDescent="0.25">
      <c r="A264" t="s">
        <v>317</v>
      </c>
      <c r="B264">
        <v>25</v>
      </c>
      <c r="C264" t="s">
        <v>31</v>
      </c>
      <c r="D264" t="s">
        <v>39</v>
      </c>
      <c r="E264" t="s">
        <v>33</v>
      </c>
      <c r="F264" t="s">
        <v>51</v>
      </c>
      <c r="G264">
        <v>5.5</v>
      </c>
      <c r="H264">
        <v>2</v>
      </c>
      <c r="I264">
        <v>0</v>
      </c>
      <c r="J264" t="s">
        <v>42</v>
      </c>
      <c r="K264" t="s">
        <v>52</v>
      </c>
      <c r="L264">
        <v>72</v>
      </c>
      <c r="M264">
        <v>10</v>
      </c>
      <c r="N264">
        <v>3.3</v>
      </c>
      <c r="O264">
        <v>4.7</v>
      </c>
      <c r="P264">
        <v>4.5999999999999996</v>
      </c>
      <c r="Q264" t="s">
        <v>35</v>
      </c>
      <c r="R264" t="s">
        <v>42</v>
      </c>
      <c r="S264">
        <v>6.2</v>
      </c>
      <c r="T264">
        <v>5</v>
      </c>
      <c r="U264">
        <v>6.4</v>
      </c>
      <c r="V264">
        <v>3.2</v>
      </c>
      <c r="W264">
        <v>2.9</v>
      </c>
      <c r="X264">
        <v>6.5</v>
      </c>
      <c r="Y264">
        <v>1.9</v>
      </c>
      <c r="Z264">
        <v>9.9</v>
      </c>
      <c r="AA264">
        <v>0.3</v>
      </c>
      <c r="AB264">
        <v>1.1000000000000001</v>
      </c>
      <c r="AC264">
        <v>4.3</v>
      </c>
      <c r="AD264" t="s">
        <v>43</v>
      </c>
      <c r="AE264" t="str">
        <f>IF(AND(data[[#This Row],[Age]]&gt;=18,data[[#This Row],[Age]]&lt;=24),"18-24",IF(AND(data[[#This Row],[Age]]&gt;=25,data[[#This Row],[Age]]&lt;=34),"25-34",IF(AND(data[[#This Row],[Age]]&gt;35,data[[#This Row],[Age]]&lt;=44),"35-44",IF(data[[#This Row],[Age]]&gt;44,"45+",IF(data[[#This Row],[Age]]&lt;18,"below 18 ")))))</f>
        <v>25-34</v>
      </c>
    </row>
    <row r="265" spans="1:31" x14ac:dyDescent="0.25">
      <c r="A265" t="s">
        <v>318</v>
      </c>
      <c r="B265">
        <v>35</v>
      </c>
      <c r="C265" t="s">
        <v>47</v>
      </c>
      <c r="D265" t="s">
        <v>32</v>
      </c>
      <c r="E265" t="s">
        <v>58</v>
      </c>
      <c r="F265" t="s">
        <v>41</v>
      </c>
      <c r="G265">
        <v>5.7</v>
      </c>
      <c r="H265">
        <v>2</v>
      </c>
      <c r="I265">
        <v>5</v>
      </c>
      <c r="J265" t="s">
        <v>42</v>
      </c>
      <c r="K265" t="s">
        <v>36</v>
      </c>
      <c r="L265">
        <v>92</v>
      </c>
      <c r="M265">
        <v>2.8</v>
      </c>
      <c r="N265">
        <v>5.2</v>
      </c>
      <c r="O265">
        <v>4.2</v>
      </c>
      <c r="P265">
        <v>3.5</v>
      </c>
      <c r="Q265" t="s">
        <v>35</v>
      </c>
      <c r="R265" t="s">
        <v>35</v>
      </c>
      <c r="S265">
        <v>4.5</v>
      </c>
      <c r="T265">
        <v>4.0999999999999996</v>
      </c>
      <c r="U265">
        <v>6.7</v>
      </c>
      <c r="V265">
        <v>3.7</v>
      </c>
      <c r="W265">
        <v>7.5</v>
      </c>
      <c r="X265">
        <v>7</v>
      </c>
      <c r="Y265">
        <v>7.2</v>
      </c>
      <c r="Z265">
        <v>5.2</v>
      </c>
      <c r="AA265">
        <v>4.4000000000000004</v>
      </c>
      <c r="AB265">
        <v>1.9</v>
      </c>
      <c r="AC265">
        <v>5.9</v>
      </c>
      <c r="AD265" t="s">
        <v>53</v>
      </c>
      <c r="AE265" t="b">
        <f>IF(AND(data[[#This Row],[Age]]&gt;=18,data[[#This Row],[Age]]&lt;=24),"18-24",IF(AND(data[[#This Row],[Age]]&gt;=25,data[[#This Row],[Age]]&lt;=34),"25-34",IF(AND(data[[#This Row],[Age]]&gt;35,data[[#This Row],[Age]]&lt;=44),"35-44",IF(data[[#This Row],[Age]]&gt;44,"45+",IF(data[[#This Row],[Age]]&lt;18,"below 18 ")))))</f>
        <v>0</v>
      </c>
    </row>
    <row r="266" spans="1:31" x14ac:dyDescent="0.25">
      <c r="A266" t="s">
        <v>319</v>
      </c>
      <c r="B266">
        <v>41</v>
      </c>
      <c r="C266" t="s">
        <v>47</v>
      </c>
      <c r="D266" t="s">
        <v>39</v>
      </c>
      <c r="E266" t="s">
        <v>33</v>
      </c>
      <c r="F266" t="s">
        <v>34</v>
      </c>
      <c r="G266">
        <v>3.2</v>
      </c>
      <c r="H266">
        <v>6</v>
      </c>
      <c r="I266">
        <v>2</v>
      </c>
      <c r="J266" t="s">
        <v>42</v>
      </c>
      <c r="K266" t="s">
        <v>62</v>
      </c>
      <c r="L266">
        <v>92</v>
      </c>
      <c r="M266">
        <v>4.0999999999999996</v>
      </c>
      <c r="N266">
        <v>3.9</v>
      </c>
      <c r="O266">
        <v>9.3000000000000007</v>
      </c>
      <c r="P266">
        <v>6.8</v>
      </c>
      <c r="Q266" t="s">
        <v>35</v>
      </c>
      <c r="R266" t="s">
        <v>35</v>
      </c>
      <c r="S266">
        <v>8.3000000000000007</v>
      </c>
      <c r="T266">
        <v>2.8</v>
      </c>
      <c r="U266">
        <v>2.8</v>
      </c>
      <c r="V266">
        <v>7.4</v>
      </c>
      <c r="W266">
        <v>6.4</v>
      </c>
      <c r="X266">
        <v>8.6</v>
      </c>
      <c r="Y266">
        <v>7.7</v>
      </c>
      <c r="Z266">
        <v>8.4</v>
      </c>
      <c r="AB266">
        <v>2.2000000000000002</v>
      </c>
      <c r="AC266">
        <v>7</v>
      </c>
      <c r="AD266" t="s">
        <v>53</v>
      </c>
      <c r="AE266" t="str">
        <f>IF(AND(data[[#This Row],[Age]]&gt;=18,data[[#This Row],[Age]]&lt;=24),"18-24",IF(AND(data[[#This Row],[Age]]&gt;=25,data[[#This Row],[Age]]&lt;=34),"25-34",IF(AND(data[[#This Row],[Age]]&gt;35,data[[#This Row],[Age]]&lt;=44),"35-44",IF(data[[#This Row],[Age]]&gt;44,"45+",IF(data[[#This Row],[Age]]&lt;18,"below 18 ")))))</f>
        <v>35-44</v>
      </c>
    </row>
    <row r="267" spans="1:31" x14ac:dyDescent="0.25">
      <c r="A267" t="s">
        <v>320</v>
      </c>
      <c r="B267">
        <v>42</v>
      </c>
      <c r="C267" t="s">
        <v>47</v>
      </c>
      <c r="D267" t="s">
        <v>64</v>
      </c>
      <c r="E267" t="s">
        <v>58</v>
      </c>
      <c r="F267" t="s">
        <v>34</v>
      </c>
      <c r="G267">
        <v>3.9</v>
      </c>
      <c r="H267">
        <v>2</v>
      </c>
      <c r="I267">
        <v>5</v>
      </c>
      <c r="J267" t="s">
        <v>42</v>
      </c>
      <c r="K267" t="s">
        <v>52</v>
      </c>
      <c r="L267">
        <v>84</v>
      </c>
      <c r="M267">
        <v>4.4000000000000004</v>
      </c>
      <c r="N267">
        <v>7.8</v>
      </c>
      <c r="O267">
        <v>1.6</v>
      </c>
      <c r="P267">
        <v>2.5</v>
      </c>
      <c r="Q267" t="s">
        <v>42</v>
      </c>
      <c r="R267" t="s">
        <v>35</v>
      </c>
      <c r="S267">
        <v>5.0999999999999996</v>
      </c>
      <c r="T267">
        <v>2.2999999999999998</v>
      </c>
      <c r="U267">
        <v>5</v>
      </c>
      <c r="V267">
        <v>4.8</v>
      </c>
      <c r="W267">
        <v>6</v>
      </c>
      <c r="X267">
        <v>6</v>
      </c>
      <c r="Y267">
        <v>9.1999999999999993</v>
      </c>
      <c r="Z267">
        <v>3.5</v>
      </c>
      <c r="AA267">
        <v>1.8</v>
      </c>
      <c r="AB267">
        <v>4.8</v>
      </c>
      <c r="AC267">
        <v>7.5</v>
      </c>
      <c r="AD267" t="s">
        <v>37</v>
      </c>
      <c r="AE267" t="str">
        <f>IF(AND(data[[#This Row],[Age]]&gt;=18,data[[#This Row],[Age]]&lt;=24),"18-24",IF(AND(data[[#This Row],[Age]]&gt;=25,data[[#This Row],[Age]]&lt;=34),"25-34",IF(AND(data[[#This Row],[Age]]&gt;35,data[[#This Row],[Age]]&lt;=44),"35-44",IF(data[[#This Row],[Age]]&gt;44,"45+",IF(data[[#This Row],[Age]]&lt;18,"below 18 ")))))</f>
        <v>35-44</v>
      </c>
    </row>
    <row r="268" spans="1:31" x14ac:dyDescent="0.25">
      <c r="A268" t="s">
        <v>321</v>
      </c>
      <c r="B268">
        <v>43</v>
      </c>
      <c r="C268" t="s">
        <v>31</v>
      </c>
      <c r="D268" t="s">
        <v>32</v>
      </c>
      <c r="E268" t="s">
        <v>58</v>
      </c>
      <c r="F268" t="s">
        <v>51</v>
      </c>
      <c r="G268">
        <v>4.2</v>
      </c>
      <c r="H268">
        <v>1</v>
      </c>
      <c r="I268">
        <v>7</v>
      </c>
      <c r="J268" t="s">
        <v>42</v>
      </c>
      <c r="K268" t="s">
        <v>36</v>
      </c>
      <c r="L268">
        <v>5</v>
      </c>
      <c r="M268">
        <v>7.6</v>
      </c>
      <c r="N268">
        <v>4.2</v>
      </c>
      <c r="O268">
        <v>8.8000000000000007</v>
      </c>
      <c r="P268">
        <v>3.6</v>
      </c>
      <c r="Q268" t="s">
        <v>42</v>
      </c>
      <c r="R268" t="s">
        <v>42</v>
      </c>
      <c r="S268">
        <v>6</v>
      </c>
      <c r="T268">
        <v>3.3</v>
      </c>
      <c r="U268">
        <v>5.0999999999999996</v>
      </c>
      <c r="V268">
        <v>4.5</v>
      </c>
      <c r="W268">
        <v>8.1</v>
      </c>
      <c r="X268">
        <v>7.1</v>
      </c>
      <c r="Y268">
        <v>3.8</v>
      </c>
      <c r="Z268">
        <v>7.2</v>
      </c>
      <c r="AA268">
        <v>0.4</v>
      </c>
      <c r="AB268">
        <v>5.6</v>
      </c>
      <c r="AC268">
        <v>6.1</v>
      </c>
      <c r="AD268" t="s">
        <v>45</v>
      </c>
      <c r="AE268" t="str">
        <f>IF(AND(data[[#This Row],[Age]]&gt;=18,data[[#This Row],[Age]]&lt;=24),"18-24",IF(AND(data[[#This Row],[Age]]&gt;=25,data[[#This Row],[Age]]&lt;=34),"25-34",IF(AND(data[[#This Row],[Age]]&gt;35,data[[#This Row],[Age]]&lt;=44),"35-44",IF(data[[#This Row],[Age]]&gt;44,"45+",IF(data[[#This Row],[Age]]&lt;18,"below 18 ")))))</f>
        <v>35-44</v>
      </c>
    </row>
    <row r="269" spans="1:31" x14ac:dyDescent="0.25">
      <c r="A269" t="s">
        <v>322</v>
      </c>
      <c r="B269">
        <v>23</v>
      </c>
      <c r="C269" t="s">
        <v>47</v>
      </c>
      <c r="D269" t="s">
        <v>39</v>
      </c>
      <c r="E269" t="s">
        <v>33</v>
      </c>
      <c r="F269" t="s">
        <v>70</v>
      </c>
      <c r="G269">
        <v>5.9</v>
      </c>
      <c r="H269">
        <v>3</v>
      </c>
      <c r="I269">
        <v>8</v>
      </c>
      <c r="J269" t="s">
        <v>35</v>
      </c>
      <c r="K269" t="s">
        <v>52</v>
      </c>
      <c r="L269">
        <v>82</v>
      </c>
      <c r="M269">
        <v>4</v>
      </c>
      <c r="N269">
        <v>5.4</v>
      </c>
      <c r="O269">
        <v>2.5</v>
      </c>
      <c r="P269">
        <v>6.7</v>
      </c>
      <c r="R269" t="s">
        <v>42</v>
      </c>
      <c r="S269">
        <v>5.7</v>
      </c>
      <c r="T269">
        <v>5.6</v>
      </c>
      <c r="U269">
        <v>4</v>
      </c>
      <c r="V269">
        <v>3.4</v>
      </c>
      <c r="W269">
        <v>7.5</v>
      </c>
      <c r="X269">
        <v>4.7</v>
      </c>
      <c r="Y269">
        <v>9.6</v>
      </c>
      <c r="Z269">
        <v>7.8</v>
      </c>
      <c r="AA269">
        <v>3</v>
      </c>
      <c r="AB269">
        <v>3.5</v>
      </c>
      <c r="AC269">
        <v>6.7</v>
      </c>
      <c r="AD269" t="s">
        <v>53</v>
      </c>
      <c r="AE269" t="str">
        <f>IF(AND(data[[#This Row],[Age]]&gt;=18,data[[#This Row],[Age]]&lt;=24),"18-24",IF(AND(data[[#This Row],[Age]]&gt;=25,data[[#This Row],[Age]]&lt;=34),"25-34",IF(AND(data[[#This Row],[Age]]&gt;35,data[[#This Row],[Age]]&lt;=44),"35-44",IF(data[[#This Row],[Age]]&gt;44,"45+",IF(data[[#This Row],[Age]]&lt;18,"below 18 ")))))</f>
        <v>18-24</v>
      </c>
    </row>
    <row r="270" spans="1:31" x14ac:dyDescent="0.25">
      <c r="A270" t="s">
        <v>323</v>
      </c>
      <c r="B270">
        <v>38</v>
      </c>
      <c r="C270" t="s">
        <v>31</v>
      </c>
      <c r="D270" t="s">
        <v>39</v>
      </c>
      <c r="E270" t="s">
        <v>58</v>
      </c>
      <c r="F270" t="s">
        <v>70</v>
      </c>
      <c r="G270">
        <v>4.4000000000000004</v>
      </c>
      <c r="H270">
        <v>5</v>
      </c>
      <c r="I270">
        <v>6</v>
      </c>
      <c r="J270" t="s">
        <v>42</v>
      </c>
      <c r="K270" t="s">
        <v>52</v>
      </c>
      <c r="L270">
        <v>59</v>
      </c>
      <c r="M270">
        <v>5.4</v>
      </c>
      <c r="N270">
        <v>5.6</v>
      </c>
      <c r="O270">
        <v>3.1</v>
      </c>
      <c r="P270">
        <v>6.1</v>
      </c>
      <c r="Q270" t="s">
        <v>42</v>
      </c>
      <c r="R270" t="s">
        <v>35</v>
      </c>
      <c r="S270">
        <v>1.6</v>
      </c>
      <c r="T270">
        <v>4.9000000000000004</v>
      </c>
      <c r="U270">
        <v>5.6</v>
      </c>
      <c r="V270">
        <v>2.9</v>
      </c>
      <c r="W270">
        <v>4.7</v>
      </c>
      <c r="X270">
        <v>6</v>
      </c>
      <c r="Y270">
        <v>5.6</v>
      </c>
      <c r="Z270">
        <v>4.7</v>
      </c>
      <c r="AA270">
        <v>2.2000000000000002</v>
      </c>
      <c r="AB270">
        <v>2.4</v>
      </c>
      <c r="AC270">
        <v>6.9</v>
      </c>
      <c r="AD270" t="s">
        <v>53</v>
      </c>
      <c r="AE270" t="str">
        <f>IF(AND(data[[#This Row],[Age]]&gt;=18,data[[#This Row],[Age]]&lt;=24),"18-24",IF(AND(data[[#This Row],[Age]]&gt;=25,data[[#This Row],[Age]]&lt;=34),"25-34",IF(AND(data[[#This Row],[Age]]&gt;35,data[[#This Row],[Age]]&lt;=44),"35-44",IF(data[[#This Row],[Age]]&gt;44,"45+",IF(data[[#This Row],[Age]]&lt;18,"below 18 ")))))</f>
        <v>35-44</v>
      </c>
    </row>
    <row r="271" spans="1:31" x14ac:dyDescent="0.25">
      <c r="A271" t="s">
        <v>324</v>
      </c>
      <c r="B271">
        <v>16</v>
      </c>
      <c r="C271" t="s">
        <v>47</v>
      </c>
      <c r="D271" t="s">
        <v>32</v>
      </c>
      <c r="E271" t="s">
        <v>33</v>
      </c>
      <c r="F271" t="s">
        <v>41</v>
      </c>
      <c r="G271">
        <v>6.7</v>
      </c>
      <c r="H271">
        <v>1</v>
      </c>
      <c r="I271">
        <v>4</v>
      </c>
      <c r="J271" t="s">
        <v>42</v>
      </c>
      <c r="K271" t="s">
        <v>36</v>
      </c>
      <c r="L271">
        <v>76</v>
      </c>
      <c r="N271">
        <v>5.0999999999999996</v>
      </c>
      <c r="O271">
        <v>4.7</v>
      </c>
      <c r="P271">
        <v>8.1</v>
      </c>
      <c r="Q271" t="s">
        <v>42</v>
      </c>
      <c r="R271" t="s">
        <v>35</v>
      </c>
      <c r="S271">
        <v>5.5</v>
      </c>
      <c r="T271">
        <v>6</v>
      </c>
      <c r="U271">
        <v>3.8</v>
      </c>
      <c r="V271">
        <v>4.5999999999999996</v>
      </c>
      <c r="W271">
        <v>10</v>
      </c>
      <c r="X271">
        <v>5.0999999999999996</v>
      </c>
      <c r="Y271">
        <v>3</v>
      </c>
      <c r="Z271">
        <v>7.3</v>
      </c>
      <c r="AA271">
        <v>2</v>
      </c>
      <c r="AB271">
        <v>3.2</v>
      </c>
      <c r="AC271">
        <v>6.4</v>
      </c>
      <c r="AD271" t="s">
        <v>53</v>
      </c>
      <c r="AE271" t="str">
        <f>IF(AND(data[[#This Row],[Age]]&gt;=18,data[[#This Row],[Age]]&lt;=24),"18-24",IF(AND(data[[#This Row],[Age]]&gt;=25,data[[#This Row],[Age]]&lt;=34),"25-34",IF(AND(data[[#This Row],[Age]]&gt;35,data[[#This Row],[Age]]&lt;=44),"35-44",IF(data[[#This Row],[Age]]&gt;44,"45+",IF(data[[#This Row],[Age]]&lt;18,"below 18 ")))))</f>
        <v xml:space="preserve">below 18 </v>
      </c>
    </row>
    <row r="272" spans="1:31" x14ac:dyDescent="0.25">
      <c r="A272" t="s">
        <v>325</v>
      </c>
      <c r="B272">
        <v>19</v>
      </c>
      <c r="C272" t="s">
        <v>31</v>
      </c>
      <c r="D272" t="s">
        <v>39</v>
      </c>
      <c r="E272" t="s">
        <v>33</v>
      </c>
      <c r="F272" t="s">
        <v>48</v>
      </c>
      <c r="G272">
        <v>3.3</v>
      </c>
      <c r="H272">
        <v>5</v>
      </c>
      <c r="I272">
        <v>2</v>
      </c>
      <c r="J272" t="s">
        <v>42</v>
      </c>
      <c r="K272" t="s">
        <v>52</v>
      </c>
      <c r="L272">
        <v>29</v>
      </c>
      <c r="M272">
        <v>8.1999999999999993</v>
      </c>
      <c r="N272">
        <v>6.8</v>
      </c>
      <c r="O272">
        <v>4.7</v>
      </c>
      <c r="P272">
        <v>6.8</v>
      </c>
      <c r="Q272" t="s">
        <v>42</v>
      </c>
      <c r="R272" t="s">
        <v>35</v>
      </c>
      <c r="S272">
        <v>1.3</v>
      </c>
      <c r="T272">
        <v>5.8</v>
      </c>
      <c r="U272">
        <v>5.5</v>
      </c>
      <c r="V272">
        <v>9</v>
      </c>
      <c r="W272">
        <v>3.5</v>
      </c>
      <c r="X272">
        <v>6.2</v>
      </c>
      <c r="Y272">
        <v>3.8</v>
      </c>
      <c r="Z272">
        <v>6.7</v>
      </c>
      <c r="AA272">
        <v>2.2000000000000002</v>
      </c>
      <c r="AC272">
        <v>7.2</v>
      </c>
      <c r="AD272" t="s">
        <v>37</v>
      </c>
      <c r="AE272" t="str">
        <f>IF(AND(data[[#This Row],[Age]]&gt;=18,data[[#This Row],[Age]]&lt;=24),"18-24",IF(AND(data[[#This Row],[Age]]&gt;=25,data[[#This Row],[Age]]&lt;=34),"25-34",IF(AND(data[[#This Row],[Age]]&gt;35,data[[#This Row],[Age]]&lt;=44),"35-44",IF(data[[#This Row],[Age]]&gt;44,"45+",IF(data[[#This Row],[Age]]&lt;18,"below 18 ")))))</f>
        <v>18-24</v>
      </c>
    </row>
    <row r="273" spans="1:31" x14ac:dyDescent="0.25">
      <c r="A273" t="s">
        <v>326</v>
      </c>
      <c r="B273">
        <v>40</v>
      </c>
      <c r="C273" t="s">
        <v>50</v>
      </c>
      <c r="D273" t="s">
        <v>39</v>
      </c>
      <c r="E273" t="s">
        <v>40</v>
      </c>
      <c r="F273" t="s">
        <v>34</v>
      </c>
      <c r="G273">
        <v>4.5</v>
      </c>
      <c r="H273">
        <v>2</v>
      </c>
      <c r="I273">
        <v>7</v>
      </c>
      <c r="J273" t="s">
        <v>42</v>
      </c>
      <c r="K273" t="s">
        <v>52</v>
      </c>
      <c r="L273">
        <v>67</v>
      </c>
      <c r="M273">
        <v>2.7</v>
      </c>
      <c r="N273">
        <v>9</v>
      </c>
      <c r="O273">
        <v>5.8</v>
      </c>
      <c r="P273">
        <v>3.8</v>
      </c>
      <c r="Q273" t="s">
        <v>35</v>
      </c>
      <c r="R273" t="s">
        <v>35</v>
      </c>
      <c r="S273">
        <v>2.4</v>
      </c>
      <c r="T273">
        <v>10</v>
      </c>
      <c r="U273">
        <v>1.7</v>
      </c>
      <c r="V273">
        <v>2.4</v>
      </c>
      <c r="W273">
        <v>3.6</v>
      </c>
      <c r="X273">
        <v>8.5</v>
      </c>
      <c r="Y273">
        <v>6.6</v>
      </c>
      <c r="Z273">
        <v>5.6</v>
      </c>
      <c r="AA273">
        <v>4.9000000000000004</v>
      </c>
      <c r="AB273">
        <v>2.7</v>
      </c>
      <c r="AC273">
        <v>6.3</v>
      </c>
      <c r="AD273" t="s">
        <v>53</v>
      </c>
      <c r="AE273" t="str">
        <f>IF(AND(data[[#This Row],[Age]]&gt;=18,data[[#This Row],[Age]]&lt;=24),"18-24",IF(AND(data[[#This Row],[Age]]&gt;=25,data[[#This Row],[Age]]&lt;=34),"25-34",IF(AND(data[[#This Row],[Age]]&gt;35,data[[#This Row],[Age]]&lt;=44),"35-44",IF(data[[#This Row],[Age]]&gt;44,"45+",IF(data[[#This Row],[Age]]&lt;18,"below 18 ")))))</f>
        <v>35-44</v>
      </c>
    </row>
    <row r="274" spans="1:31" x14ac:dyDescent="0.25">
      <c r="A274" t="s">
        <v>327</v>
      </c>
      <c r="B274">
        <v>27</v>
      </c>
      <c r="C274" t="s">
        <v>47</v>
      </c>
      <c r="D274" t="s">
        <v>32</v>
      </c>
      <c r="E274" t="s">
        <v>40</v>
      </c>
      <c r="F274" t="s">
        <v>59</v>
      </c>
      <c r="G274">
        <v>7.2</v>
      </c>
      <c r="H274">
        <v>3</v>
      </c>
      <c r="I274">
        <v>7</v>
      </c>
      <c r="J274" t="s">
        <v>42</v>
      </c>
      <c r="K274" t="s">
        <v>52</v>
      </c>
      <c r="L274">
        <v>77</v>
      </c>
      <c r="M274">
        <v>4.8</v>
      </c>
      <c r="N274">
        <v>0.8</v>
      </c>
      <c r="O274">
        <v>7.7</v>
      </c>
      <c r="P274">
        <v>7.1</v>
      </c>
      <c r="Q274" t="s">
        <v>35</v>
      </c>
      <c r="R274" t="s">
        <v>42</v>
      </c>
      <c r="S274">
        <v>2.7</v>
      </c>
      <c r="T274">
        <v>7</v>
      </c>
      <c r="U274">
        <v>4.5999999999999996</v>
      </c>
      <c r="V274">
        <v>5.3</v>
      </c>
      <c r="W274">
        <v>7.2</v>
      </c>
      <c r="X274">
        <v>3.7</v>
      </c>
      <c r="Y274">
        <v>3.6</v>
      </c>
      <c r="Z274">
        <v>3.7</v>
      </c>
      <c r="AA274">
        <v>2.6</v>
      </c>
      <c r="AB274">
        <v>2.6</v>
      </c>
      <c r="AC274">
        <v>7.1</v>
      </c>
      <c r="AD274" t="s">
        <v>53</v>
      </c>
      <c r="AE274" t="str">
        <f>IF(AND(data[[#This Row],[Age]]&gt;=18,data[[#This Row],[Age]]&lt;=24),"18-24",IF(AND(data[[#This Row],[Age]]&gt;=25,data[[#This Row],[Age]]&lt;=34),"25-34",IF(AND(data[[#This Row],[Age]]&gt;35,data[[#This Row],[Age]]&lt;=44),"35-44",IF(data[[#This Row],[Age]]&gt;44,"45+",IF(data[[#This Row],[Age]]&lt;18,"below 18 ")))))</f>
        <v>25-34</v>
      </c>
    </row>
    <row r="275" spans="1:31" x14ac:dyDescent="0.25">
      <c r="A275" t="s">
        <v>328</v>
      </c>
      <c r="B275">
        <v>34</v>
      </c>
      <c r="C275" t="s">
        <v>47</v>
      </c>
      <c r="D275" t="s">
        <v>32</v>
      </c>
      <c r="E275" t="s">
        <v>40</v>
      </c>
      <c r="F275" t="s">
        <v>41</v>
      </c>
      <c r="G275">
        <v>1.5</v>
      </c>
      <c r="H275">
        <v>3</v>
      </c>
      <c r="I275">
        <v>1</v>
      </c>
      <c r="J275" t="s">
        <v>35</v>
      </c>
      <c r="K275" t="s">
        <v>36</v>
      </c>
      <c r="L275">
        <v>55</v>
      </c>
      <c r="M275">
        <v>5</v>
      </c>
      <c r="N275">
        <v>3.7</v>
      </c>
      <c r="O275">
        <v>7</v>
      </c>
      <c r="P275">
        <v>3.9</v>
      </c>
      <c r="Q275" t="s">
        <v>42</v>
      </c>
      <c r="R275" t="s">
        <v>35</v>
      </c>
      <c r="S275">
        <v>4.9000000000000004</v>
      </c>
      <c r="T275">
        <v>2.4</v>
      </c>
      <c r="U275">
        <v>5</v>
      </c>
      <c r="V275">
        <v>7.6</v>
      </c>
      <c r="W275">
        <v>1.2</v>
      </c>
      <c r="X275">
        <v>6.8</v>
      </c>
      <c r="Y275">
        <v>0</v>
      </c>
      <c r="Z275">
        <v>6.5</v>
      </c>
      <c r="AA275">
        <v>2</v>
      </c>
      <c r="AB275">
        <v>2.9</v>
      </c>
      <c r="AC275">
        <v>8</v>
      </c>
      <c r="AD275" t="s">
        <v>37</v>
      </c>
      <c r="AE275" t="str">
        <f>IF(AND(data[[#This Row],[Age]]&gt;=18,data[[#This Row],[Age]]&lt;=24),"18-24",IF(AND(data[[#This Row],[Age]]&gt;=25,data[[#This Row],[Age]]&lt;=34),"25-34",IF(AND(data[[#This Row],[Age]]&gt;35,data[[#This Row],[Age]]&lt;=44),"35-44",IF(data[[#This Row],[Age]]&gt;44,"45+",IF(data[[#This Row],[Age]]&lt;18,"below 18 ")))))</f>
        <v>25-34</v>
      </c>
    </row>
    <row r="276" spans="1:31" x14ac:dyDescent="0.25">
      <c r="A276" t="s">
        <v>329</v>
      </c>
      <c r="B276">
        <v>37</v>
      </c>
      <c r="D276" t="s">
        <v>57</v>
      </c>
      <c r="E276" t="s">
        <v>33</v>
      </c>
      <c r="F276" t="s">
        <v>48</v>
      </c>
      <c r="G276">
        <v>1.8</v>
      </c>
      <c r="H276">
        <v>3</v>
      </c>
      <c r="I276">
        <v>2</v>
      </c>
      <c r="J276" t="s">
        <v>42</v>
      </c>
      <c r="K276" t="s">
        <v>62</v>
      </c>
      <c r="L276">
        <v>101</v>
      </c>
      <c r="M276">
        <v>2.6</v>
      </c>
      <c r="N276">
        <v>0.7</v>
      </c>
      <c r="O276">
        <v>5</v>
      </c>
      <c r="P276">
        <v>6.2</v>
      </c>
      <c r="Q276" t="s">
        <v>35</v>
      </c>
      <c r="R276" t="s">
        <v>42</v>
      </c>
      <c r="S276">
        <v>7.1</v>
      </c>
      <c r="T276">
        <v>1.7</v>
      </c>
      <c r="U276">
        <v>3.7</v>
      </c>
      <c r="V276">
        <v>2.5</v>
      </c>
      <c r="W276">
        <v>5.9</v>
      </c>
      <c r="X276">
        <v>5.6</v>
      </c>
      <c r="Y276">
        <v>0</v>
      </c>
      <c r="Z276">
        <v>5</v>
      </c>
      <c r="AA276">
        <v>3.7</v>
      </c>
      <c r="AB276">
        <v>2.1</v>
      </c>
      <c r="AC276">
        <v>8.1999999999999993</v>
      </c>
      <c r="AD276" t="s">
        <v>37</v>
      </c>
      <c r="AE276" t="str">
        <f>IF(AND(data[[#This Row],[Age]]&gt;=18,data[[#This Row],[Age]]&lt;=24),"18-24",IF(AND(data[[#This Row],[Age]]&gt;=25,data[[#This Row],[Age]]&lt;=34),"25-34",IF(AND(data[[#This Row],[Age]]&gt;35,data[[#This Row],[Age]]&lt;=44),"35-44",IF(data[[#This Row],[Age]]&gt;44,"45+",IF(data[[#This Row],[Age]]&lt;18,"below 18 ")))))</f>
        <v>35-44</v>
      </c>
    </row>
    <row r="277" spans="1:31" x14ac:dyDescent="0.25">
      <c r="A277" t="s">
        <v>330</v>
      </c>
      <c r="B277">
        <v>25</v>
      </c>
      <c r="C277" t="s">
        <v>47</v>
      </c>
      <c r="D277" t="s">
        <v>32</v>
      </c>
      <c r="E277" t="s">
        <v>40</v>
      </c>
      <c r="F277" t="s">
        <v>70</v>
      </c>
      <c r="G277">
        <v>5.9</v>
      </c>
      <c r="H277">
        <v>2</v>
      </c>
      <c r="I277">
        <v>6</v>
      </c>
      <c r="J277" t="s">
        <v>35</v>
      </c>
      <c r="K277" t="s">
        <v>62</v>
      </c>
      <c r="L277">
        <v>14</v>
      </c>
      <c r="M277">
        <v>5.4</v>
      </c>
      <c r="N277">
        <v>6.2</v>
      </c>
      <c r="O277">
        <v>8.9</v>
      </c>
      <c r="P277">
        <v>6.5</v>
      </c>
      <c r="Q277" t="s">
        <v>42</v>
      </c>
      <c r="R277" t="s">
        <v>42</v>
      </c>
      <c r="S277">
        <v>4.3</v>
      </c>
      <c r="T277">
        <v>4</v>
      </c>
      <c r="U277">
        <v>1.8</v>
      </c>
      <c r="V277">
        <v>6.8</v>
      </c>
      <c r="W277">
        <v>7</v>
      </c>
      <c r="Y277">
        <v>4.4000000000000004</v>
      </c>
      <c r="Z277">
        <v>6.2</v>
      </c>
      <c r="AA277">
        <v>1.9</v>
      </c>
      <c r="AB277">
        <v>1</v>
      </c>
      <c r="AC277">
        <v>6.8</v>
      </c>
      <c r="AD277" t="s">
        <v>53</v>
      </c>
      <c r="AE277" t="str">
        <f>IF(AND(data[[#This Row],[Age]]&gt;=18,data[[#This Row],[Age]]&lt;=24),"18-24",IF(AND(data[[#This Row],[Age]]&gt;=25,data[[#This Row],[Age]]&lt;=34),"25-34",IF(AND(data[[#This Row],[Age]]&gt;35,data[[#This Row],[Age]]&lt;=44),"35-44",IF(data[[#This Row],[Age]]&gt;44,"45+",IF(data[[#This Row],[Age]]&lt;18,"below 18 ")))))</f>
        <v>25-34</v>
      </c>
    </row>
    <row r="278" spans="1:31" x14ac:dyDescent="0.25">
      <c r="A278" t="s">
        <v>331</v>
      </c>
      <c r="B278">
        <v>43</v>
      </c>
      <c r="C278" t="s">
        <v>47</v>
      </c>
      <c r="D278" t="s">
        <v>64</v>
      </c>
      <c r="E278" t="s">
        <v>33</v>
      </c>
      <c r="F278" t="s">
        <v>34</v>
      </c>
      <c r="G278">
        <v>6.1</v>
      </c>
      <c r="H278">
        <v>1</v>
      </c>
      <c r="I278">
        <v>5</v>
      </c>
      <c r="J278" t="s">
        <v>35</v>
      </c>
      <c r="K278" t="s">
        <v>36</v>
      </c>
      <c r="L278">
        <v>62</v>
      </c>
      <c r="M278">
        <v>2.2000000000000002</v>
      </c>
      <c r="N278">
        <v>9.3000000000000007</v>
      </c>
      <c r="O278">
        <v>4.4000000000000004</v>
      </c>
      <c r="P278">
        <v>1.4</v>
      </c>
      <c r="Q278" t="s">
        <v>35</v>
      </c>
      <c r="R278" t="s">
        <v>35</v>
      </c>
      <c r="S278">
        <v>7.6</v>
      </c>
      <c r="T278">
        <v>3.4</v>
      </c>
      <c r="U278">
        <v>5.2</v>
      </c>
      <c r="V278">
        <v>4.8</v>
      </c>
      <c r="W278">
        <v>6.2</v>
      </c>
      <c r="X278">
        <v>6</v>
      </c>
      <c r="Z278">
        <v>3.2</v>
      </c>
      <c r="AA278">
        <v>0.3</v>
      </c>
      <c r="AB278">
        <v>2.7</v>
      </c>
      <c r="AC278">
        <v>7.8</v>
      </c>
      <c r="AD278" t="s">
        <v>53</v>
      </c>
      <c r="AE278" t="str">
        <f>IF(AND(data[[#This Row],[Age]]&gt;=18,data[[#This Row],[Age]]&lt;=24),"18-24",IF(AND(data[[#This Row],[Age]]&gt;=25,data[[#This Row],[Age]]&lt;=34),"25-34",IF(AND(data[[#This Row],[Age]]&gt;35,data[[#This Row],[Age]]&lt;=44),"35-44",IF(data[[#This Row],[Age]]&gt;44,"45+",IF(data[[#This Row],[Age]]&lt;18,"below 18 ")))))</f>
        <v>35-44</v>
      </c>
    </row>
    <row r="279" spans="1:31" x14ac:dyDescent="0.25">
      <c r="A279" t="s">
        <v>332</v>
      </c>
      <c r="B279">
        <v>22</v>
      </c>
      <c r="C279" t="s">
        <v>47</v>
      </c>
      <c r="D279" t="s">
        <v>39</v>
      </c>
      <c r="E279" t="s">
        <v>33</v>
      </c>
      <c r="F279" t="s">
        <v>41</v>
      </c>
      <c r="G279">
        <v>6.5</v>
      </c>
      <c r="H279">
        <v>2</v>
      </c>
      <c r="I279">
        <v>4</v>
      </c>
      <c r="J279" t="s">
        <v>35</v>
      </c>
      <c r="K279" t="s">
        <v>36</v>
      </c>
      <c r="L279">
        <v>71</v>
      </c>
      <c r="M279">
        <v>4.4000000000000004</v>
      </c>
      <c r="N279">
        <v>7.5</v>
      </c>
      <c r="O279">
        <v>5.6</v>
      </c>
      <c r="P279">
        <v>2.5</v>
      </c>
      <c r="Q279" t="s">
        <v>42</v>
      </c>
      <c r="R279" t="s">
        <v>42</v>
      </c>
      <c r="S279">
        <v>8.6</v>
      </c>
      <c r="T279">
        <v>6.2</v>
      </c>
      <c r="U279">
        <v>4.3</v>
      </c>
      <c r="V279">
        <v>5.8</v>
      </c>
      <c r="W279">
        <v>8.1</v>
      </c>
      <c r="X279">
        <v>5.5</v>
      </c>
      <c r="Y279">
        <v>2.9</v>
      </c>
      <c r="Z279">
        <v>8.5</v>
      </c>
      <c r="AA279">
        <v>0</v>
      </c>
      <c r="AB279">
        <v>3.1</v>
      </c>
      <c r="AC279">
        <v>5.9</v>
      </c>
      <c r="AD279" t="s">
        <v>45</v>
      </c>
      <c r="AE279" t="str">
        <f>IF(AND(data[[#This Row],[Age]]&gt;=18,data[[#This Row],[Age]]&lt;=24),"18-24",IF(AND(data[[#This Row],[Age]]&gt;=25,data[[#This Row],[Age]]&lt;=34),"25-34",IF(AND(data[[#This Row],[Age]]&gt;35,data[[#This Row],[Age]]&lt;=44),"35-44",IF(data[[#This Row],[Age]]&gt;44,"45+",IF(data[[#This Row],[Age]]&lt;18,"below 18 ")))))</f>
        <v>18-24</v>
      </c>
    </row>
    <row r="280" spans="1:31" x14ac:dyDescent="0.25">
      <c r="A280" t="s">
        <v>333</v>
      </c>
      <c r="B280">
        <v>32</v>
      </c>
      <c r="C280" t="s">
        <v>47</v>
      </c>
      <c r="D280" t="s">
        <v>32</v>
      </c>
      <c r="E280" t="s">
        <v>58</v>
      </c>
      <c r="F280" t="s">
        <v>34</v>
      </c>
      <c r="G280">
        <v>6.3</v>
      </c>
      <c r="H280">
        <v>5</v>
      </c>
      <c r="I280">
        <v>6</v>
      </c>
      <c r="J280" t="s">
        <v>42</v>
      </c>
      <c r="K280" t="s">
        <v>36</v>
      </c>
      <c r="L280">
        <v>120</v>
      </c>
      <c r="M280">
        <v>4.9000000000000004</v>
      </c>
      <c r="N280">
        <v>6.2</v>
      </c>
      <c r="O280">
        <v>7.6</v>
      </c>
      <c r="P280">
        <v>7.3</v>
      </c>
      <c r="Q280" t="s">
        <v>42</v>
      </c>
      <c r="R280" t="s">
        <v>35</v>
      </c>
      <c r="S280">
        <v>6.6</v>
      </c>
      <c r="T280">
        <v>5</v>
      </c>
      <c r="U280">
        <v>4.3</v>
      </c>
      <c r="V280">
        <v>4.7</v>
      </c>
      <c r="W280">
        <v>7.8</v>
      </c>
      <c r="X280">
        <v>6.8</v>
      </c>
      <c r="Y280">
        <v>3.7</v>
      </c>
      <c r="Z280">
        <v>3.2</v>
      </c>
      <c r="AA280">
        <v>3</v>
      </c>
      <c r="AB280">
        <v>2.2000000000000002</v>
      </c>
      <c r="AC280">
        <v>4.5999999999999996</v>
      </c>
      <c r="AD280" t="s">
        <v>43</v>
      </c>
      <c r="AE280" t="str">
        <f>IF(AND(data[[#This Row],[Age]]&gt;=18,data[[#This Row],[Age]]&lt;=24),"18-24",IF(AND(data[[#This Row],[Age]]&gt;=25,data[[#This Row],[Age]]&lt;=34),"25-34",IF(AND(data[[#This Row],[Age]]&gt;35,data[[#This Row],[Age]]&lt;=44),"35-44",IF(data[[#This Row],[Age]]&gt;44,"45+",IF(data[[#This Row],[Age]]&lt;18,"below 18 ")))))</f>
        <v>25-34</v>
      </c>
    </row>
    <row r="281" spans="1:31" x14ac:dyDescent="0.25">
      <c r="A281" t="s">
        <v>334</v>
      </c>
      <c r="B281">
        <v>30</v>
      </c>
      <c r="C281" t="s">
        <v>31</v>
      </c>
      <c r="D281" t="s">
        <v>39</v>
      </c>
      <c r="E281" t="s">
        <v>40</v>
      </c>
      <c r="F281" t="s">
        <v>48</v>
      </c>
      <c r="G281">
        <v>6.7</v>
      </c>
      <c r="H281">
        <v>5</v>
      </c>
      <c r="I281">
        <v>5</v>
      </c>
      <c r="J281" t="s">
        <v>42</v>
      </c>
      <c r="K281" t="s">
        <v>62</v>
      </c>
      <c r="L281">
        <v>9</v>
      </c>
      <c r="M281">
        <v>3.9</v>
      </c>
      <c r="N281">
        <v>2.1</v>
      </c>
      <c r="O281">
        <v>8.5</v>
      </c>
      <c r="P281">
        <v>4.9000000000000004</v>
      </c>
      <c r="Q281" t="s">
        <v>42</v>
      </c>
      <c r="R281" t="s">
        <v>35</v>
      </c>
      <c r="S281">
        <v>6.7</v>
      </c>
      <c r="T281">
        <v>5.5</v>
      </c>
      <c r="U281">
        <v>3.3</v>
      </c>
      <c r="V281">
        <v>7</v>
      </c>
      <c r="W281">
        <v>5.4</v>
      </c>
      <c r="X281">
        <v>7.5</v>
      </c>
      <c r="Y281">
        <v>4.3</v>
      </c>
      <c r="Z281">
        <v>6.4</v>
      </c>
      <c r="AA281">
        <v>4.5999999999999996</v>
      </c>
      <c r="AB281">
        <v>0.9</v>
      </c>
      <c r="AC281">
        <v>8.6</v>
      </c>
      <c r="AD281" t="s">
        <v>37</v>
      </c>
      <c r="AE281" t="str">
        <f>IF(AND(data[[#This Row],[Age]]&gt;=18,data[[#This Row],[Age]]&lt;=24),"18-24",IF(AND(data[[#This Row],[Age]]&gt;=25,data[[#This Row],[Age]]&lt;=34),"25-34",IF(AND(data[[#This Row],[Age]]&gt;35,data[[#This Row],[Age]]&lt;=44),"35-44",IF(data[[#This Row],[Age]]&gt;44,"45+",IF(data[[#This Row],[Age]]&lt;18,"below 18 ")))))</f>
        <v>25-34</v>
      </c>
    </row>
    <row r="282" spans="1:31" x14ac:dyDescent="0.25">
      <c r="A282" t="s">
        <v>335</v>
      </c>
      <c r="B282">
        <v>15</v>
      </c>
      <c r="C282" t="s">
        <v>31</v>
      </c>
      <c r="D282" t="s">
        <v>39</v>
      </c>
      <c r="E282" t="s">
        <v>33</v>
      </c>
      <c r="F282" t="s">
        <v>48</v>
      </c>
      <c r="G282">
        <v>3.4</v>
      </c>
      <c r="H282">
        <v>4</v>
      </c>
      <c r="I282">
        <v>3</v>
      </c>
      <c r="J282" t="s">
        <v>42</v>
      </c>
      <c r="K282" t="s">
        <v>36</v>
      </c>
      <c r="L282">
        <v>58</v>
      </c>
      <c r="M282">
        <v>4.0999999999999996</v>
      </c>
      <c r="N282">
        <v>5.4</v>
      </c>
      <c r="O282">
        <v>7.6</v>
      </c>
      <c r="P282">
        <v>8.5</v>
      </c>
      <c r="Q282" t="s">
        <v>35</v>
      </c>
      <c r="R282" t="s">
        <v>35</v>
      </c>
      <c r="S282">
        <v>2.7</v>
      </c>
      <c r="T282">
        <v>3.8</v>
      </c>
      <c r="U282">
        <v>5.0999999999999996</v>
      </c>
      <c r="V282">
        <v>5.7</v>
      </c>
      <c r="W282">
        <v>6.2</v>
      </c>
      <c r="X282">
        <v>7.9</v>
      </c>
      <c r="Y282">
        <v>5.6</v>
      </c>
      <c r="Z282">
        <v>5.8</v>
      </c>
      <c r="AA282">
        <v>0</v>
      </c>
      <c r="AB282">
        <v>2.5</v>
      </c>
      <c r="AC282">
        <v>6.1</v>
      </c>
      <c r="AD282" t="s">
        <v>53</v>
      </c>
      <c r="AE282" t="str">
        <f>IF(AND(data[[#This Row],[Age]]&gt;=18,data[[#This Row],[Age]]&lt;=24),"18-24",IF(AND(data[[#This Row],[Age]]&gt;=25,data[[#This Row],[Age]]&lt;=34),"25-34",IF(AND(data[[#This Row],[Age]]&gt;35,data[[#This Row],[Age]]&lt;=44),"35-44",IF(data[[#This Row],[Age]]&gt;44,"45+",IF(data[[#This Row],[Age]]&lt;18,"below 18 ")))))</f>
        <v xml:space="preserve">below 18 </v>
      </c>
    </row>
    <row r="283" spans="1:31" x14ac:dyDescent="0.25">
      <c r="A283" t="s">
        <v>336</v>
      </c>
      <c r="B283">
        <v>33</v>
      </c>
      <c r="C283" t="s">
        <v>47</v>
      </c>
      <c r="D283" t="s">
        <v>39</v>
      </c>
      <c r="E283" t="s">
        <v>40</v>
      </c>
      <c r="F283" t="s">
        <v>34</v>
      </c>
      <c r="G283">
        <v>4.5</v>
      </c>
      <c r="H283">
        <v>4</v>
      </c>
      <c r="I283">
        <v>4</v>
      </c>
      <c r="J283" t="s">
        <v>42</v>
      </c>
      <c r="K283" t="s">
        <v>62</v>
      </c>
      <c r="L283">
        <v>48</v>
      </c>
      <c r="M283">
        <v>2.5</v>
      </c>
      <c r="N283">
        <v>3.9</v>
      </c>
      <c r="O283">
        <v>7.1</v>
      </c>
      <c r="P283">
        <v>7.7</v>
      </c>
      <c r="Q283" t="s">
        <v>42</v>
      </c>
      <c r="R283" t="s">
        <v>35</v>
      </c>
      <c r="S283">
        <v>2.6</v>
      </c>
      <c r="T283">
        <v>7.3</v>
      </c>
      <c r="U283">
        <v>3.3</v>
      </c>
      <c r="V283">
        <v>3.4</v>
      </c>
      <c r="X283">
        <v>7.6</v>
      </c>
      <c r="Y283">
        <v>4.7</v>
      </c>
      <c r="Z283">
        <v>7.1</v>
      </c>
      <c r="AA283">
        <v>4.3</v>
      </c>
      <c r="AB283">
        <v>2.4</v>
      </c>
      <c r="AC283">
        <v>7.9</v>
      </c>
      <c r="AD283" t="s">
        <v>37</v>
      </c>
      <c r="AE283" t="str">
        <f>IF(AND(data[[#This Row],[Age]]&gt;=18,data[[#This Row],[Age]]&lt;=24),"18-24",IF(AND(data[[#This Row],[Age]]&gt;=25,data[[#This Row],[Age]]&lt;=34),"25-34",IF(AND(data[[#This Row],[Age]]&gt;35,data[[#This Row],[Age]]&lt;=44),"35-44",IF(data[[#This Row],[Age]]&gt;44,"45+",IF(data[[#This Row],[Age]]&lt;18,"below 18 ")))))</f>
        <v>25-34</v>
      </c>
    </row>
    <row r="284" spans="1:31" x14ac:dyDescent="0.25">
      <c r="A284" t="s">
        <v>337</v>
      </c>
      <c r="B284">
        <v>22</v>
      </c>
      <c r="C284" t="s">
        <v>31</v>
      </c>
      <c r="D284" t="s">
        <v>32</v>
      </c>
      <c r="E284" t="s">
        <v>58</v>
      </c>
      <c r="F284" t="s">
        <v>41</v>
      </c>
      <c r="G284">
        <v>5.7</v>
      </c>
      <c r="H284">
        <v>2</v>
      </c>
      <c r="I284">
        <v>0</v>
      </c>
      <c r="J284" t="s">
        <v>35</v>
      </c>
      <c r="K284" t="s">
        <v>36</v>
      </c>
      <c r="L284">
        <v>37</v>
      </c>
      <c r="M284">
        <v>5.9</v>
      </c>
      <c r="N284">
        <v>5.3</v>
      </c>
      <c r="P284">
        <v>8.3000000000000007</v>
      </c>
      <c r="Q284" t="s">
        <v>35</v>
      </c>
      <c r="R284" t="s">
        <v>35</v>
      </c>
      <c r="S284">
        <v>3</v>
      </c>
      <c r="T284">
        <v>7.9</v>
      </c>
      <c r="U284">
        <v>3</v>
      </c>
      <c r="V284">
        <v>7</v>
      </c>
      <c r="W284">
        <v>5.4</v>
      </c>
      <c r="X284">
        <v>6.6</v>
      </c>
      <c r="Y284">
        <v>3.3</v>
      </c>
      <c r="Z284">
        <v>3.7</v>
      </c>
      <c r="AA284">
        <v>2.1</v>
      </c>
      <c r="AB284">
        <v>3.1</v>
      </c>
      <c r="AC284">
        <v>6</v>
      </c>
      <c r="AD284" t="s">
        <v>45</v>
      </c>
      <c r="AE284" t="str">
        <f>IF(AND(data[[#This Row],[Age]]&gt;=18,data[[#This Row],[Age]]&lt;=24),"18-24",IF(AND(data[[#This Row],[Age]]&gt;=25,data[[#This Row],[Age]]&lt;=34),"25-34",IF(AND(data[[#This Row],[Age]]&gt;35,data[[#This Row],[Age]]&lt;=44),"35-44",IF(data[[#This Row],[Age]]&gt;44,"45+",IF(data[[#This Row],[Age]]&lt;18,"below 18 ")))))</f>
        <v>18-24</v>
      </c>
    </row>
    <row r="285" spans="1:31" x14ac:dyDescent="0.25">
      <c r="A285" t="s">
        <v>338</v>
      </c>
      <c r="B285">
        <v>27</v>
      </c>
      <c r="C285" t="s">
        <v>50</v>
      </c>
      <c r="D285" t="s">
        <v>32</v>
      </c>
      <c r="E285" t="s">
        <v>58</v>
      </c>
      <c r="F285" t="s">
        <v>41</v>
      </c>
      <c r="G285">
        <v>1.9</v>
      </c>
      <c r="H285">
        <v>2</v>
      </c>
      <c r="I285">
        <v>4</v>
      </c>
      <c r="J285" t="s">
        <v>42</v>
      </c>
      <c r="K285" t="s">
        <v>36</v>
      </c>
      <c r="L285">
        <v>60</v>
      </c>
      <c r="M285">
        <v>3.3</v>
      </c>
      <c r="N285">
        <v>5.5</v>
      </c>
      <c r="O285">
        <v>4.4000000000000004</v>
      </c>
      <c r="P285">
        <v>7.8</v>
      </c>
      <c r="Q285" t="s">
        <v>42</v>
      </c>
      <c r="R285" t="s">
        <v>42</v>
      </c>
      <c r="S285">
        <v>6</v>
      </c>
      <c r="T285">
        <v>2.2000000000000002</v>
      </c>
      <c r="U285">
        <v>6.4</v>
      </c>
      <c r="V285">
        <v>5.5</v>
      </c>
      <c r="W285">
        <v>9.6999999999999993</v>
      </c>
      <c r="X285">
        <v>6.2</v>
      </c>
      <c r="Y285">
        <v>5</v>
      </c>
      <c r="Z285">
        <v>4.2</v>
      </c>
      <c r="AA285">
        <v>3.1</v>
      </c>
      <c r="AB285">
        <v>1.5</v>
      </c>
      <c r="AC285">
        <v>5</v>
      </c>
      <c r="AD285" t="s">
        <v>45</v>
      </c>
      <c r="AE285" t="str">
        <f>IF(AND(data[[#This Row],[Age]]&gt;=18,data[[#This Row],[Age]]&lt;=24),"18-24",IF(AND(data[[#This Row],[Age]]&gt;=25,data[[#This Row],[Age]]&lt;=34),"25-34",IF(AND(data[[#This Row],[Age]]&gt;35,data[[#This Row],[Age]]&lt;=44),"35-44",IF(data[[#This Row],[Age]]&gt;44,"45+",IF(data[[#This Row],[Age]]&lt;18,"below 18 ")))))</f>
        <v>25-34</v>
      </c>
    </row>
    <row r="286" spans="1:31" x14ac:dyDescent="0.25">
      <c r="A286" t="s">
        <v>339</v>
      </c>
      <c r="B286">
        <v>31</v>
      </c>
      <c r="C286" t="s">
        <v>47</v>
      </c>
      <c r="D286" t="s">
        <v>39</v>
      </c>
      <c r="E286" t="s">
        <v>58</v>
      </c>
      <c r="F286" t="s">
        <v>34</v>
      </c>
      <c r="G286">
        <v>1.8</v>
      </c>
      <c r="H286">
        <v>1</v>
      </c>
      <c r="I286">
        <v>0</v>
      </c>
      <c r="J286" t="s">
        <v>42</v>
      </c>
      <c r="K286" t="s">
        <v>52</v>
      </c>
      <c r="L286">
        <v>32</v>
      </c>
      <c r="M286">
        <v>2.7</v>
      </c>
      <c r="N286">
        <v>8.5</v>
      </c>
      <c r="O286">
        <v>6.4</v>
      </c>
      <c r="P286">
        <v>8.8000000000000007</v>
      </c>
      <c r="Q286" t="s">
        <v>42</v>
      </c>
      <c r="R286" t="s">
        <v>42</v>
      </c>
      <c r="S286">
        <v>4.8</v>
      </c>
      <c r="T286">
        <v>6.1</v>
      </c>
      <c r="U286">
        <v>4.8</v>
      </c>
      <c r="V286">
        <v>4.4000000000000004</v>
      </c>
      <c r="W286">
        <v>1.7</v>
      </c>
      <c r="X286">
        <v>6.6</v>
      </c>
      <c r="Y286">
        <v>7.5</v>
      </c>
      <c r="Z286">
        <v>6</v>
      </c>
      <c r="AA286">
        <v>2.9</v>
      </c>
      <c r="AB286">
        <v>4.2</v>
      </c>
      <c r="AC286">
        <v>4.2</v>
      </c>
      <c r="AD286" t="s">
        <v>43</v>
      </c>
      <c r="AE286" t="str">
        <f>IF(AND(data[[#This Row],[Age]]&gt;=18,data[[#This Row],[Age]]&lt;=24),"18-24",IF(AND(data[[#This Row],[Age]]&gt;=25,data[[#This Row],[Age]]&lt;=34),"25-34",IF(AND(data[[#This Row],[Age]]&gt;35,data[[#This Row],[Age]]&lt;=44),"35-44",IF(data[[#This Row],[Age]]&gt;44,"45+",IF(data[[#This Row],[Age]]&lt;18,"below 18 ")))))</f>
        <v>25-34</v>
      </c>
    </row>
    <row r="287" spans="1:31" x14ac:dyDescent="0.25">
      <c r="A287" t="s">
        <v>340</v>
      </c>
      <c r="B287">
        <v>15</v>
      </c>
      <c r="C287" t="s">
        <v>31</v>
      </c>
      <c r="D287" t="s">
        <v>39</v>
      </c>
      <c r="E287" t="s">
        <v>33</v>
      </c>
      <c r="F287" t="s">
        <v>41</v>
      </c>
      <c r="G287">
        <v>3.2</v>
      </c>
      <c r="H287">
        <v>6</v>
      </c>
      <c r="I287">
        <v>4</v>
      </c>
      <c r="J287" t="s">
        <v>42</v>
      </c>
      <c r="K287" t="s">
        <v>62</v>
      </c>
      <c r="L287">
        <v>84</v>
      </c>
      <c r="M287">
        <v>7.1</v>
      </c>
      <c r="N287">
        <v>4.5999999999999996</v>
      </c>
      <c r="O287">
        <v>4</v>
      </c>
      <c r="P287">
        <v>5.2</v>
      </c>
      <c r="Q287" t="s">
        <v>35</v>
      </c>
      <c r="R287" t="s">
        <v>35</v>
      </c>
      <c r="S287">
        <v>7.6</v>
      </c>
      <c r="T287">
        <v>6</v>
      </c>
      <c r="U287">
        <v>3.1</v>
      </c>
      <c r="V287">
        <v>10</v>
      </c>
      <c r="W287">
        <v>4.4000000000000004</v>
      </c>
      <c r="X287">
        <v>7.8</v>
      </c>
      <c r="Y287">
        <v>9.6</v>
      </c>
      <c r="Z287">
        <v>3.2</v>
      </c>
      <c r="AA287">
        <v>5</v>
      </c>
      <c r="AB287">
        <v>1.9</v>
      </c>
      <c r="AC287">
        <v>6.9</v>
      </c>
      <c r="AD287" t="s">
        <v>53</v>
      </c>
      <c r="AE287" t="str">
        <f>IF(AND(data[[#This Row],[Age]]&gt;=18,data[[#This Row],[Age]]&lt;=24),"18-24",IF(AND(data[[#This Row],[Age]]&gt;=25,data[[#This Row],[Age]]&lt;=34),"25-34",IF(AND(data[[#This Row],[Age]]&gt;35,data[[#This Row],[Age]]&lt;=44),"35-44",IF(data[[#This Row],[Age]]&gt;44,"45+",IF(data[[#This Row],[Age]]&lt;18,"below 18 ")))))</f>
        <v xml:space="preserve">below 18 </v>
      </c>
    </row>
    <row r="288" spans="1:31" x14ac:dyDescent="0.25">
      <c r="A288" t="s">
        <v>341</v>
      </c>
      <c r="B288">
        <v>27</v>
      </c>
      <c r="C288" t="s">
        <v>50</v>
      </c>
      <c r="D288" t="s">
        <v>57</v>
      </c>
      <c r="E288" t="s">
        <v>40</v>
      </c>
      <c r="F288" t="s">
        <v>51</v>
      </c>
      <c r="G288">
        <v>6.6</v>
      </c>
      <c r="H288">
        <v>2</v>
      </c>
      <c r="I288">
        <v>2</v>
      </c>
      <c r="J288" t="s">
        <v>42</v>
      </c>
      <c r="K288" t="s">
        <v>36</v>
      </c>
      <c r="L288">
        <v>95</v>
      </c>
      <c r="M288">
        <v>3.6</v>
      </c>
      <c r="N288">
        <v>4.8</v>
      </c>
      <c r="O288">
        <v>5.3</v>
      </c>
      <c r="P288">
        <v>7.2</v>
      </c>
      <c r="Q288" t="s">
        <v>35</v>
      </c>
      <c r="R288" t="s">
        <v>42</v>
      </c>
      <c r="S288">
        <v>6.3</v>
      </c>
      <c r="T288">
        <v>0</v>
      </c>
      <c r="U288">
        <v>5.7</v>
      </c>
      <c r="W288">
        <v>1</v>
      </c>
      <c r="X288">
        <v>7.4</v>
      </c>
      <c r="Y288">
        <v>4.2</v>
      </c>
      <c r="Z288">
        <v>7.7</v>
      </c>
      <c r="AA288">
        <v>1.9</v>
      </c>
      <c r="AB288">
        <v>1.1000000000000001</v>
      </c>
      <c r="AC288">
        <v>4.5999999999999996</v>
      </c>
      <c r="AD288" t="s">
        <v>43</v>
      </c>
      <c r="AE288" t="str">
        <f>IF(AND(data[[#This Row],[Age]]&gt;=18,data[[#This Row],[Age]]&lt;=24),"18-24",IF(AND(data[[#This Row],[Age]]&gt;=25,data[[#This Row],[Age]]&lt;=34),"25-34",IF(AND(data[[#This Row],[Age]]&gt;35,data[[#This Row],[Age]]&lt;=44),"35-44",IF(data[[#This Row],[Age]]&gt;44,"45+",IF(data[[#This Row],[Age]]&lt;18,"below 18 ")))))</f>
        <v>25-34</v>
      </c>
    </row>
    <row r="289" spans="1:31" x14ac:dyDescent="0.25">
      <c r="A289" t="s">
        <v>342</v>
      </c>
      <c r="B289">
        <v>24</v>
      </c>
      <c r="C289" t="s">
        <v>31</v>
      </c>
      <c r="D289" t="s">
        <v>32</v>
      </c>
      <c r="E289" t="s">
        <v>33</v>
      </c>
      <c r="F289" t="s">
        <v>70</v>
      </c>
      <c r="G289">
        <v>6.1</v>
      </c>
      <c r="H289">
        <v>2</v>
      </c>
      <c r="I289">
        <v>5</v>
      </c>
      <c r="J289" t="s">
        <v>42</v>
      </c>
      <c r="K289" t="s">
        <v>52</v>
      </c>
      <c r="L289">
        <v>116</v>
      </c>
      <c r="M289">
        <v>7.1</v>
      </c>
      <c r="N289">
        <v>1.9</v>
      </c>
      <c r="O289">
        <v>5.7</v>
      </c>
      <c r="P289">
        <v>4</v>
      </c>
      <c r="Q289" t="s">
        <v>35</v>
      </c>
      <c r="R289" t="s">
        <v>42</v>
      </c>
      <c r="S289">
        <v>3</v>
      </c>
      <c r="T289">
        <v>6</v>
      </c>
      <c r="U289">
        <v>0</v>
      </c>
      <c r="V289">
        <v>8.4</v>
      </c>
      <c r="X289">
        <v>5.7</v>
      </c>
      <c r="Y289">
        <v>4.4000000000000004</v>
      </c>
      <c r="Z289">
        <v>1.5</v>
      </c>
      <c r="AA289">
        <v>2.1</v>
      </c>
      <c r="AB289">
        <v>3.2</v>
      </c>
      <c r="AC289">
        <v>6.6</v>
      </c>
      <c r="AD289" t="s">
        <v>53</v>
      </c>
      <c r="AE289" t="str">
        <f>IF(AND(data[[#This Row],[Age]]&gt;=18,data[[#This Row],[Age]]&lt;=24),"18-24",IF(AND(data[[#This Row],[Age]]&gt;=25,data[[#This Row],[Age]]&lt;=34),"25-34",IF(AND(data[[#This Row],[Age]]&gt;35,data[[#This Row],[Age]]&lt;=44),"35-44",IF(data[[#This Row],[Age]]&gt;44,"45+",IF(data[[#This Row],[Age]]&lt;18,"below 18 ")))))</f>
        <v>18-24</v>
      </c>
    </row>
    <row r="290" spans="1:31" x14ac:dyDescent="0.25">
      <c r="A290" t="s">
        <v>343</v>
      </c>
      <c r="B290">
        <v>29</v>
      </c>
      <c r="C290" t="s">
        <v>47</v>
      </c>
      <c r="D290" t="s">
        <v>64</v>
      </c>
      <c r="E290" t="s">
        <v>33</v>
      </c>
      <c r="F290" t="s">
        <v>34</v>
      </c>
      <c r="G290">
        <v>1.7</v>
      </c>
      <c r="H290">
        <v>4</v>
      </c>
      <c r="I290">
        <v>1</v>
      </c>
      <c r="K290" t="s">
        <v>52</v>
      </c>
      <c r="L290">
        <v>54</v>
      </c>
      <c r="M290">
        <v>7.1</v>
      </c>
      <c r="N290">
        <v>8.6999999999999993</v>
      </c>
      <c r="O290">
        <v>3.4</v>
      </c>
      <c r="P290">
        <v>2.2000000000000002</v>
      </c>
      <c r="Q290" t="s">
        <v>35</v>
      </c>
      <c r="R290" t="s">
        <v>42</v>
      </c>
      <c r="S290">
        <v>4.7</v>
      </c>
      <c r="T290">
        <v>2</v>
      </c>
      <c r="U290">
        <v>4.7</v>
      </c>
      <c r="V290">
        <v>5.6</v>
      </c>
      <c r="W290">
        <v>7.1</v>
      </c>
      <c r="X290">
        <v>7.2</v>
      </c>
      <c r="Z290">
        <v>7.2</v>
      </c>
      <c r="AA290">
        <v>1.5</v>
      </c>
      <c r="AC290">
        <v>6.5</v>
      </c>
      <c r="AD290" t="s">
        <v>53</v>
      </c>
      <c r="AE290" t="str">
        <f>IF(AND(data[[#This Row],[Age]]&gt;=18,data[[#This Row],[Age]]&lt;=24),"18-24",IF(AND(data[[#This Row],[Age]]&gt;=25,data[[#This Row],[Age]]&lt;=34),"25-34",IF(AND(data[[#This Row],[Age]]&gt;35,data[[#This Row],[Age]]&lt;=44),"35-44",IF(data[[#This Row],[Age]]&gt;44,"45+",IF(data[[#This Row],[Age]]&lt;18,"below 18 ")))))</f>
        <v>25-34</v>
      </c>
    </row>
    <row r="291" spans="1:31" x14ac:dyDescent="0.25">
      <c r="A291" t="s">
        <v>344</v>
      </c>
      <c r="B291">
        <v>39</v>
      </c>
      <c r="C291" t="s">
        <v>47</v>
      </c>
      <c r="D291" t="s">
        <v>57</v>
      </c>
      <c r="E291" t="s">
        <v>40</v>
      </c>
      <c r="F291" t="s">
        <v>51</v>
      </c>
      <c r="G291">
        <v>3.3</v>
      </c>
      <c r="H291">
        <v>3</v>
      </c>
      <c r="I291">
        <v>2</v>
      </c>
      <c r="J291" t="s">
        <v>42</v>
      </c>
      <c r="K291" t="s">
        <v>52</v>
      </c>
      <c r="L291">
        <v>19</v>
      </c>
      <c r="M291">
        <v>6.5</v>
      </c>
      <c r="N291">
        <v>8.4</v>
      </c>
      <c r="O291">
        <v>7.6</v>
      </c>
      <c r="P291">
        <v>1</v>
      </c>
      <c r="Q291" t="s">
        <v>35</v>
      </c>
      <c r="R291" t="s">
        <v>35</v>
      </c>
      <c r="S291">
        <v>7.9</v>
      </c>
      <c r="T291">
        <v>2.5</v>
      </c>
      <c r="U291">
        <v>7.2</v>
      </c>
      <c r="V291">
        <v>4.0999999999999996</v>
      </c>
      <c r="X291">
        <v>6.3</v>
      </c>
      <c r="Y291">
        <v>6.5</v>
      </c>
      <c r="Z291">
        <v>5.7</v>
      </c>
      <c r="AA291">
        <v>7.4</v>
      </c>
      <c r="AB291">
        <v>0.2</v>
      </c>
      <c r="AC291">
        <v>6.8</v>
      </c>
      <c r="AD291" t="s">
        <v>45</v>
      </c>
      <c r="AE291" t="str">
        <f>IF(AND(data[[#This Row],[Age]]&gt;=18,data[[#This Row],[Age]]&lt;=24),"18-24",IF(AND(data[[#This Row],[Age]]&gt;=25,data[[#This Row],[Age]]&lt;=34),"25-34",IF(AND(data[[#This Row],[Age]]&gt;35,data[[#This Row],[Age]]&lt;=44),"35-44",IF(data[[#This Row],[Age]]&gt;44,"45+",IF(data[[#This Row],[Age]]&lt;18,"below 18 ")))))</f>
        <v>35-44</v>
      </c>
    </row>
    <row r="292" spans="1:31" x14ac:dyDescent="0.25">
      <c r="A292" t="s">
        <v>345</v>
      </c>
      <c r="B292">
        <v>17</v>
      </c>
      <c r="C292" t="s">
        <v>47</v>
      </c>
      <c r="D292" t="s">
        <v>32</v>
      </c>
      <c r="E292" t="s">
        <v>40</v>
      </c>
      <c r="F292" t="s">
        <v>41</v>
      </c>
      <c r="G292">
        <v>3.3</v>
      </c>
      <c r="H292">
        <v>4</v>
      </c>
      <c r="I292">
        <v>4</v>
      </c>
      <c r="J292" t="s">
        <v>42</v>
      </c>
      <c r="K292" t="s">
        <v>62</v>
      </c>
      <c r="L292">
        <v>30</v>
      </c>
      <c r="M292">
        <v>6.5</v>
      </c>
      <c r="N292">
        <v>5.2</v>
      </c>
      <c r="O292">
        <v>2.4</v>
      </c>
      <c r="P292">
        <v>3.8</v>
      </c>
      <c r="Q292" t="s">
        <v>42</v>
      </c>
      <c r="R292" t="s">
        <v>42</v>
      </c>
      <c r="S292">
        <v>2.9</v>
      </c>
      <c r="T292">
        <v>5</v>
      </c>
      <c r="U292">
        <v>3.6</v>
      </c>
      <c r="V292">
        <v>4.5</v>
      </c>
      <c r="W292">
        <v>2.1</v>
      </c>
      <c r="X292">
        <v>8.3000000000000007</v>
      </c>
      <c r="Y292">
        <v>3.8</v>
      </c>
      <c r="Z292">
        <v>3.9</v>
      </c>
      <c r="AA292">
        <v>3.1</v>
      </c>
      <c r="AB292">
        <v>2.8</v>
      </c>
      <c r="AC292">
        <v>6.2</v>
      </c>
      <c r="AD292" t="s">
        <v>53</v>
      </c>
      <c r="AE292" t="str">
        <f>IF(AND(data[[#This Row],[Age]]&gt;=18,data[[#This Row],[Age]]&lt;=24),"18-24",IF(AND(data[[#This Row],[Age]]&gt;=25,data[[#This Row],[Age]]&lt;=34),"25-34",IF(AND(data[[#This Row],[Age]]&gt;35,data[[#This Row],[Age]]&lt;=44),"35-44",IF(data[[#This Row],[Age]]&gt;44,"45+",IF(data[[#This Row],[Age]]&lt;18,"below 18 ")))))</f>
        <v xml:space="preserve">below 18 </v>
      </c>
    </row>
    <row r="293" spans="1:31" x14ac:dyDescent="0.25">
      <c r="A293" t="s">
        <v>346</v>
      </c>
      <c r="B293">
        <v>31</v>
      </c>
      <c r="C293" t="s">
        <v>31</v>
      </c>
      <c r="D293" t="s">
        <v>57</v>
      </c>
      <c r="E293" t="s">
        <v>58</v>
      </c>
      <c r="F293" t="s">
        <v>59</v>
      </c>
      <c r="G293">
        <v>4.5999999999999996</v>
      </c>
      <c r="H293">
        <v>1</v>
      </c>
      <c r="I293">
        <v>4</v>
      </c>
      <c r="J293" t="s">
        <v>42</v>
      </c>
      <c r="K293" t="s">
        <v>62</v>
      </c>
      <c r="L293">
        <v>39</v>
      </c>
      <c r="M293">
        <v>4.0999999999999996</v>
      </c>
      <c r="N293">
        <v>6.2</v>
      </c>
      <c r="O293">
        <v>5.3</v>
      </c>
      <c r="P293">
        <v>5.7</v>
      </c>
      <c r="Q293" t="s">
        <v>35</v>
      </c>
      <c r="R293" t="s">
        <v>42</v>
      </c>
      <c r="S293">
        <v>3.4</v>
      </c>
      <c r="T293">
        <v>9.8000000000000007</v>
      </c>
      <c r="U293">
        <v>4.4000000000000004</v>
      </c>
      <c r="V293">
        <v>3.5</v>
      </c>
      <c r="W293">
        <v>9</v>
      </c>
      <c r="X293">
        <v>8.1999999999999993</v>
      </c>
      <c r="Y293">
        <v>6.1</v>
      </c>
      <c r="Z293">
        <v>5.0999999999999996</v>
      </c>
      <c r="AA293">
        <v>4.3</v>
      </c>
      <c r="AB293">
        <v>2.1</v>
      </c>
      <c r="AC293">
        <v>6.9</v>
      </c>
      <c r="AD293" t="s">
        <v>53</v>
      </c>
      <c r="AE293" t="str">
        <f>IF(AND(data[[#This Row],[Age]]&gt;=18,data[[#This Row],[Age]]&lt;=24),"18-24",IF(AND(data[[#This Row],[Age]]&gt;=25,data[[#This Row],[Age]]&lt;=34),"25-34",IF(AND(data[[#This Row],[Age]]&gt;35,data[[#This Row],[Age]]&lt;=44),"35-44",IF(data[[#This Row],[Age]]&gt;44,"45+",IF(data[[#This Row],[Age]]&lt;18,"below 18 ")))))</f>
        <v>25-34</v>
      </c>
    </row>
    <row r="294" spans="1:31" x14ac:dyDescent="0.25">
      <c r="A294" t="s">
        <v>347</v>
      </c>
      <c r="B294">
        <v>26</v>
      </c>
      <c r="C294" t="s">
        <v>47</v>
      </c>
      <c r="D294" t="s">
        <v>57</v>
      </c>
      <c r="E294" t="s">
        <v>33</v>
      </c>
      <c r="F294" t="s">
        <v>41</v>
      </c>
      <c r="G294">
        <v>4.9000000000000004</v>
      </c>
      <c r="H294">
        <v>2</v>
      </c>
      <c r="I294">
        <v>5</v>
      </c>
      <c r="J294" t="s">
        <v>42</v>
      </c>
      <c r="K294" t="s">
        <v>36</v>
      </c>
      <c r="L294">
        <v>42</v>
      </c>
      <c r="M294">
        <v>4.7</v>
      </c>
      <c r="N294">
        <v>6</v>
      </c>
      <c r="O294">
        <v>4.8</v>
      </c>
      <c r="P294">
        <v>5.3</v>
      </c>
      <c r="Q294" t="s">
        <v>42</v>
      </c>
      <c r="R294" t="s">
        <v>35</v>
      </c>
      <c r="S294">
        <v>6.1</v>
      </c>
      <c r="T294">
        <v>4</v>
      </c>
      <c r="U294">
        <v>5.2</v>
      </c>
      <c r="V294">
        <v>3.9</v>
      </c>
      <c r="W294">
        <v>1.6</v>
      </c>
      <c r="X294">
        <v>4.9000000000000004</v>
      </c>
      <c r="Y294">
        <v>5.5</v>
      </c>
      <c r="Z294">
        <v>7.5</v>
      </c>
      <c r="AA294">
        <v>4.3</v>
      </c>
      <c r="AB294">
        <v>3.5</v>
      </c>
      <c r="AC294">
        <v>6.7</v>
      </c>
      <c r="AD294" t="s">
        <v>45</v>
      </c>
      <c r="AE294" t="str">
        <f>IF(AND(data[[#This Row],[Age]]&gt;=18,data[[#This Row],[Age]]&lt;=24),"18-24",IF(AND(data[[#This Row],[Age]]&gt;=25,data[[#This Row],[Age]]&lt;=34),"25-34",IF(AND(data[[#This Row],[Age]]&gt;35,data[[#This Row],[Age]]&lt;=44),"35-44",IF(data[[#This Row],[Age]]&gt;44,"45+",IF(data[[#This Row],[Age]]&lt;18,"below 18 ")))))</f>
        <v>25-34</v>
      </c>
    </row>
    <row r="295" spans="1:31" x14ac:dyDescent="0.25">
      <c r="A295" t="s">
        <v>348</v>
      </c>
      <c r="B295">
        <v>20</v>
      </c>
      <c r="C295" t="s">
        <v>47</v>
      </c>
      <c r="D295" t="s">
        <v>64</v>
      </c>
      <c r="E295" t="s">
        <v>58</v>
      </c>
      <c r="F295" t="s">
        <v>41</v>
      </c>
      <c r="G295">
        <v>4.5</v>
      </c>
      <c r="H295">
        <v>4</v>
      </c>
      <c r="I295">
        <v>3</v>
      </c>
      <c r="J295" t="s">
        <v>35</v>
      </c>
      <c r="K295" t="s">
        <v>36</v>
      </c>
      <c r="L295">
        <v>44</v>
      </c>
      <c r="M295">
        <v>3.3</v>
      </c>
      <c r="N295">
        <v>6.4</v>
      </c>
      <c r="O295">
        <v>3.5</v>
      </c>
      <c r="P295">
        <v>5.9</v>
      </c>
      <c r="Q295" t="s">
        <v>42</v>
      </c>
      <c r="R295" t="s">
        <v>35</v>
      </c>
      <c r="S295">
        <v>4.5999999999999996</v>
      </c>
      <c r="T295">
        <v>4.4000000000000004</v>
      </c>
      <c r="U295">
        <v>4.5999999999999996</v>
      </c>
      <c r="V295">
        <v>3.4</v>
      </c>
      <c r="W295">
        <v>6.9</v>
      </c>
      <c r="X295">
        <v>7.1</v>
      </c>
      <c r="Y295">
        <v>3.8</v>
      </c>
      <c r="AA295">
        <v>4.0999999999999996</v>
      </c>
      <c r="AB295">
        <v>3.4</v>
      </c>
      <c r="AC295">
        <v>7.8</v>
      </c>
      <c r="AD295" t="s">
        <v>37</v>
      </c>
      <c r="AE295" t="str">
        <f>IF(AND(data[[#This Row],[Age]]&gt;=18,data[[#This Row],[Age]]&lt;=24),"18-24",IF(AND(data[[#This Row],[Age]]&gt;=25,data[[#This Row],[Age]]&lt;=34),"25-34",IF(AND(data[[#This Row],[Age]]&gt;35,data[[#This Row],[Age]]&lt;=44),"35-44",IF(data[[#This Row],[Age]]&gt;44,"45+",IF(data[[#This Row],[Age]]&lt;18,"below 18 ")))))</f>
        <v>18-24</v>
      </c>
    </row>
    <row r="296" spans="1:31" x14ac:dyDescent="0.25">
      <c r="A296" t="s">
        <v>349</v>
      </c>
      <c r="B296">
        <v>36</v>
      </c>
      <c r="C296" t="s">
        <v>31</v>
      </c>
      <c r="D296" t="s">
        <v>32</v>
      </c>
      <c r="E296" t="s">
        <v>33</v>
      </c>
      <c r="F296" t="s">
        <v>34</v>
      </c>
      <c r="G296">
        <v>2.5</v>
      </c>
      <c r="H296">
        <v>2</v>
      </c>
      <c r="I296">
        <v>6</v>
      </c>
      <c r="J296" t="s">
        <v>42</v>
      </c>
      <c r="K296" t="s">
        <v>36</v>
      </c>
      <c r="L296">
        <v>73</v>
      </c>
      <c r="M296">
        <v>1.5</v>
      </c>
      <c r="N296">
        <v>8.3000000000000007</v>
      </c>
      <c r="O296">
        <v>4.9000000000000004</v>
      </c>
      <c r="P296">
        <v>4.0999999999999996</v>
      </c>
      <c r="Q296" t="s">
        <v>42</v>
      </c>
      <c r="R296" t="s">
        <v>42</v>
      </c>
      <c r="S296">
        <v>3.4</v>
      </c>
      <c r="T296">
        <v>6.5</v>
      </c>
      <c r="U296">
        <v>3.1</v>
      </c>
      <c r="W296">
        <v>3.8</v>
      </c>
      <c r="X296">
        <v>4.2</v>
      </c>
      <c r="Y296">
        <v>7.1</v>
      </c>
      <c r="Z296">
        <v>8.4</v>
      </c>
      <c r="AA296">
        <v>2.7</v>
      </c>
      <c r="AB296">
        <v>6.6</v>
      </c>
      <c r="AC296">
        <v>6.6</v>
      </c>
      <c r="AD296" t="s">
        <v>53</v>
      </c>
      <c r="AE296" t="str">
        <f>IF(AND(data[[#This Row],[Age]]&gt;=18,data[[#This Row],[Age]]&lt;=24),"18-24",IF(AND(data[[#This Row],[Age]]&gt;=25,data[[#This Row],[Age]]&lt;=34),"25-34",IF(AND(data[[#This Row],[Age]]&gt;35,data[[#This Row],[Age]]&lt;=44),"35-44",IF(data[[#This Row],[Age]]&gt;44,"45+",IF(data[[#This Row],[Age]]&lt;18,"below 18 ")))))</f>
        <v>35-44</v>
      </c>
    </row>
    <row r="297" spans="1:31" x14ac:dyDescent="0.25">
      <c r="A297" t="s">
        <v>350</v>
      </c>
      <c r="B297">
        <v>31</v>
      </c>
      <c r="C297" t="s">
        <v>31</v>
      </c>
      <c r="D297" t="s">
        <v>39</v>
      </c>
      <c r="E297" t="s">
        <v>58</v>
      </c>
      <c r="F297" t="s">
        <v>41</v>
      </c>
      <c r="G297">
        <v>6.8</v>
      </c>
      <c r="H297">
        <v>6</v>
      </c>
      <c r="I297">
        <v>1</v>
      </c>
      <c r="J297" t="s">
        <v>35</v>
      </c>
      <c r="K297" t="s">
        <v>52</v>
      </c>
      <c r="L297">
        <v>67</v>
      </c>
      <c r="M297">
        <v>6.6</v>
      </c>
      <c r="N297">
        <v>6.8</v>
      </c>
      <c r="O297">
        <v>6.8</v>
      </c>
      <c r="P297">
        <v>5</v>
      </c>
      <c r="Q297" t="s">
        <v>42</v>
      </c>
      <c r="R297" t="s">
        <v>35</v>
      </c>
      <c r="S297">
        <v>2.7</v>
      </c>
      <c r="T297">
        <v>3.8</v>
      </c>
      <c r="U297">
        <v>8.6999999999999993</v>
      </c>
      <c r="V297">
        <v>6.2</v>
      </c>
      <c r="W297">
        <v>9.1</v>
      </c>
      <c r="X297">
        <v>6.1</v>
      </c>
      <c r="Y297">
        <v>8.3000000000000007</v>
      </c>
      <c r="Z297">
        <v>9.8000000000000007</v>
      </c>
      <c r="AA297">
        <v>5</v>
      </c>
      <c r="AB297">
        <v>6.1</v>
      </c>
      <c r="AC297">
        <v>6.1</v>
      </c>
      <c r="AD297" t="s">
        <v>53</v>
      </c>
      <c r="AE297" t="str">
        <f>IF(AND(data[[#This Row],[Age]]&gt;=18,data[[#This Row],[Age]]&lt;=24),"18-24",IF(AND(data[[#This Row],[Age]]&gt;=25,data[[#This Row],[Age]]&lt;=34),"25-34",IF(AND(data[[#This Row],[Age]]&gt;35,data[[#This Row],[Age]]&lt;=44),"35-44",IF(data[[#This Row],[Age]]&gt;44,"45+",IF(data[[#This Row],[Age]]&lt;18,"below 18 ")))))</f>
        <v>25-34</v>
      </c>
    </row>
    <row r="298" spans="1:31" x14ac:dyDescent="0.25">
      <c r="A298" t="s">
        <v>351</v>
      </c>
      <c r="B298">
        <v>24</v>
      </c>
      <c r="C298" t="s">
        <v>50</v>
      </c>
      <c r="D298" t="s">
        <v>39</v>
      </c>
      <c r="E298" t="s">
        <v>58</v>
      </c>
      <c r="F298" t="s">
        <v>41</v>
      </c>
      <c r="G298">
        <v>6.6</v>
      </c>
      <c r="H298">
        <v>3</v>
      </c>
      <c r="I298">
        <v>3</v>
      </c>
      <c r="K298" t="s">
        <v>62</v>
      </c>
      <c r="L298">
        <v>42</v>
      </c>
      <c r="M298">
        <v>5.2</v>
      </c>
      <c r="N298">
        <v>6.9</v>
      </c>
      <c r="O298">
        <v>0.9</v>
      </c>
      <c r="P298">
        <v>6.1</v>
      </c>
      <c r="Q298" t="s">
        <v>42</v>
      </c>
      <c r="R298" t="s">
        <v>42</v>
      </c>
      <c r="S298">
        <v>7.5</v>
      </c>
      <c r="T298">
        <v>5.9</v>
      </c>
      <c r="U298">
        <v>2.7</v>
      </c>
      <c r="V298">
        <v>6.6</v>
      </c>
      <c r="W298">
        <v>6.5</v>
      </c>
      <c r="X298">
        <v>5.4</v>
      </c>
      <c r="Y298">
        <v>4.3</v>
      </c>
      <c r="Z298">
        <v>4.9000000000000004</v>
      </c>
      <c r="AA298">
        <v>3.9</v>
      </c>
      <c r="AB298">
        <v>5</v>
      </c>
      <c r="AC298">
        <v>6.1</v>
      </c>
      <c r="AD298" t="s">
        <v>53</v>
      </c>
      <c r="AE298" t="str">
        <f>IF(AND(data[[#This Row],[Age]]&gt;=18,data[[#This Row],[Age]]&lt;=24),"18-24",IF(AND(data[[#This Row],[Age]]&gt;=25,data[[#This Row],[Age]]&lt;=34),"25-34",IF(AND(data[[#This Row],[Age]]&gt;35,data[[#This Row],[Age]]&lt;=44),"35-44",IF(data[[#This Row],[Age]]&gt;44,"45+",IF(data[[#This Row],[Age]]&lt;18,"below 18 ")))))</f>
        <v>18-24</v>
      </c>
    </row>
    <row r="299" spans="1:31" x14ac:dyDescent="0.25">
      <c r="A299" t="s">
        <v>352</v>
      </c>
      <c r="B299">
        <v>26</v>
      </c>
      <c r="C299" t="s">
        <v>50</v>
      </c>
      <c r="D299" t="s">
        <v>39</v>
      </c>
      <c r="E299" t="s">
        <v>58</v>
      </c>
      <c r="F299" t="s">
        <v>48</v>
      </c>
      <c r="G299">
        <v>2.2999999999999998</v>
      </c>
      <c r="H299">
        <v>6</v>
      </c>
      <c r="I299">
        <v>4</v>
      </c>
      <c r="J299" t="s">
        <v>42</v>
      </c>
      <c r="K299" t="s">
        <v>52</v>
      </c>
      <c r="L299">
        <v>66</v>
      </c>
      <c r="M299">
        <v>5.9</v>
      </c>
      <c r="N299">
        <v>3.4</v>
      </c>
      <c r="O299">
        <v>3.9</v>
      </c>
      <c r="P299">
        <v>7.5</v>
      </c>
      <c r="Q299" t="s">
        <v>42</v>
      </c>
      <c r="R299" t="s">
        <v>35</v>
      </c>
      <c r="S299">
        <v>6.7</v>
      </c>
      <c r="T299">
        <v>5.3</v>
      </c>
      <c r="U299">
        <v>8.5</v>
      </c>
      <c r="V299">
        <v>7.1</v>
      </c>
      <c r="W299">
        <v>5.9</v>
      </c>
      <c r="X299">
        <v>7.2</v>
      </c>
      <c r="Y299">
        <v>1.8</v>
      </c>
      <c r="Z299">
        <v>3.4</v>
      </c>
      <c r="AA299">
        <v>0</v>
      </c>
      <c r="AB299">
        <v>2</v>
      </c>
      <c r="AC299">
        <v>6.8</v>
      </c>
      <c r="AD299" t="s">
        <v>53</v>
      </c>
      <c r="AE299" t="str">
        <f>IF(AND(data[[#This Row],[Age]]&gt;=18,data[[#This Row],[Age]]&lt;=24),"18-24",IF(AND(data[[#This Row],[Age]]&gt;=25,data[[#This Row],[Age]]&lt;=34),"25-34",IF(AND(data[[#This Row],[Age]]&gt;35,data[[#This Row],[Age]]&lt;=44),"35-44",IF(data[[#This Row],[Age]]&gt;44,"45+",IF(data[[#This Row],[Age]]&lt;18,"below 18 ")))))</f>
        <v>25-34</v>
      </c>
    </row>
    <row r="300" spans="1:31" x14ac:dyDescent="0.25">
      <c r="A300" t="s">
        <v>353</v>
      </c>
      <c r="B300">
        <v>25</v>
      </c>
      <c r="C300" t="s">
        <v>47</v>
      </c>
      <c r="D300" t="s">
        <v>39</v>
      </c>
      <c r="E300" t="s">
        <v>58</v>
      </c>
      <c r="F300" t="s">
        <v>34</v>
      </c>
      <c r="G300">
        <v>4.0999999999999996</v>
      </c>
      <c r="H300">
        <v>6</v>
      </c>
      <c r="I300">
        <v>3</v>
      </c>
      <c r="J300" t="s">
        <v>35</v>
      </c>
      <c r="K300" t="s">
        <v>62</v>
      </c>
      <c r="L300">
        <v>61</v>
      </c>
      <c r="M300">
        <v>9.8000000000000007</v>
      </c>
      <c r="N300">
        <v>8.1</v>
      </c>
      <c r="O300">
        <v>5.7</v>
      </c>
      <c r="P300">
        <v>3</v>
      </c>
      <c r="Q300" t="s">
        <v>35</v>
      </c>
      <c r="R300" t="s">
        <v>35</v>
      </c>
      <c r="S300">
        <v>3.5</v>
      </c>
      <c r="T300">
        <v>4.3</v>
      </c>
      <c r="U300">
        <v>4.5</v>
      </c>
      <c r="V300">
        <v>8.1999999999999993</v>
      </c>
      <c r="W300">
        <v>3.8</v>
      </c>
      <c r="X300">
        <v>3</v>
      </c>
      <c r="Y300">
        <v>3.5</v>
      </c>
      <c r="Z300">
        <v>4.9000000000000004</v>
      </c>
      <c r="AA300">
        <v>1.5</v>
      </c>
      <c r="AB300">
        <v>6.4</v>
      </c>
      <c r="AC300">
        <v>7.2</v>
      </c>
      <c r="AD300" t="s">
        <v>37</v>
      </c>
      <c r="AE300" t="str">
        <f>IF(AND(data[[#This Row],[Age]]&gt;=18,data[[#This Row],[Age]]&lt;=24),"18-24",IF(AND(data[[#This Row],[Age]]&gt;=25,data[[#This Row],[Age]]&lt;=34),"25-34",IF(AND(data[[#This Row],[Age]]&gt;35,data[[#This Row],[Age]]&lt;=44),"35-44",IF(data[[#This Row],[Age]]&gt;44,"45+",IF(data[[#This Row],[Age]]&lt;18,"below 18 ")))))</f>
        <v>25-34</v>
      </c>
    </row>
    <row r="301" spans="1:31" x14ac:dyDescent="0.25">
      <c r="A301" t="s">
        <v>354</v>
      </c>
      <c r="B301">
        <v>15</v>
      </c>
      <c r="C301" t="s">
        <v>31</v>
      </c>
      <c r="D301" t="s">
        <v>32</v>
      </c>
      <c r="E301" t="s">
        <v>33</v>
      </c>
      <c r="F301" t="s">
        <v>41</v>
      </c>
      <c r="G301">
        <v>6.7</v>
      </c>
      <c r="H301">
        <v>5</v>
      </c>
      <c r="I301">
        <v>1</v>
      </c>
      <c r="J301" t="s">
        <v>35</v>
      </c>
      <c r="K301" t="s">
        <v>62</v>
      </c>
      <c r="L301">
        <v>51</v>
      </c>
      <c r="M301">
        <v>6.7</v>
      </c>
      <c r="N301">
        <v>2.5</v>
      </c>
      <c r="O301">
        <v>5</v>
      </c>
      <c r="P301">
        <v>5.8</v>
      </c>
      <c r="Q301" t="s">
        <v>35</v>
      </c>
      <c r="R301" t="s">
        <v>42</v>
      </c>
      <c r="S301">
        <v>4.9000000000000004</v>
      </c>
      <c r="T301">
        <v>4.3</v>
      </c>
      <c r="U301">
        <v>10</v>
      </c>
      <c r="V301">
        <v>6.2</v>
      </c>
      <c r="W301">
        <v>5.8</v>
      </c>
      <c r="X301">
        <v>7.6</v>
      </c>
      <c r="Y301">
        <v>4.5999999999999996</v>
      </c>
      <c r="Z301">
        <v>3.3</v>
      </c>
      <c r="AA301">
        <v>1.4</v>
      </c>
      <c r="AB301">
        <v>0.7</v>
      </c>
      <c r="AC301">
        <v>5.7</v>
      </c>
      <c r="AD301" t="s">
        <v>45</v>
      </c>
      <c r="AE301" t="str">
        <f>IF(AND(data[[#This Row],[Age]]&gt;=18,data[[#This Row],[Age]]&lt;=24),"18-24",IF(AND(data[[#This Row],[Age]]&gt;=25,data[[#This Row],[Age]]&lt;=34),"25-34",IF(AND(data[[#This Row],[Age]]&gt;35,data[[#This Row],[Age]]&lt;=44),"35-44",IF(data[[#This Row],[Age]]&gt;44,"45+",IF(data[[#This Row],[Age]]&lt;18,"below 18 ")))))</f>
        <v xml:space="preserve">below 18 </v>
      </c>
    </row>
    <row r="302" spans="1:31" x14ac:dyDescent="0.25">
      <c r="A302" t="s">
        <v>355</v>
      </c>
      <c r="B302">
        <v>23</v>
      </c>
      <c r="C302" t="s">
        <v>50</v>
      </c>
      <c r="D302" t="s">
        <v>32</v>
      </c>
      <c r="E302" t="s">
        <v>33</v>
      </c>
      <c r="F302" t="s">
        <v>59</v>
      </c>
      <c r="G302">
        <v>5.2</v>
      </c>
      <c r="H302">
        <v>4</v>
      </c>
      <c r="I302">
        <v>6</v>
      </c>
      <c r="J302" t="s">
        <v>35</v>
      </c>
      <c r="K302" t="s">
        <v>62</v>
      </c>
      <c r="L302">
        <v>55</v>
      </c>
      <c r="M302">
        <v>6.5</v>
      </c>
      <c r="N302">
        <v>2.2000000000000002</v>
      </c>
      <c r="P302">
        <v>0.6</v>
      </c>
      <c r="Q302" t="s">
        <v>42</v>
      </c>
      <c r="R302" t="s">
        <v>42</v>
      </c>
      <c r="T302">
        <v>0.4</v>
      </c>
      <c r="U302">
        <v>5.4</v>
      </c>
      <c r="V302">
        <v>6.9</v>
      </c>
      <c r="W302">
        <v>8.3000000000000007</v>
      </c>
      <c r="Y302">
        <v>5.4</v>
      </c>
      <c r="Z302">
        <v>4.8</v>
      </c>
      <c r="AA302">
        <v>2.4</v>
      </c>
      <c r="AB302">
        <v>4.5999999999999996</v>
      </c>
      <c r="AC302">
        <v>7.9</v>
      </c>
      <c r="AD302" t="s">
        <v>37</v>
      </c>
      <c r="AE302" t="str">
        <f>IF(AND(data[[#This Row],[Age]]&gt;=18,data[[#This Row],[Age]]&lt;=24),"18-24",IF(AND(data[[#This Row],[Age]]&gt;=25,data[[#This Row],[Age]]&lt;=34),"25-34",IF(AND(data[[#This Row],[Age]]&gt;35,data[[#This Row],[Age]]&lt;=44),"35-44",IF(data[[#This Row],[Age]]&gt;44,"45+",IF(data[[#This Row],[Age]]&lt;18,"below 18 ")))))</f>
        <v>18-24</v>
      </c>
    </row>
    <row r="303" spans="1:31" x14ac:dyDescent="0.25">
      <c r="A303" t="s">
        <v>356</v>
      </c>
      <c r="B303">
        <v>19</v>
      </c>
      <c r="C303" t="s">
        <v>31</v>
      </c>
      <c r="D303" t="s">
        <v>32</v>
      </c>
      <c r="E303" t="s">
        <v>58</v>
      </c>
      <c r="F303" t="s">
        <v>48</v>
      </c>
      <c r="G303">
        <v>5.4</v>
      </c>
      <c r="H303">
        <v>4</v>
      </c>
      <c r="I303">
        <v>7</v>
      </c>
      <c r="J303" t="s">
        <v>42</v>
      </c>
      <c r="K303" t="s">
        <v>36</v>
      </c>
      <c r="L303">
        <v>101</v>
      </c>
      <c r="M303">
        <v>9.3000000000000007</v>
      </c>
      <c r="N303">
        <v>3.2</v>
      </c>
      <c r="O303">
        <v>5.5</v>
      </c>
      <c r="P303">
        <v>7.1</v>
      </c>
      <c r="Q303" t="s">
        <v>42</v>
      </c>
      <c r="R303" t="s">
        <v>42</v>
      </c>
      <c r="S303">
        <v>3.1</v>
      </c>
      <c r="T303">
        <v>4.9000000000000004</v>
      </c>
      <c r="U303">
        <v>7</v>
      </c>
      <c r="V303">
        <v>6.3</v>
      </c>
      <c r="W303">
        <v>9</v>
      </c>
      <c r="X303">
        <v>5.0999999999999996</v>
      </c>
      <c r="Y303">
        <v>7.1</v>
      </c>
      <c r="Z303">
        <v>8.6</v>
      </c>
      <c r="AA303">
        <v>2</v>
      </c>
      <c r="AB303">
        <v>1.2</v>
      </c>
      <c r="AC303">
        <v>4.7</v>
      </c>
      <c r="AD303" t="s">
        <v>43</v>
      </c>
      <c r="AE303" t="str">
        <f>IF(AND(data[[#This Row],[Age]]&gt;=18,data[[#This Row],[Age]]&lt;=24),"18-24",IF(AND(data[[#This Row],[Age]]&gt;=25,data[[#This Row],[Age]]&lt;=34),"25-34",IF(AND(data[[#This Row],[Age]]&gt;35,data[[#This Row],[Age]]&lt;=44),"35-44",IF(data[[#This Row],[Age]]&gt;44,"45+",IF(data[[#This Row],[Age]]&lt;18,"below 18 ")))))</f>
        <v>18-24</v>
      </c>
    </row>
    <row r="304" spans="1:31" x14ac:dyDescent="0.25">
      <c r="A304" t="s">
        <v>357</v>
      </c>
      <c r="B304">
        <v>20</v>
      </c>
      <c r="C304" t="s">
        <v>31</v>
      </c>
      <c r="D304" t="s">
        <v>39</v>
      </c>
      <c r="E304" t="s">
        <v>40</v>
      </c>
      <c r="F304" t="s">
        <v>41</v>
      </c>
      <c r="G304">
        <v>3.5</v>
      </c>
      <c r="H304">
        <v>7</v>
      </c>
      <c r="I304">
        <v>1</v>
      </c>
      <c r="J304" t="s">
        <v>42</v>
      </c>
      <c r="K304" t="s">
        <v>62</v>
      </c>
      <c r="L304">
        <v>33</v>
      </c>
      <c r="M304">
        <v>4.0999999999999996</v>
      </c>
      <c r="N304">
        <v>8.5</v>
      </c>
      <c r="O304">
        <v>5.3</v>
      </c>
      <c r="P304">
        <v>5.4</v>
      </c>
      <c r="Q304" t="s">
        <v>35</v>
      </c>
      <c r="R304" t="s">
        <v>42</v>
      </c>
      <c r="S304">
        <v>0</v>
      </c>
      <c r="T304">
        <v>2.8</v>
      </c>
      <c r="U304">
        <v>6.5</v>
      </c>
      <c r="V304">
        <v>5.9</v>
      </c>
      <c r="W304">
        <v>10</v>
      </c>
      <c r="X304">
        <v>7.3</v>
      </c>
      <c r="Y304">
        <v>8.8000000000000007</v>
      </c>
      <c r="Z304">
        <v>8.5</v>
      </c>
      <c r="AA304">
        <v>0.1</v>
      </c>
      <c r="AB304">
        <v>1</v>
      </c>
      <c r="AC304">
        <v>6.8</v>
      </c>
      <c r="AD304" t="s">
        <v>45</v>
      </c>
      <c r="AE304" t="str">
        <f>IF(AND(data[[#This Row],[Age]]&gt;=18,data[[#This Row],[Age]]&lt;=24),"18-24",IF(AND(data[[#This Row],[Age]]&gt;=25,data[[#This Row],[Age]]&lt;=34),"25-34",IF(AND(data[[#This Row],[Age]]&gt;35,data[[#This Row],[Age]]&lt;=44),"35-44",IF(data[[#This Row],[Age]]&gt;44,"45+",IF(data[[#This Row],[Age]]&lt;18,"below 18 ")))))</f>
        <v>18-24</v>
      </c>
    </row>
    <row r="305" spans="1:31" x14ac:dyDescent="0.25">
      <c r="A305" t="s">
        <v>358</v>
      </c>
      <c r="B305">
        <v>43</v>
      </c>
      <c r="C305" t="s">
        <v>47</v>
      </c>
      <c r="D305" t="s">
        <v>32</v>
      </c>
      <c r="E305" t="s">
        <v>33</v>
      </c>
      <c r="F305" t="s">
        <v>34</v>
      </c>
      <c r="G305">
        <v>7.5</v>
      </c>
      <c r="H305">
        <v>3</v>
      </c>
      <c r="I305">
        <v>7</v>
      </c>
      <c r="J305" t="s">
        <v>42</v>
      </c>
      <c r="K305" t="s">
        <v>62</v>
      </c>
      <c r="L305">
        <v>59</v>
      </c>
      <c r="M305">
        <v>3.1</v>
      </c>
      <c r="N305">
        <v>8.1</v>
      </c>
      <c r="O305">
        <v>6.1</v>
      </c>
      <c r="P305">
        <v>2.9</v>
      </c>
      <c r="Q305" t="s">
        <v>35</v>
      </c>
      <c r="R305" t="s">
        <v>42</v>
      </c>
      <c r="S305">
        <v>3.1</v>
      </c>
      <c r="T305">
        <v>4.2</v>
      </c>
      <c r="U305">
        <v>5.7</v>
      </c>
      <c r="V305">
        <v>6.5</v>
      </c>
      <c r="W305">
        <v>4.5999999999999996</v>
      </c>
      <c r="X305">
        <v>5</v>
      </c>
      <c r="Y305">
        <v>6.2</v>
      </c>
      <c r="Z305">
        <v>7.4</v>
      </c>
      <c r="AA305">
        <v>4.9000000000000004</v>
      </c>
      <c r="AB305">
        <v>2.8</v>
      </c>
      <c r="AC305">
        <v>5.3</v>
      </c>
      <c r="AD305" t="s">
        <v>45</v>
      </c>
      <c r="AE305" t="str">
        <f>IF(AND(data[[#This Row],[Age]]&gt;=18,data[[#This Row],[Age]]&lt;=24),"18-24",IF(AND(data[[#This Row],[Age]]&gt;=25,data[[#This Row],[Age]]&lt;=34),"25-34",IF(AND(data[[#This Row],[Age]]&gt;35,data[[#This Row],[Age]]&lt;=44),"35-44",IF(data[[#This Row],[Age]]&gt;44,"45+",IF(data[[#This Row],[Age]]&lt;18,"below 18 ")))))</f>
        <v>35-44</v>
      </c>
    </row>
    <row r="306" spans="1:31" x14ac:dyDescent="0.25">
      <c r="A306" t="s">
        <v>359</v>
      </c>
      <c r="B306">
        <v>26</v>
      </c>
      <c r="C306" t="s">
        <v>47</v>
      </c>
      <c r="D306" t="s">
        <v>39</v>
      </c>
      <c r="E306" t="s">
        <v>33</v>
      </c>
      <c r="F306" t="s">
        <v>51</v>
      </c>
      <c r="G306">
        <v>2.2000000000000002</v>
      </c>
      <c r="H306">
        <v>4</v>
      </c>
      <c r="I306">
        <v>3</v>
      </c>
      <c r="J306" t="s">
        <v>42</v>
      </c>
      <c r="K306" t="s">
        <v>36</v>
      </c>
      <c r="L306">
        <v>85</v>
      </c>
      <c r="M306">
        <v>4.5</v>
      </c>
      <c r="N306">
        <v>6.4</v>
      </c>
      <c r="O306">
        <v>3.3</v>
      </c>
      <c r="P306">
        <v>4.8</v>
      </c>
      <c r="Q306" t="s">
        <v>42</v>
      </c>
      <c r="R306" t="s">
        <v>42</v>
      </c>
      <c r="S306">
        <v>6.6</v>
      </c>
      <c r="T306">
        <v>6.3</v>
      </c>
      <c r="U306">
        <v>5</v>
      </c>
      <c r="V306">
        <v>6.1</v>
      </c>
      <c r="W306">
        <v>3.9</v>
      </c>
      <c r="X306">
        <v>5.5</v>
      </c>
      <c r="Z306">
        <v>6.4</v>
      </c>
      <c r="AA306">
        <v>5.9</v>
      </c>
      <c r="AB306">
        <v>3.1</v>
      </c>
      <c r="AC306">
        <v>6.2</v>
      </c>
      <c r="AD306" t="s">
        <v>45</v>
      </c>
      <c r="AE306" t="str">
        <f>IF(AND(data[[#This Row],[Age]]&gt;=18,data[[#This Row],[Age]]&lt;=24),"18-24",IF(AND(data[[#This Row],[Age]]&gt;=25,data[[#This Row],[Age]]&lt;=34),"25-34",IF(AND(data[[#This Row],[Age]]&gt;35,data[[#This Row],[Age]]&lt;=44),"35-44",IF(data[[#This Row],[Age]]&gt;44,"45+",IF(data[[#This Row],[Age]]&lt;18,"below 18 ")))))</f>
        <v>25-34</v>
      </c>
    </row>
    <row r="307" spans="1:31" x14ac:dyDescent="0.25">
      <c r="A307" t="s">
        <v>360</v>
      </c>
      <c r="B307">
        <v>44</v>
      </c>
      <c r="C307" t="s">
        <v>31</v>
      </c>
      <c r="D307" t="s">
        <v>39</v>
      </c>
      <c r="E307" t="s">
        <v>40</v>
      </c>
      <c r="F307" t="s">
        <v>51</v>
      </c>
      <c r="G307">
        <v>6.4</v>
      </c>
      <c r="H307">
        <v>1</v>
      </c>
      <c r="I307">
        <v>1</v>
      </c>
      <c r="J307" t="s">
        <v>42</v>
      </c>
      <c r="K307" t="s">
        <v>36</v>
      </c>
      <c r="L307">
        <v>24</v>
      </c>
      <c r="M307">
        <v>3.5</v>
      </c>
      <c r="N307">
        <v>7</v>
      </c>
      <c r="O307">
        <v>5</v>
      </c>
      <c r="P307">
        <v>3.6</v>
      </c>
      <c r="R307" t="s">
        <v>35</v>
      </c>
      <c r="S307">
        <v>0.1</v>
      </c>
      <c r="T307">
        <v>5.3</v>
      </c>
      <c r="U307">
        <v>0.2</v>
      </c>
      <c r="W307">
        <v>7.3</v>
      </c>
      <c r="X307">
        <v>7</v>
      </c>
      <c r="Y307">
        <v>5.0999999999999996</v>
      </c>
      <c r="Z307">
        <v>4</v>
      </c>
      <c r="AA307">
        <v>5.3</v>
      </c>
      <c r="AB307">
        <v>1.7</v>
      </c>
      <c r="AC307">
        <v>7</v>
      </c>
      <c r="AD307" t="s">
        <v>37</v>
      </c>
      <c r="AE307" t="str">
        <f>IF(AND(data[[#This Row],[Age]]&gt;=18,data[[#This Row],[Age]]&lt;=24),"18-24",IF(AND(data[[#This Row],[Age]]&gt;=25,data[[#This Row],[Age]]&lt;=34),"25-34",IF(AND(data[[#This Row],[Age]]&gt;35,data[[#This Row],[Age]]&lt;=44),"35-44",IF(data[[#This Row],[Age]]&gt;44,"45+",IF(data[[#This Row],[Age]]&lt;18,"below 18 ")))))</f>
        <v>35-44</v>
      </c>
    </row>
    <row r="308" spans="1:31" x14ac:dyDescent="0.25">
      <c r="A308" t="s">
        <v>361</v>
      </c>
      <c r="B308">
        <v>32</v>
      </c>
      <c r="D308" t="s">
        <v>32</v>
      </c>
      <c r="E308" t="s">
        <v>58</v>
      </c>
      <c r="F308" t="s">
        <v>34</v>
      </c>
      <c r="H308">
        <v>3</v>
      </c>
      <c r="I308">
        <v>4</v>
      </c>
      <c r="J308" t="s">
        <v>35</v>
      </c>
      <c r="K308" t="s">
        <v>36</v>
      </c>
      <c r="L308">
        <v>66</v>
      </c>
      <c r="M308">
        <v>4.0999999999999996</v>
      </c>
      <c r="N308">
        <v>4.3</v>
      </c>
      <c r="O308">
        <v>1.8</v>
      </c>
      <c r="P308">
        <v>6.1</v>
      </c>
      <c r="Q308" t="s">
        <v>35</v>
      </c>
      <c r="R308" t="s">
        <v>42</v>
      </c>
      <c r="S308">
        <v>7.3</v>
      </c>
      <c r="T308">
        <v>7</v>
      </c>
      <c r="U308">
        <v>5.9</v>
      </c>
      <c r="V308">
        <v>4.5999999999999996</v>
      </c>
      <c r="W308">
        <v>10</v>
      </c>
      <c r="X308">
        <v>5.4</v>
      </c>
      <c r="Y308">
        <v>5.0999999999999996</v>
      </c>
      <c r="Z308">
        <v>6.5</v>
      </c>
      <c r="AA308">
        <v>1.4</v>
      </c>
      <c r="AB308">
        <v>4.7</v>
      </c>
      <c r="AC308">
        <v>5.9</v>
      </c>
      <c r="AD308" t="s">
        <v>53</v>
      </c>
      <c r="AE308" t="str">
        <f>IF(AND(data[[#This Row],[Age]]&gt;=18,data[[#This Row],[Age]]&lt;=24),"18-24",IF(AND(data[[#This Row],[Age]]&gt;=25,data[[#This Row],[Age]]&lt;=34),"25-34",IF(AND(data[[#This Row],[Age]]&gt;35,data[[#This Row],[Age]]&lt;=44),"35-44",IF(data[[#This Row],[Age]]&gt;44,"45+",IF(data[[#This Row],[Age]]&lt;18,"below 18 ")))))</f>
        <v>25-34</v>
      </c>
    </row>
    <row r="309" spans="1:31" x14ac:dyDescent="0.25">
      <c r="A309" t="s">
        <v>362</v>
      </c>
      <c r="B309">
        <v>44</v>
      </c>
      <c r="C309" t="s">
        <v>31</v>
      </c>
      <c r="D309" t="s">
        <v>39</v>
      </c>
      <c r="E309" t="s">
        <v>40</v>
      </c>
      <c r="F309" t="s">
        <v>41</v>
      </c>
      <c r="G309">
        <v>2.9</v>
      </c>
      <c r="H309">
        <v>5</v>
      </c>
      <c r="I309">
        <v>4</v>
      </c>
      <c r="J309" t="s">
        <v>35</v>
      </c>
      <c r="K309" t="s">
        <v>62</v>
      </c>
      <c r="L309">
        <v>17</v>
      </c>
      <c r="M309">
        <v>4.5999999999999996</v>
      </c>
      <c r="N309">
        <v>2.9</v>
      </c>
      <c r="O309">
        <v>4.5</v>
      </c>
      <c r="P309">
        <v>5.9</v>
      </c>
      <c r="Q309" t="s">
        <v>42</v>
      </c>
      <c r="R309" t="s">
        <v>35</v>
      </c>
      <c r="S309">
        <v>1.2</v>
      </c>
      <c r="T309">
        <v>9.4</v>
      </c>
      <c r="U309">
        <v>3.1</v>
      </c>
      <c r="V309">
        <v>3.3</v>
      </c>
      <c r="W309">
        <v>3.5</v>
      </c>
      <c r="X309">
        <v>5.4</v>
      </c>
      <c r="Y309">
        <v>6.5</v>
      </c>
      <c r="Z309">
        <v>3.6</v>
      </c>
      <c r="AA309">
        <v>3.8</v>
      </c>
      <c r="AB309">
        <v>3.7</v>
      </c>
      <c r="AC309">
        <v>8.6</v>
      </c>
      <c r="AD309" t="s">
        <v>37</v>
      </c>
      <c r="AE309" t="str">
        <f>IF(AND(data[[#This Row],[Age]]&gt;=18,data[[#This Row],[Age]]&lt;=24),"18-24",IF(AND(data[[#This Row],[Age]]&gt;=25,data[[#This Row],[Age]]&lt;=34),"25-34",IF(AND(data[[#This Row],[Age]]&gt;35,data[[#This Row],[Age]]&lt;=44),"35-44",IF(data[[#This Row],[Age]]&gt;44,"45+",IF(data[[#This Row],[Age]]&lt;18,"below 18 ")))))</f>
        <v>35-44</v>
      </c>
    </row>
    <row r="310" spans="1:31" x14ac:dyDescent="0.25">
      <c r="A310" t="s">
        <v>363</v>
      </c>
      <c r="B310">
        <v>29</v>
      </c>
      <c r="C310" t="s">
        <v>31</v>
      </c>
      <c r="D310" t="s">
        <v>32</v>
      </c>
      <c r="E310" t="s">
        <v>58</v>
      </c>
      <c r="F310" t="s">
        <v>41</v>
      </c>
      <c r="G310">
        <v>7.3</v>
      </c>
      <c r="H310">
        <v>5</v>
      </c>
      <c r="I310">
        <v>2</v>
      </c>
      <c r="J310" t="s">
        <v>35</v>
      </c>
      <c r="K310" t="s">
        <v>62</v>
      </c>
      <c r="L310">
        <v>65</v>
      </c>
      <c r="M310">
        <v>5.0999999999999996</v>
      </c>
      <c r="N310">
        <v>4.4000000000000004</v>
      </c>
      <c r="O310">
        <v>6.4</v>
      </c>
      <c r="P310">
        <v>4.5999999999999996</v>
      </c>
      <c r="Q310" t="s">
        <v>42</v>
      </c>
      <c r="R310" t="s">
        <v>42</v>
      </c>
      <c r="S310">
        <v>4.2</v>
      </c>
      <c r="T310">
        <v>5.3</v>
      </c>
      <c r="U310">
        <v>4.4000000000000004</v>
      </c>
      <c r="V310">
        <v>5.9</v>
      </c>
      <c r="W310">
        <v>1.8</v>
      </c>
      <c r="X310">
        <v>7.2</v>
      </c>
      <c r="Y310">
        <v>1.7</v>
      </c>
      <c r="Z310">
        <v>6.4</v>
      </c>
      <c r="AA310">
        <v>4.9000000000000004</v>
      </c>
      <c r="AB310">
        <v>2.5</v>
      </c>
      <c r="AC310">
        <v>6.8</v>
      </c>
      <c r="AD310" t="s">
        <v>53</v>
      </c>
      <c r="AE310" t="str">
        <f>IF(AND(data[[#This Row],[Age]]&gt;=18,data[[#This Row],[Age]]&lt;=24),"18-24",IF(AND(data[[#This Row],[Age]]&gt;=25,data[[#This Row],[Age]]&lt;=34),"25-34",IF(AND(data[[#This Row],[Age]]&gt;35,data[[#This Row],[Age]]&lt;=44),"35-44",IF(data[[#This Row],[Age]]&gt;44,"45+",IF(data[[#This Row],[Age]]&lt;18,"below 18 ")))))</f>
        <v>25-34</v>
      </c>
    </row>
    <row r="311" spans="1:31" x14ac:dyDescent="0.25">
      <c r="A311" t="s">
        <v>364</v>
      </c>
      <c r="B311">
        <v>25</v>
      </c>
      <c r="C311" t="s">
        <v>31</v>
      </c>
      <c r="D311" t="s">
        <v>39</v>
      </c>
      <c r="E311" t="s">
        <v>58</v>
      </c>
      <c r="F311" t="s">
        <v>41</v>
      </c>
      <c r="G311">
        <v>6.2</v>
      </c>
      <c r="H311">
        <v>2</v>
      </c>
      <c r="I311">
        <v>5</v>
      </c>
      <c r="J311" t="s">
        <v>35</v>
      </c>
      <c r="K311" t="s">
        <v>36</v>
      </c>
      <c r="L311">
        <v>21</v>
      </c>
      <c r="M311">
        <v>5.6</v>
      </c>
      <c r="N311">
        <v>4.9000000000000004</v>
      </c>
      <c r="O311">
        <v>9.1</v>
      </c>
      <c r="P311">
        <v>5.7</v>
      </c>
      <c r="Q311" t="s">
        <v>35</v>
      </c>
      <c r="R311" t="s">
        <v>35</v>
      </c>
      <c r="S311">
        <v>4</v>
      </c>
      <c r="T311">
        <v>5.3</v>
      </c>
      <c r="U311">
        <v>3.6</v>
      </c>
      <c r="V311">
        <v>4.0999999999999996</v>
      </c>
      <c r="W311">
        <v>3.2</v>
      </c>
      <c r="X311">
        <v>7.7</v>
      </c>
      <c r="Y311">
        <v>2.6</v>
      </c>
      <c r="Z311">
        <v>6.7</v>
      </c>
      <c r="AA311">
        <v>4.8</v>
      </c>
      <c r="AB311">
        <v>1.9</v>
      </c>
      <c r="AC311">
        <v>6.3</v>
      </c>
      <c r="AD311" t="s">
        <v>45</v>
      </c>
      <c r="AE311" t="str">
        <f>IF(AND(data[[#This Row],[Age]]&gt;=18,data[[#This Row],[Age]]&lt;=24),"18-24",IF(AND(data[[#This Row],[Age]]&gt;=25,data[[#This Row],[Age]]&lt;=34),"25-34",IF(AND(data[[#This Row],[Age]]&gt;35,data[[#This Row],[Age]]&lt;=44),"35-44",IF(data[[#This Row],[Age]]&gt;44,"45+",IF(data[[#This Row],[Age]]&lt;18,"below 18 ")))))</f>
        <v>25-34</v>
      </c>
    </row>
    <row r="312" spans="1:31" x14ac:dyDescent="0.25">
      <c r="A312" t="s">
        <v>365</v>
      </c>
      <c r="B312">
        <v>35</v>
      </c>
      <c r="C312" t="s">
        <v>31</v>
      </c>
      <c r="D312" t="s">
        <v>32</v>
      </c>
      <c r="E312" t="s">
        <v>33</v>
      </c>
      <c r="F312" t="s">
        <v>34</v>
      </c>
      <c r="H312">
        <v>1</v>
      </c>
      <c r="I312">
        <v>5</v>
      </c>
      <c r="J312" t="s">
        <v>42</v>
      </c>
      <c r="K312" t="s">
        <v>62</v>
      </c>
      <c r="L312">
        <v>69</v>
      </c>
      <c r="M312">
        <v>2.6</v>
      </c>
      <c r="N312">
        <v>6.9</v>
      </c>
      <c r="O312">
        <v>5.0999999999999996</v>
      </c>
      <c r="P312">
        <v>4.5999999999999996</v>
      </c>
      <c r="Q312" t="s">
        <v>42</v>
      </c>
      <c r="R312" t="s">
        <v>42</v>
      </c>
      <c r="S312">
        <v>7</v>
      </c>
      <c r="T312">
        <v>0</v>
      </c>
      <c r="U312">
        <v>4.3</v>
      </c>
      <c r="V312">
        <v>5.9</v>
      </c>
      <c r="W312">
        <v>5</v>
      </c>
      <c r="X312">
        <v>4.5</v>
      </c>
      <c r="Y312">
        <v>4.0999999999999996</v>
      </c>
      <c r="Z312">
        <v>2.8</v>
      </c>
      <c r="AA312">
        <v>4.5</v>
      </c>
      <c r="AB312">
        <v>3</v>
      </c>
      <c r="AC312">
        <v>6.4</v>
      </c>
      <c r="AD312" t="s">
        <v>53</v>
      </c>
      <c r="AE312" t="b">
        <f>IF(AND(data[[#This Row],[Age]]&gt;=18,data[[#This Row],[Age]]&lt;=24),"18-24",IF(AND(data[[#This Row],[Age]]&gt;=25,data[[#This Row],[Age]]&lt;=34),"25-34",IF(AND(data[[#This Row],[Age]]&gt;35,data[[#This Row],[Age]]&lt;=44),"35-44",IF(data[[#This Row],[Age]]&gt;44,"45+",IF(data[[#This Row],[Age]]&lt;18,"below 18 ")))))</f>
        <v>0</v>
      </c>
    </row>
    <row r="313" spans="1:31" x14ac:dyDescent="0.25">
      <c r="A313" t="s">
        <v>366</v>
      </c>
      <c r="B313">
        <v>31</v>
      </c>
      <c r="C313" t="s">
        <v>31</v>
      </c>
      <c r="D313" t="s">
        <v>39</v>
      </c>
      <c r="E313" t="s">
        <v>40</v>
      </c>
      <c r="F313" t="s">
        <v>59</v>
      </c>
      <c r="G313">
        <v>4.8</v>
      </c>
      <c r="H313">
        <v>1</v>
      </c>
      <c r="I313">
        <v>3</v>
      </c>
      <c r="J313" t="s">
        <v>42</v>
      </c>
      <c r="K313" t="s">
        <v>52</v>
      </c>
      <c r="L313">
        <v>62</v>
      </c>
      <c r="M313">
        <v>4</v>
      </c>
      <c r="N313">
        <v>4.0999999999999996</v>
      </c>
      <c r="O313">
        <v>4.2</v>
      </c>
      <c r="P313">
        <v>4.8</v>
      </c>
      <c r="Q313" t="s">
        <v>35</v>
      </c>
      <c r="R313" t="s">
        <v>35</v>
      </c>
      <c r="S313">
        <v>6.6</v>
      </c>
      <c r="T313">
        <v>6.2</v>
      </c>
      <c r="U313">
        <v>3</v>
      </c>
      <c r="V313">
        <v>6.5</v>
      </c>
      <c r="W313">
        <v>3</v>
      </c>
      <c r="X313">
        <v>6.4</v>
      </c>
      <c r="Y313">
        <v>2.1</v>
      </c>
      <c r="Z313">
        <v>1.7</v>
      </c>
      <c r="AA313">
        <v>3.5</v>
      </c>
      <c r="AB313">
        <v>4.7</v>
      </c>
      <c r="AC313">
        <v>7.2</v>
      </c>
      <c r="AD313" t="s">
        <v>37</v>
      </c>
      <c r="AE313" t="str">
        <f>IF(AND(data[[#This Row],[Age]]&gt;=18,data[[#This Row],[Age]]&lt;=24),"18-24",IF(AND(data[[#This Row],[Age]]&gt;=25,data[[#This Row],[Age]]&lt;=34),"25-34",IF(AND(data[[#This Row],[Age]]&gt;35,data[[#This Row],[Age]]&lt;=44),"35-44",IF(data[[#This Row],[Age]]&gt;44,"45+",IF(data[[#This Row],[Age]]&lt;18,"below 18 ")))))</f>
        <v>25-34</v>
      </c>
    </row>
    <row r="314" spans="1:31" x14ac:dyDescent="0.25">
      <c r="A314" t="s">
        <v>367</v>
      </c>
      <c r="B314">
        <v>22</v>
      </c>
      <c r="C314" t="s">
        <v>31</v>
      </c>
      <c r="D314" t="s">
        <v>39</v>
      </c>
      <c r="E314" t="s">
        <v>58</v>
      </c>
      <c r="F314" t="s">
        <v>34</v>
      </c>
      <c r="G314">
        <v>7.5</v>
      </c>
      <c r="H314">
        <v>1</v>
      </c>
      <c r="I314">
        <v>5</v>
      </c>
      <c r="J314" t="s">
        <v>42</v>
      </c>
      <c r="K314" t="s">
        <v>52</v>
      </c>
      <c r="L314">
        <v>109</v>
      </c>
      <c r="M314">
        <v>5.6</v>
      </c>
      <c r="N314">
        <v>8.1</v>
      </c>
      <c r="O314">
        <v>7.7</v>
      </c>
      <c r="P314">
        <v>7.9</v>
      </c>
      <c r="Q314" t="s">
        <v>42</v>
      </c>
      <c r="R314" t="s">
        <v>42</v>
      </c>
      <c r="S314">
        <v>5.6</v>
      </c>
      <c r="T314">
        <v>4.2</v>
      </c>
      <c r="U314">
        <v>4.8</v>
      </c>
      <c r="V314">
        <v>2.6</v>
      </c>
      <c r="W314">
        <v>5.2</v>
      </c>
      <c r="X314">
        <v>6.7</v>
      </c>
      <c r="Y314">
        <v>5.4</v>
      </c>
      <c r="AA314">
        <v>3.5</v>
      </c>
      <c r="AB314">
        <v>3.8</v>
      </c>
      <c r="AC314">
        <v>4.5</v>
      </c>
      <c r="AD314" t="s">
        <v>43</v>
      </c>
      <c r="AE314" t="str">
        <f>IF(AND(data[[#This Row],[Age]]&gt;=18,data[[#This Row],[Age]]&lt;=24),"18-24",IF(AND(data[[#This Row],[Age]]&gt;=25,data[[#This Row],[Age]]&lt;=34),"25-34",IF(AND(data[[#This Row],[Age]]&gt;35,data[[#This Row],[Age]]&lt;=44),"35-44",IF(data[[#This Row],[Age]]&gt;44,"45+",IF(data[[#This Row],[Age]]&lt;18,"below 18 ")))))</f>
        <v>18-24</v>
      </c>
    </row>
    <row r="315" spans="1:31" x14ac:dyDescent="0.25">
      <c r="A315" t="s">
        <v>368</v>
      </c>
      <c r="B315">
        <v>43</v>
      </c>
      <c r="C315" t="s">
        <v>31</v>
      </c>
      <c r="D315" t="s">
        <v>32</v>
      </c>
      <c r="E315" t="s">
        <v>33</v>
      </c>
      <c r="F315" t="s">
        <v>34</v>
      </c>
      <c r="G315">
        <v>3.6</v>
      </c>
      <c r="H315">
        <v>6</v>
      </c>
      <c r="I315">
        <v>4</v>
      </c>
      <c r="K315" t="s">
        <v>36</v>
      </c>
      <c r="L315">
        <v>62</v>
      </c>
      <c r="M315">
        <v>3</v>
      </c>
      <c r="N315">
        <v>5.4</v>
      </c>
      <c r="O315">
        <v>3.1</v>
      </c>
      <c r="P315">
        <v>6.4</v>
      </c>
      <c r="Q315" t="s">
        <v>42</v>
      </c>
      <c r="R315" t="s">
        <v>42</v>
      </c>
      <c r="S315">
        <v>2.9</v>
      </c>
      <c r="T315">
        <v>1.5</v>
      </c>
      <c r="U315">
        <v>3.1</v>
      </c>
      <c r="V315">
        <v>7.6</v>
      </c>
      <c r="W315">
        <v>4.7</v>
      </c>
      <c r="X315">
        <v>7.5</v>
      </c>
      <c r="Y315">
        <v>4</v>
      </c>
      <c r="Z315">
        <v>6.5</v>
      </c>
      <c r="AA315">
        <v>3.5</v>
      </c>
      <c r="AC315">
        <v>7.2</v>
      </c>
      <c r="AD315" t="s">
        <v>37</v>
      </c>
      <c r="AE315" t="str">
        <f>IF(AND(data[[#This Row],[Age]]&gt;=18,data[[#This Row],[Age]]&lt;=24),"18-24",IF(AND(data[[#This Row],[Age]]&gt;=25,data[[#This Row],[Age]]&lt;=34),"25-34",IF(AND(data[[#This Row],[Age]]&gt;35,data[[#This Row],[Age]]&lt;=44),"35-44",IF(data[[#This Row],[Age]]&gt;44,"45+",IF(data[[#This Row],[Age]]&lt;18,"below 18 ")))))</f>
        <v>35-44</v>
      </c>
    </row>
    <row r="316" spans="1:31" x14ac:dyDescent="0.25">
      <c r="A316" t="s">
        <v>369</v>
      </c>
      <c r="B316">
        <v>30</v>
      </c>
      <c r="C316" t="s">
        <v>47</v>
      </c>
      <c r="D316" t="s">
        <v>32</v>
      </c>
      <c r="E316" t="s">
        <v>40</v>
      </c>
      <c r="F316" t="s">
        <v>34</v>
      </c>
      <c r="G316">
        <v>3.5</v>
      </c>
      <c r="H316">
        <v>3</v>
      </c>
      <c r="I316">
        <v>1</v>
      </c>
      <c r="J316" t="s">
        <v>42</v>
      </c>
      <c r="K316" t="s">
        <v>36</v>
      </c>
      <c r="L316">
        <v>24</v>
      </c>
      <c r="M316">
        <v>5.6</v>
      </c>
      <c r="N316">
        <v>3.8</v>
      </c>
      <c r="O316">
        <v>3.4</v>
      </c>
      <c r="P316">
        <v>8.6</v>
      </c>
      <c r="Q316" t="s">
        <v>42</v>
      </c>
      <c r="R316" t="s">
        <v>35</v>
      </c>
      <c r="S316">
        <v>4.5</v>
      </c>
      <c r="U316">
        <v>5.2</v>
      </c>
      <c r="V316">
        <v>7.5</v>
      </c>
      <c r="W316">
        <v>4.8</v>
      </c>
      <c r="X316">
        <v>7.9</v>
      </c>
      <c r="Y316">
        <v>7.3</v>
      </c>
      <c r="Z316">
        <v>5</v>
      </c>
      <c r="AA316">
        <v>2</v>
      </c>
      <c r="AB316">
        <v>5.4</v>
      </c>
      <c r="AC316">
        <v>6.6</v>
      </c>
      <c r="AD316" t="s">
        <v>53</v>
      </c>
      <c r="AE316" t="str">
        <f>IF(AND(data[[#This Row],[Age]]&gt;=18,data[[#This Row],[Age]]&lt;=24),"18-24",IF(AND(data[[#This Row],[Age]]&gt;=25,data[[#This Row],[Age]]&lt;=34),"25-34",IF(AND(data[[#This Row],[Age]]&gt;35,data[[#This Row],[Age]]&lt;=44),"35-44",IF(data[[#This Row],[Age]]&gt;44,"45+",IF(data[[#This Row],[Age]]&lt;18,"below 18 ")))))</f>
        <v>25-34</v>
      </c>
    </row>
    <row r="317" spans="1:31" x14ac:dyDescent="0.25">
      <c r="A317" t="s">
        <v>370</v>
      </c>
      <c r="B317">
        <v>41</v>
      </c>
      <c r="C317" t="s">
        <v>31</v>
      </c>
      <c r="D317" t="s">
        <v>32</v>
      </c>
      <c r="E317" t="s">
        <v>33</v>
      </c>
      <c r="F317" t="s">
        <v>70</v>
      </c>
      <c r="G317">
        <v>0.5</v>
      </c>
      <c r="H317">
        <v>5</v>
      </c>
      <c r="I317">
        <v>2</v>
      </c>
      <c r="J317" t="s">
        <v>35</v>
      </c>
      <c r="K317" t="s">
        <v>62</v>
      </c>
      <c r="L317">
        <v>45</v>
      </c>
      <c r="M317">
        <v>8.4</v>
      </c>
      <c r="N317">
        <v>7.5</v>
      </c>
      <c r="O317">
        <v>4</v>
      </c>
      <c r="P317">
        <v>6.4</v>
      </c>
      <c r="Q317" t="s">
        <v>42</v>
      </c>
      <c r="R317" t="s">
        <v>42</v>
      </c>
      <c r="S317">
        <v>4.7</v>
      </c>
      <c r="T317">
        <v>4.7</v>
      </c>
      <c r="U317">
        <v>7.2</v>
      </c>
      <c r="V317">
        <v>6.8</v>
      </c>
      <c r="W317">
        <v>4.5</v>
      </c>
      <c r="X317">
        <v>6.8</v>
      </c>
      <c r="Y317">
        <v>2.8</v>
      </c>
      <c r="Z317">
        <v>6.2</v>
      </c>
      <c r="AA317">
        <v>3.4</v>
      </c>
      <c r="AB317">
        <v>3.5</v>
      </c>
      <c r="AC317">
        <v>7.8</v>
      </c>
      <c r="AD317" t="s">
        <v>37</v>
      </c>
      <c r="AE317" t="str">
        <f>IF(AND(data[[#This Row],[Age]]&gt;=18,data[[#This Row],[Age]]&lt;=24),"18-24",IF(AND(data[[#This Row],[Age]]&gt;=25,data[[#This Row],[Age]]&lt;=34),"25-34",IF(AND(data[[#This Row],[Age]]&gt;35,data[[#This Row],[Age]]&lt;=44),"35-44",IF(data[[#This Row],[Age]]&gt;44,"45+",IF(data[[#This Row],[Age]]&lt;18,"below 18 ")))))</f>
        <v>35-44</v>
      </c>
    </row>
    <row r="318" spans="1:31" x14ac:dyDescent="0.25">
      <c r="A318" t="s">
        <v>371</v>
      </c>
      <c r="B318">
        <v>33</v>
      </c>
      <c r="C318" t="s">
        <v>31</v>
      </c>
      <c r="D318" t="s">
        <v>39</v>
      </c>
      <c r="E318" t="s">
        <v>33</v>
      </c>
      <c r="F318" t="s">
        <v>34</v>
      </c>
      <c r="G318">
        <v>1</v>
      </c>
      <c r="H318">
        <v>3</v>
      </c>
      <c r="I318">
        <v>0</v>
      </c>
      <c r="J318" t="s">
        <v>42</v>
      </c>
      <c r="K318" t="s">
        <v>36</v>
      </c>
      <c r="L318">
        <v>47</v>
      </c>
      <c r="M318">
        <v>0</v>
      </c>
      <c r="N318">
        <v>7.9</v>
      </c>
      <c r="O318">
        <v>9.6</v>
      </c>
      <c r="P318">
        <v>3.7</v>
      </c>
      <c r="Q318" t="s">
        <v>42</v>
      </c>
      <c r="R318" t="s">
        <v>42</v>
      </c>
      <c r="S318">
        <v>3.8</v>
      </c>
      <c r="T318">
        <v>2.1</v>
      </c>
      <c r="U318">
        <v>6.4</v>
      </c>
      <c r="V318">
        <v>5.9</v>
      </c>
      <c r="W318">
        <v>2.6</v>
      </c>
      <c r="X318">
        <v>9.3000000000000007</v>
      </c>
      <c r="Y318">
        <v>4.3</v>
      </c>
      <c r="Z318">
        <v>7.3</v>
      </c>
      <c r="AA318">
        <v>4.4000000000000004</v>
      </c>
      <c r="AB318">
        <v>3.4</v>
      </c>
      <c r="AC318">
        <v>7.1</v>
      </c>
      <c r="AD318" t="s">
        <v>45</v>
      </c>
      <c r="AE318" t="str">
        <f>IF(AND(data[[#This Row],[Age]]&gt;=18,data[[#This Row],[Age]]&lt;=24),"18-24",IF(AND(data[[#This Row],[Age]]&gt;=25,data[[#This Row],[Age]]&lt;=34),"25-34",IF(AND(data[[#This Row],[Age]]&gt;35,data[[#This Row],[Age]]&lt;=44),"35-44",IF(data[[#This Row],[Age]]&gt;44,"45+",IF(data[[#This Row],[Age]]&lt;18,"below 18 ")))))</f>
        <v>25-34</v>
      </c>
    </row>
    <row r="319" spans="1:31" x14ac:dyDescent="0.25">
      <c r="A319" t="s">
        <v>372</v>
      </c>
      <c r="B319">
        <v>31</v>
      </c>
      <c r="C319" t="s">
        <v>47</v>
      </c>
      <c r="D319" t="s">
        <v>32</v>
      </c>
      <c r="E319" t="s">
        <v>40</v>
      </c>
      <c r="F319" t="s">
        <v>41</v>
      </c>
      <c r="G319">
        <v>3.7</v>
      </c>
      <c r="H319">
        <v>1</v>
      </c>
      <c r="I319">
        <v>7</v>
      </c>
      <c r="J319" t="s">
        <v>35</v>
      </c>
      <c r="K319" t="s">
        <v>52</v>
      </c>
      <c r="L319">
        <v>43</v>
      </c>
      <c r="M319">
        <v>6.5</v>
      </c>
      <c r="N319">
        <v>3</v>
      </c>
      <c r="O319">
        <v>3.9</v>
      </c>
      <c r="P319">
        <v>5.5</v>
      </c>
      <c r="Q319" t="s">
        <v>35</v>
      </c>
      <c r="R319" t="s">
        <v>42</v>
      </c>
      <c r="S319">
        <v>3.6</v>
      </c>
      <c r="T319">
        <v>6.1</v>
      </c>
      <c r="U319">
        <v>7.7</v>
      </c>
      <c r="V319">
        <v>7.2</v>
      </c>
      <c r="W319">
        <v>3.7</v>
      </c>
      <c r="X319">
        <v>7.8</v>
      </c>
      <c r="Y319">
        <v>2.1</v>
      </c>
      <c r="Z319">
        <v>8.3000000000000007</v>
      </c>
      <c r="AA319">
        <v>4.7</v>
      </c>
      <c r="AB319">
        <v>4.3</v>
      </c>
      <c r="AC319">
        <v>8.1999999999999993</v>
      </c>
      <c r="AD319" t="s">
        <v>37</v>
      </c>
      <c r="AE319" t="str">
        <f>IF(AND(data[[#This Row],[Age]]&gt;=18,data[[#This Row],[Age]]&lt;=24),"18-24",IF(AND(data[[#This Row],[Age]]&gt;=25,data[[#This Row],[Age]]&lt;=34),"25-34",IF(AND(data[[#This Row],[Age]]&gt;35,data[[#This Row],[Age]]&lt;=44),"35-44",IF(data[[#This Row],[Age]]&gt;44,"45+",IF(data[[#This Row],[Age]]&lt;18,"below 18 ")))))</f>
        <v>25-34</v>
      </c>
    </row>
    <row r="320" spans="1:31" x14ac:dyDescent="0.25">
      <c r="A320" t="s">
        <v>373</v>
      </c>
      <c r="B320">
        <v>29</v>
      </c>
      <c r="C320" t="s">
        <v>47</v>
      </c>
      <c r="D320" t="s">
        <v>39</v>
      </c>
      <c r="E320" t="s">
        <v>40</v>
      </c>
      <c r="F320" t="s">
        <v>59</v>
      </c>
      <c r="G320">
        <v>4.2</v>
      </c>
      <c r="H320">
        <v>3</v>
      </c>
      <c r="I320">
        <v>10</v>
      </c>
      <c r="J320" t="s">
        <v>35</v>
      </c>
      <c r="K320" t="s">
        <v>36</v>
      </c>
      <c r="L320">
        <v>65</v>
      </c>
      <c r="M320">
        <v>6.2</v>
      </c>
      <c r="N320">
        <v>6.7</v>
      </c>
      <c r="O320">
        <v>2.2000000000000002</v>
      </c>
      <c r="P320">
        <v>3.4</v>
      </c>
      <c r="Q320" t="s">
        <v>42</v>
      </c>
      <c r="R320" t="s">
        <v>35</v>
      </c>
      <c r="S320">
        <v>4.5999999999999996</v>
      </c>
      <c r="T320">
        <v>3.8</v>
      </c>
      <c r="U320">
        <v>3.4</v>
      </c>
      <c r="V320">
        <v>8.3000000000000007</v>
      </c>
      <c r="W320">
        <v>4.5999999999999996</v>
      </c>
      <c r="X320">
        <v>8.4</v>
      </c>
      <c r="Y320">
        <v>3.6</v>
      </c>
      <c r="Z320">
        <v>6.7</v>
      </c>
      <c r="AA320">
        <v>5.5</v>
      </c>
      <c r="AB320">
        <v>5.0999999999999996</v>
      </c>
      <c r="AC320">
        <v>8.3000000000000007</v>
      </c>
      <c r="AD320" t="s">
        <v>37</v>
      </c>
      <c r="AE320" t="str">
        <f>IF(AND(data[[#This Row],[Age]]&gt;=18,data[[#This Row],[Age]]&lt;=24),"18-24",IF(AND(data[[#This Row],[Age]]&gt;=25,data[[#This Row],[Age]]&lt;=34),"25-34",IF(AND(data[[#This Row],[Age]]&gt;35,data[[#This Row],[Age]]&lt;=44),"35-44",IF(data[[#This Row],[Age]]&gt;44,"45+",IF(data[[#This Row],[Age]]&lt;18,"below 18 ")))))</f>
        <v>25-34</v>
      </c>
    </row>
    <row r="321" spans="1:31" x14ac:dyDescent="0.25">
      <c r="A321" t="s">
        <v>374</v>
      </c>
      <c r="B321">
        <v>30</v>
      </c>
      <c r="C321" t="s">
        <v>31</v>
      </c>
      <c r="D321" t="s">
        <v>57</v>
      </c>
      <c r="E321" t="s">
        <v>58</v>
      </c>
      <c r="F321" t="s">
        <v>51</v>
      </c>
      <c r="G321">
        <v>5.7</v>
      </c>
      <c r="H321">
        <v>7</v>
      </c>
      <c r="I321">
        <v>2</v>
      </c>
      <c r="J321" t="s">
        <v>42</v>
      </c>
      <c r="K321" t="s">
        <v>62</v>
      </c>
      <c r="L321">
        <v>41</v>
      </c>
      <c r="M321">
        <v>3.6</v>
      </c>
      <c r="N321">
        <v>4.9000000000000004</v>
      </c>
      <c r="O321">
        <v>3.5</v>
      </c>
      <c r="P321">
        <v>1.9</v>
      </c>
      <c r="Q321" t="s">
        <v>35</v>
      </c>
      <c r="R321" t="s">
        <v>35</v>
      </c>
      <c r="S321">
        <v>6.8</v>
      </c>
      <c r="T321">
        <v>5.4</v>
      </c>
      <c r="U321">
        <v>3.8</v>
      </c>
      <c r="V321">
        <v>4.3</v>
      </c>
      <c r="W321">
        <v>8.1</v>
      </c>
      <c r="X321">
        <v>5</v>
      </c>
      <c r="Z321">
        <v>5.5</v>
      </c>
      <c r="AA321">
        <v>2.8</v>
      </c>
      <c r="AC321">
        <v>8.8000000000000007</v>
      </c>
      <c r="AD321" t="s">
        <v>37</v>
      </c>
      <c r="AE321" t="str">
        <f>IF(AND(data[[#This Row],[Age]]&gt;=18,data[[#This Row],[Age]]&lt;=24),"18-24",IF(AND(data[[#This Row],[Age]]&gt;=25,data[[#This Row],[Age]]&lt;=34),"25-34",IF(AND(data[[#This Row],[Age]]&gt;35,data[[#This Row],[Age]]&lt;=44),"35-44",IF(data[[#This Row],[Age]]&gt;44,"45+",IF(data[[#This Row],[Age]]&lt;18,"below 18 ")))))</f>
        <v>25-34</v>
      </c>
    </row>
    <row r="322" spans="1:31" x14ac:dyDescent="0.25">
      <c r="A322" t="s">
        <v>375</v>
      </c>
      <c r="B322">
        <v>28</v>
      </c>
      <c r="C322" t="s">
        <v>31</v>
      </c>
      <c r="D322" t="s">
        <v>57</v>
      </c>
      <c r="E322" t="s">
        <v>58</v>
      </c>
      <c r="F322" t="s">
        <v>48</v>
      </c>
      <c r="G322">
        <v>6.3</v>
      </c>
      <c r="H322">
        <v>1</v>
      </c>
      <c r="I322">
        <v>3</v>
      </c>
      <c r="J322" t="s">
        <v>35</v>
      </c>
      <c r="K322" t="s">
        <v>36</v>
      </c>
      <c r="L322">
        <v>59</v>
      </c>
      <c r="M322">
        <v>2.5</v>
      </c>
      <c r="N322">
        <v>5.2</v>
      </c>
      <c r="O322">
        <v>4.7</v>
      </c>
      <c r="P322">
        <v>4.5</v>
      </c>
      <c r="Q322" t="s">
        <v>35</v>
      </c>
      <c r="R322" t="s">
        <v>35</v>
      </c>
      <c r="S322">
        <v>6.3</v>
      </c>
      <c r="T322">
        <v>4.4000000000000004</v>
      </c>
      <c r="U322">
        <v>2.9</v>
      </c>
      <c r="V322">
        <v>7.2</v>
      </c>
      <c r="W322">
        <v>6.4</v>
      </c>
      <c r="X322">
        <v>7.8</v>
      </c>
      <c r="Y322">
        <v>4.9000000000000004</v>
      </c>
      <c r="Z322">
        <v>1.5</v>
      </c>
      <c r="AA322">
        <v>1.1000000000000001</v>
      </c>
      <c r="AC322">
        <v>7</v>
      </c>
      <c r="AD322" t="s">
        <v>37</v>
      </c>
      <c r="AE322" t="str">
        <f>IF(AND(data[[#This Row],[Age]]&gt;=18,data[[#This Row],[Age]]&lt;=24),"18-24",IF(AND(data[[#This Row],[Age]]&gt;=25,data[[#This Row],[Age]]&lt;=34),"25-34",IF(AND(data[[#This Row],[Age]]&gt;35,data[[#This Row],[Age]]&lt;=44),"35-44",IF(data[[#This Row],[Age]]&gt;44,"45+",IF(data[[#This Row],[Age]]&lt;18,"below 18 ")))))</f>
        <v>25-34</v>
      </c>
    </row>
    <row r="323" spans="1:31" x14ac:dyDescent="0.25">
      <c r="A323" t="s">
        <v>376</v>
      </c>
      <c r="B323">
        <v>34</v>
      </c>
      <c r="C323" t="s">
        <v>47</v>
      </c>
      <c r="D323" t="s">
        <v>64</v>
      </c>
      <c r="E323" t="s">
        <v>33</v>
      </c>
      <c r="F323" t="s">
        <v>41</v>
      </c>
      <c r="G323">
        <v>8.6</v>
      </c>
      <c r="H323">
        <v>2</v>
      </c>
      <c r="I323">
        <v>5</v>
      </c>
      <c r="J323" t="s">
        <v>35</v>
      </c>
      <c r="K323" t="s">
        <v>62</v>
      </c>
      <c r="L323">
        <v>47</v>
      </c>
      <c r="M323">
        <v>5.5</v>
      </c>
      <c r="N323">
        <v>7.9</v>
      </c>
      <c r="O323">
        <v>6.2</v>
      </c>
      <c r="P323">
        <v>5.9</v>
      </c>
      <c r="Q323" t="s">
        <v>42</v>
      </c>
      <c r="R323" t="s">
        <v>35</v>
      </c>
      <c r="S323">
        <v>5.7</v>
      </c>
      <c r="T323">
        <v>5</v>
      </c>
      <c r="U323">
        <v>5.8</v>
      </c>
      <c r="V323">
        <v>5.5</v>
      </c>
      <c r="W323">
        <v>3.3</v>
      </c>
      <c r="X323">
        <v>4.3</v>
      </c>
      <c r="Y323">
        <v>6.2</v>
      </c>
      <c r="Z323">
        <v>6.6</v>
      </c>
      <c r="AA323">
        <v>2.6</v>
      </c>
      <c r="AB323">
        <v>7.4</v>
      </c>
      <c r="AC323">
        <v>8</v>
      </c>
      <c r="AD323" t="s">
        <v>37</v>
      </c>
      <c r="AE323" t="str">
        <f>IF(AND(data[[#This Row],[Age]]&gt;=18,data[[#This Row],[Age]]&lt;=24),"18-24",IF(AND(data[[#This Row],[Age]]&gt;=25,data[[#This Row],[Age]]&lt;=34),"25-34",IF(AND(data[[#This Row],[Age]]&gt;35,data[[#This Row],[Age]]&lt;=44),"35-44",IF(data[[#This Row],[Age]]&gt;44,"45+",IF(data[[#This Row],[Age]]&lt;18,"below 18 ")))))</f>
        <v>25-34</v>
      </c>
    </row>
    <row r="324" spans="1:31" x14ac:dyDescent="0.25">
      <c r="A324" t="s">
        <v>377</v>
      </c>
      <c r="B324">
        <v>24</v>
      </c>
      <c r="C324" t="s">
        <v>47</v>
      </c>
      <c r="D324" t="s">
        <v>39</v>
      </c>
      <c r="E324" t="s">
        <v>58</v>
      </c>
      <c r="F324" t="s">
        <v>59</v>
      </c>
      <c r="G324">
        <v>6</v>
      </c>
      <c r="H324">
        <v>4</v>
      </c>
      <c r="I324">
        <v>3</v>
      </c>
      <c r="J324" t="s">
        <v>35</v>
      </c>
      <c r="K324" t="s">
        <v>36</v>
      </c>
      <c r="L324">
        <v>5</v>
      </c>
      <c r="M324">
        <v>2.4</v>
      </c>
      <c r="N324">
        <v>5.9</v>
      </c>
      <c r="O324">
        <v>4.2</v>
      </c>
      <c r="P324">
        <v>9.4</v>
      </c>
      <c r="Q324" t="s">
        <v>42</v>
      </c>
      <c r="R324" t="s">
        <v>35</v>
      </c>
      <c r="S324">
        <v>4.3</v>
      </c>
      <c r="T324">
        <v>5.2</v>
      </c>
      <c r="V324">
        <v>6.4</v>
      </c>
      <c r="W324">
        <v>6.5</v>
      </c>
      <c r="X324">
        <v>4.7</v>
      </c>
      <c r="Y324">
        <v>2.2999999999999998</v>
      </c>
      <c r="Z324">
        <v>7.1</v>
      </c>
      <c r="AA324">
        <v>4.8</v>
      </c>
      <c r="AB324">
        <v>1.3</v>
      </c>
      <c r="AC324">
        <v>8.5</v>
      </c>
      <c r="AD324" t="s">
        <v>37</v>
      </c>
      <c r="AE324" t="str">
        <f>IF(AND(data[[#This Row],[Age]]&gt;=18,data[[#This Row],[Age]]&lt;=24),"18-24",IF(AND(data[[#This Row],[Age]]&gt;=25,data[[#This Row],[Age]]&lt;=34),"25-34",IF(AND(data[[#This Row],[Age]]&gt;35,data[[#This Row],[Age]]&lt;=44),"35-44",IF(data[[#This Row],[Age]]&gt;44,"45+",IF(data[[#This Row],[Age]]&lt;18,"below 18 ")))))</f>
        <v>18-24</v>
      </c>
    </row>
    <row r="325" spans="1:31" x14ac:dyDescent="0.25">
      <c r="A325" t="s">
        <v>378</v>
      </c>
      <c r="B325">
        <v>28</v>
      </c>
      <c r="C325" t="s">
        <v>50</v>
      </c>
      <c r="D325" t="s">
        <v>32</v>
      </c>
      <c r="E325" t="s">
        <v>40</v>
      </c>
      <c r="F325" t="s">
        <v>51</v>
      </c>
      <c r="G325">
        <v>10.6</v>
      </c>
      <c r="H325">
        <v>5</v>
      </c>
      <c r="I325">
        <v>2</v>
      </c>
      <c r="J325" t="s">
        <v>42</v>
      </c>
      <c r="K325" t="s">
        <v>36</v>
      </c>
      <c r="L325">
        <v>12</v>
      </c>
      <c r="M325">
        <v>7.3</v>
      </c>
      <c r="N325">
        <v>6.3</v>
      </c>
      <c r="O325">
        <v>2.6</v>
      </c>
      <c r="P325">
        <v>6.9</v>
      </c>
      <c r="Q325" t="s">
        <v>35</v>
      </c>
      <c r="R325" t="s">
        <v>35</v>
      </c>
      <c r="S325">
        <v>3.7</v>
      </c>
      <c r="T325">
        <v>2.2999999999999998</v>
      </c>
      <c r="U325">
        <v>5.2</v>
      </c>
      <c r="V325">
        <v>6</v>
      </c>
      <c r="W325">
        <v>7.3</v>
      </c>
      <c r="X325">
        <v>5.2</v>
      </c>
      <c r="Y325">
        <v>4.8</v>
      </c>
      <c r="Z325">
        <v>2.5</v>
      </c>
      <c r="AA325">
        <v>2.5</v>
      </c>
      <c r="AB325">
        <v>4.9000000000000004</v>
      </c>
      <c r="AC325">
        <v>5.9</v>
      </c>
      <c r="AD325" t="s">
        <v>45</v>
      </c>
      <c r="AE325" t="str">
        <f>IF(AND(data[[#This Row],[Age]]&gt;=18,data[[#This Row],[Age]]&lt;=24),"18-24",IF(AND(data[[#This Row],[Age]]&gt;=25,data[[#This Row],[Age]]&lt;=34),"25-34",IF(AND(data[[#This Row],[Age]]&gt;35,data[[#This Row],[Age]]&lt;=44),"35-44",IF(data[[#This Row],[Age]]&gt;44,"45+",IF(data[[#This Row],[Age]]&lt;18,"below 18 ")))))</f>
        <v>25-34</v>
      </c>
    </row>
    <row r="326" spans="1:31" x14ac:dyDescent="0.25">
      <c r="A326" t="s">
        <v>379</v>
      </c>
      <c r="B326">
        <v>39</v>
      </c>
      <c r="C326" t="s">
        <v>47</v>
      </c>
      <c r="D326" t="s">
        <v>57</v>
      </c>
      <c r="E326" t="s">
        <v>58</v>
      </c>
      <c r="F326" t="s">
        <v>48</v>
      </c>
      <c r="G326">
        <v>6.1</v>
      </c>
      <c r="H326">
        <v>1</v>
      </c>
      <c r="I326">
        <v>6</v>
      </c>
      <c r="J326" t="s">
        <v>35</v>
      </c>
      <c r="K326" t="s">
        <v>36</v>
      </c>
      <c r="L326">
        <v>68</v>
      </c>
      <c r="M326">
        <v>5.6</v>
      </c>
      <c r="N326">
        <v>4.2</v>
      </c>
      <c r="O326">
        <v>6.3</v>
      </c>
      <c r="P326">
        <v>2.7</v>
      </c>
      <c r="Q326" t="s">
        <v>42</v>
      </c>
      <c r="R326" t="s">
        <v>35</v>
      </c>
      <c r="S326">
        <v>4.5</v>
      </c>
      <c r="T326">
        <v>5.9</v>
      </c>
      <c r="U326">
        <v>4.3</v>
      </c>
      <c r="V326">
        <v>5.6</v>
      </c>
      <c r="W326">
        <v>4.7</v>
      </c>
      <c r="X326">
        <v>7.7</v>
      </c>
      <c r="Y326">
        <v>7.3</v>
      </c>
      <c r="Z326">
        <v>7.5</v>
      </c>
      <c r="AA326">
        <v>2</v>
      </c>
      <c r="AB326">
        <v>5.0999999999999996</v>
      </c>
      <c r="AC326">
        <v>7.7</v>
      </c>
      <c r="AD326" t="s">
        <v>37</v>
      </c>
      <c r="AE326" t="str">
        <f>IF(AND(data[[#This Row],[Age]]&gt;=18,data[[#This Row],[Age]]&lt;=24),"18-24",IF(AND(data[[#This Row],[Age]]&gt;=25,data[[#This Row],[Age]]&lt;=34),"25-34",IF(AND(data[[#This Row],[Age]]&gt;35,data[[#This Row],[Age]]&lt;=44),"35-44",IF(data[[#This Row],[Age]]&gt;44,"45+",IF(data[[#This Row],[Age]]&lt;18,"below 18 ")))))</f>
        <v>35-44</v>
      </c>
    </row>
    <row r="327" spans="1:31" x14ac:dyDescent="0.25">
      <c r="A327" t="s">
        <v>380</v>
      </c>
      <c r="B327">
        <v>18</v>
      </c>
      <c r="C327" t="s">
        <v>47</v>
      </c>
      <c r="D327" t="s">
        <v>32</v>
      </c>
      <c r="E327" t="s">
        <v>33</v>
      </c>
      <c r="F327" t="s">
        <v>41</v>
      </c>
      <c r="G327">
        <v>7.3</v>
      </c>
      <c r="H327">
        <v>4</v>
      </c>
      <c r="I327">
        <v>5</v>
      </c>
      <c r="J327" t="s">
        <v>42</v>
      </c>
      <c r="K327" t="s">
        <v>36</v>
      </c>
      <c r="L327">
        <v>23</v>
      </c>
      <c r="M327">
        <v>5.9</v>
      </c>
      <c r="N327">
        <v>6.1</v>
      </c>
      <c r="O327">
        <v>5.6</v>
      </c>
      <c r="P327">
        <v>3.3</v>
      </c>
      <c r="Q327" t="s">
        <v>35</v>
      </c>
      <c r="R327" t="s">
        <v>42</v>
      </c>
      <c r="S327">
        <v>4.0999999999999996</v>
      </c>
      <c r="T327">
        <v>6.4</v>
      </c>
      <c r="U327">
        <v>0.9</v>
      </c>
      <c r="V327">
        <v>1.5</v>
      </c>
      <c r="X327">
        <v>6.8</v>
      </c>
      <c r="Y327">
        <v>4.7</v>
      </c>
      <c r="Z327">
        <v>3.6</v>
      </c>
      <c r="AA327">
        <v>5.9</v>
      </c>
      <c r="AB327">
        <v>5.8</v>
      </c>
      <c r="AC327">
        <v>4.5999999999999996</v>
      </c>
      <c r="AD327" t="s">
        <v>43</v>
      </c>
      <c r="AE327" t="str">
        <f>IF(AND(data[[#This Row],[Age]]&gt;=18,data[[#This Row],[Age]]&lt;=24),"18-24",IF(AND(data[[#This Row],[Age]]&gt;=25,data[[#This Row],[Age]]&lt;=34),"25-34",IF(AND(data[[#This Row],[Age]]&gt;35,data[[#This Row],[Age]]&lt;=44),"35-44",IF(data[[#This Row],[Age]]&gt;44,"45+",IF(data[[#This Row],[Age]]&lt;18,"below 18 ")))))</f>
        <v>18-24</v>
      </c>
    </row>
    <row r="328" spans="1:31" x14ac:dyDescent="0.25">
      <c r="A328" t="s">
        <v>381</v>
      </c>
      <c r="B328">
        <v>22</v>
      </c>
      <c r="C328" t="s">
        <v>31</v>
      </c>
      <c r="D328" t="s">
        <v>32</v>
      </c>
      <c r="F328" t="s">
        <v>59</v>
      </c>
      <c r="G328">
        <v>2.8</v>
      </c>
      <c r="H328">
        <v>2</v>
      </c>
      <c r="I328">
        <v>8</v>
      </c>
      <c r="J328" t="s">
        <v>35</v>
      </c>
      <c r="K328" t="s">
        <v>36</v>
      </c>
      <c r="L328">
        <v>92</v>
      </c>
      <c r="M328">
        <v>5.5</v>
      </c>
      <c r="N328">
        <v>4.3</v>
      </c>
      <c r="O328">
        <v>3.5</v>
      </c>
      <c r="P328">
        <v>5.7</v>
      </c>
      <c r="Q328" t="s">
        <v>35</v>
      </c>
      <c r="R328" t="s">
        <v>42</v>
      </c>
      <c r="S328">
        <v>4.8</v>
      </c>
      <c r="T328">
        <v>4.4000000000000004</v>
      </c>
      <c r="U328">
        <v>0</v>
      </c>
      <c r="V328">
        <v>5.0999999999999996</v>
      </c>
      <c r="W328">
        <v>7.6</v>
      </c>
      <c r="X328">
        <v>7.9</v>
      </c>
      <c r="Y328">
        <v>3.2</v>
      </c>
      <c r="Z328">
        <v>4.0999999999999996</v>
      </c>
      <c r="AA328">
        <v>1.5</v>
      </c>
      <c r="AB328">
        <v>2.7</v>
      </c>
      <c r="AC328">
        <v>8</v>
      </c>
      <c r="AD328" t="s">
        <v>37</v>
      </c>
      <c r="AE328" t="str">
        <f>IF(AND(data[[#This Row],[Age]]&gt;=18,data[[#This Row],[Age]]&lt;=24),"18-24",IF(AND(data[[#This Row],[Age]]&gt;=25,data[[#This Row],[Age]]&lt;=34),"25-34",IF(AND(data[[#This Row],[Age]]&gt;35,data[[#This Row],[Age]]&lt;=44),"35-44",IF(data[[#This Row],[Age]]&gt;44,"45+",IF(data[[#This Row],[Age]]&lt;18,"below 18 ")))))</f>
        <v>18-24</v>
      </c>
    </row>
    <row r="329" spans="1:31" x14ac:dyDescent="0.25">
      <c r="A329" t="s">
        <v>382</v>
      </c>
      <c r="B329">
        <v>32</v>
      </c>
      <c r="C329" t="s">
        <v>31</v>
      </c>
      <c r="D329" t="s">
        <v>39</v>
      </c>
      <c r="E329" t="s">
        <v>40</v>
      </c>
      <c r="F329" t="s">
        <v>41</v>
      </c>
      <c r="G329">
        <v>5.5</v>
      </c>
      <c r="H329">
        <v>2</v>
      </c>
      <c r="I329">
        <v>1</v>
      </c>
      <c r="J329" t="s">
        <v>42</v>
      </c>
      <c r="K329" t="s">
        <v>36</v>
      </c>
      <c r="L329">
        <v>5</v>
      </c>
      <c r="M329">
        <v>1.2</v>
      </c>
      <c r="N329">
        <v>2.2999999999999998</v>
      </c>
      <c r="O329">
        <v>7.4</v>
      </c>
      <c r="P329">
        <v>6.2</v>
      </c>
      <c r="Q329" t="s">
        <v>35</v>
      </c>
      <c r="R329" t="s">
        <v>35</v>
      </c>
      <c r="S329">
        <v>4.0999999999999996</v>
      </c>
      <c r="T329">
        <v>3.9</v>
      </c>
      <c r="U329">
        <v>3.5</v>
      </c>
      <c r="V329">
        <v>6.3</v>
      </c>
      <c r="W329">
        <v>8.6</v>
      </c>
      <c r="X329">
        <v>6.6</v>
      </c>
      <c r="Y329">
        <v>0.8</v>
      </c>
      <c r="Z329">
        <v>5.6</v>
      </c>
      <c r="AA329">
        <v>1.9</v>
      </c>
      <c r="AB329">
        <v>3.6</v>
      </c>
      <c r="AC329">
        <v>8.3000000000000007</v>
      </c>
      <c r="AD329" t="s">
        <v>37</v>
      </c>
      <c r="AE329" t="str">
        <f>IF(AND(data[[#This Row],[Age]]&gt;=18,data[[#This Row],[Age]]&lt;=24),"18-24",IF(AND(data[[#This Row],[Age]]&gt;=25,data[[#This Row],[Age]]&lt;=34),"25-34",IF(AND(data[[#This Row],[Age]]&gt;35,data[[#This Row],[Age]]&lt;=44),"35-44",IF(data[[#This Row],[Age]]&gt;44,"45+",IF(data[[#This Row],[Age]]&lt;18,"below 18 ")))))</f>
        <v>25-34</v>
      </c>
    </row>
    <row r="330" spans="1:31" x14ac:dyDescent="0.25">
      <c r="A330" t="s">
        <v>383</v>
      </c>
      <c r="B330">
        <v>25</v>
      </c>
      <c r="C330" t="s">
        <v>31</v>
      </c>
      <c r="D330" t="s">
        <v>39</v>
      </c>
      <c r="E330" t="s">
        <v>33</v>
      </c>
      <c r="F330" t="s">
        <v>59</v>
      </c>
      <c r="G330">
        <v>6.5</v>
      </c>
      <c r="H330">
        <v>5</v>
      </c>
      <c r="I330">
        <v>4</v>
      </c>
      <c r="J330" t="s">
        <v>42</v>
      </c>
      <c r="K330" t="s">
        <v>62</v>
      </c>
      <c r="L330">
        <v>57</v>
      </c>
      <c r="M330">
        <v>3.5</v>
      </c>
      <c r="N330">
        <v>5.4</v>
      </c>
      <c r="O330">
        <v>8.1</v>
      </c>
      <c r="P330">
        <v>3.2</v>
      </c>
      <c r="Q330" t="s">
        <v>42</v>
      </c>
      <c r="R330" t="s">
        <v>35</v>
      </c>
      <c r="S330">
        <v>3.6</v>
      </c>
      <c r="T330">
        <v>3.8</v>
      </c>
      <c r="U330">
        <v>0</v>
      </c>
      <c r="V330">
        <v>6.8</v>
      </c>
      <c r="W330">
        <v>2.5</v>
      </c>
      <c r="X330">
        <v>7.3</v>
      </c>
      <c r="Y330">
        <v>5.7</v>
      </c>
      <c r="Z330">
        <v>3.6</v>
      </c>
      <c r="AA330">
        <v>3.2</v>
      </c>
      <c r="AB330">
        <v>0</v>
      </c>
      <c r="AC330">
        <v>6.9</v>
      </c>
      <c r="AD330" t="s">
        <v>37</v>
      </c>
      <c r="AE330" t="str">
        <f>IF(AND(data[[#This Row],[Age]]&gt;=18,data[[#This Row],[Age]]&lt;=24),"18-24",IF(AND(data[[#This Row],[Age]]&gt;=25,data[[#This Row],[Age]]&lt;=34),"25-34",IF(AND(data[[#This Row],[Age]]&gt;35,data[[#This Row],[Age]]&lt;=44),"35-44",IF(data[[#This Row],[Age]]&gt;44,"45+",IF(data[[#This Row],[Age]]&lt;18,"below 18 ")))))</f>
        <v>25-34</v>
      </c>
    </row>
    <row r="331" spans="1:31" x14ac:dyDescent="0.25">
      <c r="A331" t="s">
        <v>384</v>
      </c>
      <c r="B331">
        <v>15</v>
      </c>
      <c r="C331" t="s">
        <v>47</v>
      </c>
      <c r="D331" t="s">
        <v>32</v>
      </c>
      <c r="E331" t="s">
        <v>58</v>
      </c>
      <c r="F331" t="s">
        <v>51</v>
      </c>
      <c r="G331">
        <v>6.5</v>
      </c>
      <c r="H331">
        <v>4</v>
      </c>
      <c r="I331">
        <v>6</v>
      </c>
      <c r="J331" t="s">
        <v>35</v>
      </c>
      <c r="K331" t="s">
        <v>52</v>
      </c>
      <c r="L331">
        <v>106</v>
      </c>
      <c r="M331">
        <v>5.6</v>
      </c>
      <c r="N331">
        <v>5.2</v>
      </c>
      <c r="O331">
        <v>2.7</v>
      </c>
      <c r="P331">
        <v>5.2</v>
      </c>
      <c r="Q331" t="s">
        <v>35</v>
      </c>
      <c r="R331" t="s">
        <v>35</v>
      </c>
      <c r="S331">
        <v>10</v>
      </c>
      <c r="T331">
        <v>4.5999999999999996</v>
      </c>
      <c r="U331">
        <v>8.3000000000000007</v>
      </c>
      <c r="V331">
        <v>5.4</v>
      </c>
      <c r="W331">
        <v>4.8</v>
      </c>
      <c r="X331">
        <v>7.8</v>
      </c>
      <c r="Y331">
        <v>3.3</v>
      </c>
      <c r="Z331">
        <v>5.4</v>
      </c>
      <c r="AB331">
        <v>3.6</v>
      </c>
      <c r="AC331">
        <v>6.7</v>
      </c>
      <c r="AD331" t="s">
        <v>53</v>
      </c>
      <c r="AE331" t="str">
        <f>IF(AND(data[[#This Row],[Age]]&gt;=18,data[[#This Row],[Age]]&lt;=24),"18-24",IF(AND(data[[#This Row],[Age]]&gt;=25,data[[#This Row],[Age]]&lt;=34),"25-34",IF(AND(data[[#This Row],[Age]]&gt;35,data[[#This Row],[Age]]&lt;=44),"35-44",IF(data[[#This Row],[Age]]&gt;44,"45+",IF(data[[#This Row],[Age]]&lt;18,"below 18 ")))))</f>
        <v xml:space="preserve">below 18 </v>
      </c>
    </row>
    <row r="332" spans="1:31" x14ac:dyDescent="0.25">
      <c r="A332" t="s">
        <v>385</v>
      </c>
      <c r="B332">
        <v>16</v>
      </c>
      <c r="C332" t="s">
        <v>47</v>
      </c>
      <c r="D332" t="s">
        <v>32</v>
      </c>
      <c r="E332" t="s">
        <v>33</v>
      </c>
      <c r="F332" t="s">
        <v>51</v>
      </c>
      <c r="G332">
        <v>3.6</v>
      </c>
      <c r="H332">
        <v>2</v>
      </c>
      <c r="I332">
        <v>3</v>
      </c>
      <c r="J332" t="s">
        <v>42</v>
      </c>
      <c r="K332" t="s">
        <v>36</v>
      </c>
      <c r="L332">
        <v>42</v>
      </c>
      <c r="M332">
        <v>3</v>
      </c>
      <c r="N332">
        <v>3.2</v>
      </c>
      <c r="O332">
        <v>5</v>
      </c>
      <c r="P332">
        <v>3.2</v>
      </c>
      <c r="Q332" t="s">
        <v>42</v>
      </c>
      <c r="R332" t="s">
        <v>42</v>
      </c>
      <c r="S332">
        <v>4.5</v>
      </c>
      <c r="T332">
        <v>1.2</v>
      </c>
      <c r="U332">
        <v>2.7</v>
      </c>
      <c r="V332">
        <v>5.9</v>
      </c>
      <c r="W332">
        <v>3.5</v>
      </c>
      <c r="X332">
        <v>6.8</v>
      </c>
      <c r="AA332">
        <v>3.3</v>
      </c>
      <c r="AB332">
        <v>3.8</v>
      </c>
      <c r="AC332">
        <v>6.2</v>
      </c>
      <c r="AD332" t="s">
        <v>53</v>
      </c>
      <c r="AE332" t="str">
        <f>IF(AND(data[[#This Row],[Age]]&gt;=18,data[[#This Row],[Age]]&lt;=24),"18-24",IF(AND(data[[#This Row],[Age]]&gt;=25,data[[#This Row],[Age]]&lt;=34),"25-34",IF(AND(data[[#This Row],[Age]]&gt;35,data[[#This Row],[Age]]&lt;=44),"35-44",IF(data[[#This Row],[Age]]&gt;44,"45+",IF(data[[#This Row],[Age]]&lt;18,"below 18 ")))))</f>
        <v xml:space="preserve">below 18 </v>
      </c>
    </row>
    <row r="333" spans="1:31" x14ac:dyDescent="0.25">
      <c r="A333" t="s">
        <v>386</v>
      </c>
      <c r="B333">
        <v>26</v>
      </c>
      <c r="C333" t="s">
        <v>31</v>
      </c>
      <c r="D333" t="s">
        <v>32</v>
      </c>
      <c r="E333" t="s">
        <v>33</v>
      </c>
      <c r="F333" t="s">
        <v>34</v>
      </c>
      <c r="G333">
        <v>4.4000000000000004</v>
      </c>
      <c r="H333">
        <v>3</v>
      </c>
      <c r="I333">
        <v>3</v>
      </c>
      <c r="J333" t="s">
        <v>35</v>
      </c>
      <c r="K333" t="s">
        <v>36</v>
      </c>
      <c r="L333">
        <v>87</v>
      </c>
      <c r="M333">
        <v>4.9000000000000004</v>
      </c>
      <c r="N333">
        <v>3.5</v>
      </c>
      <c r="O333">
        <v>6.1</v>
      </c>
      <c r="P333">
        <v>9</v>
      </c>
      <c r="Q333" t="s">
        <v>42</v>
      </c>
      <c r="R333" t="s">
        <v>42</v>
      </c>
      <c r="S333">
        <v>0</v>
      </c>
      <c r="T333">
        <v>3.9</v>
      </c>
      <c r="U333">
        <v>1.9</v>
      </c>
      <c r="V333">
        <v>7.6</v>
      </c>
      <c r="W333">
        <v>8.1999999999999993</v>
      </c>
      <c r="X333">
        <v>7</v>
      </c>
      <c r="Y333">
        <v>4.5999999999999996</v>
      </c>
      <c r="Z333">
        <v>5.4</v>
      </c>
      <c r="AA333">
        <v>1.2</v>
      </c>
      <c r="AB333">
        <v>4.0999999999999996</v>
      </c>
      <c r="AC333">
        <v>8.3000000000000007</v>
      </c>
      <c r="AD333" t="s">
        <v>53</v>
      </c>
      <c r="AE333" t="str">
        <f>IF(AND(data[[#This Row],[Age]]&gt;=18,data[[#This Row],[Age]]&lt;=24),"18-24",IF(AND(data[[#This Row],[Age]]&gt;=25,data[[#This Row],[Age]]&lt;=34),"25-34",IF(AND(data[[#This Row],[Age]]&gt;35,data[[#This Row],[Age]]&lt;=44),"35-44",IF(data[[#This Row],[Age]]&gt;44,"45+",IF(data[[#This Row],[Age]]&lt;18,"below 18 ")))))</f>
        <v>25-34</v>
      </c>
    </row>
    <row r="334" spans="1:31" x14ac:dyDescent="0.25">
      <c r="A334" t="s">
        <v>387</v>
      </c>
      <c r="B334">
        <v>42</v>
      </c>
      <c r="C334" t="s">
        <v>31</v>
      </c>
      <c r="D334" t="s">
        <v>39</v>
      </c>
      <c r="E334" t="s">
        <v>40</v>
      </c>
      <c r="F334" t="s">
        <v>34</v>
      </c>
      <c r="H334">
        <v>1</v>
      </c>
      <c r="I334">
        <v>2</v>
      </c>
      <c r="J334" t="s">
        <v>35</v>
      </c>
      <c r="K334" t="s">
        <v>52</v>
      </c>
      <c r="L334">
        <v>40</v>
      </c>
      <c r="M334">
        <v>4.2</v>
      </c>
      <c r="N334">
        <v>4.3</v>
      </c>
      <c r="O334">
        <v>4.3</v>
      </c>
      <c r="P334">
        <v>7</v>
      </c>
      <c r="Q334" t="s">
        <v>35</v>
      </c>
      <c r="R334" t="s">
        <v>35</v>
      </c>
      <c r="S334">
        <v>3.7</v>
      </c>
      <c r="T334">
        <v>1.8</v>
      </c>
      <c r="U334">
        <v>3.8</v>
      </c>
      <c r="V334">
        <v>2.8</v>
      </c>
      <c r="W334">
        <v>4.4000000000000004</v>
      </c>
      <c r="X334">
        <v>4.8</v>
      </c>
      <c r="Y334">
        <v>5.6</v>
      </c>
      <c r="AA334">
        <v>3.5</v>
      </c>
      <c r="AB334">
        <v>3.8</v>
      </c>
      <c r="AC334">
        <v>8.4</v>
      </c>
      <c r="AD334" t="s">
        <v>37</v>
      </c>
      <c r="AE334" t="str">
        <f>IF(AND(data[[#This Row],[Age]]&gt;=18,data[[#This Row],[Age]]&lt;=24),"18-24",IF(AND(data[[#This Row],[Age]]&gt;=25,data[[#This Row],[Age]]&lt;=34),"25-34",IF(AND(data[[#This Row],[Age]]&gt;35,data[[#This Row],[Age]]&lt;=44),"35-44",IF(data[[#This Row],[Age]]&gt;44,"45+",IF(data[[#This Row],[Age]]&lt;18,"below 18 ")))))</f>
        <v>35-44</v>
      </c>
    </row>
    <row r="335" spans="1:31" x14ac:dyDescent="0.25">
      <c r="A335" t="s">
        <v>388</v>
      </c>
      <c r="B335">
        <v>19</v>
      </c>
      <c r="C335" t="s">
        <v>31</v>
      </c>
      <c r="D335" t="s">
        <v>39</v>
      </c>
      <c r="E335" t="s">
        <v>58</v>
      </c>
      <c r="F335" t="s">
        <v>41</v>
      </c>
      <c r="G335">
        <v>5.2</v>
      </c>
      <c r="H335">
        <v>5</v>
      </c>
      <c r="I335">
        <v>3</v>
      </c>
      <c r="J335" t="s">
        <v>42</v>
      </c>
      <c r="K335" t="s">
        <v>62</v>
      </c>
      <c r="L335">
        <v>5</v>
      </c>
      <c r="M335">
        <v>6.6</v>
      </c>
      <c r="N335">
        <v>1.5</v>
      </c>
      <c r="O335">
        <v>6</v>
      </c>
      <c r="P335">
        <v>5</v>
      </c>
      <c r="Q335" t="s">
        <v>42</v>
      </c>
      <c r="R335" t="s">
        <v>42</v>
      </c>
      <c r="S335">
        <v>3.8</v>
      </c>
      <c r="T335">
        <v>5.9</v>
      </c>
      <c r="U335">
        <v>5.3</v>
      </c>
      <c r="W335">
        <v>4.8</v>
      </c>
      <c r="X335">
        <v>5.8</v>
      </c>
      <c r="Y335">
        <v>10</v>
      </c>
      <c r="Z335">
        <v>3.5</v>
      </c>
      <c r="AA335">
        <v>5.8</v>
      </c>
      <c r="AB335">
        <v>2.7</v>
      </c>
      <c r="AC335">
        <v>6.2</v>
      </c>
      <c r="AD335" t="s">
        <v>53</v>
      </c>
      <c r="AE335" t="str">
        <f>IF(AND(data[[#This Row],[Age]]&gt;=18,data[[#This Row],[Age]]&lt;=24),"18-24",IF(AND(data[[#This Row],[Age]]&gt;=25,data[[#This Row],[Age]]&lt;=34),"25-34",IF(AND(data[[#This Row],[Age]]&gt;35,data[[#This Row],[Age]]&lt;=44),"35-44",IF(data[[#This Row],[Age]]&gt;44,"45+",IF(data[[#This Row],[Age]]&lt;18,"below 18 ")))))</f>
        <v>18-24</v>
      </c>
    </row>
    <row r="336" spans="1:31" x14ac:dyDescent="0.25">
      <c r="A336" t="s">
        <v>389</v>
      </c>
      <c r="B336">
        <v>21</v>
      </c>
      <c r="C336" t="s">
        <v>47</v>
      </c>
      <c r="D336" t="s">
        <v>64</v>
      </c>
      <c r="E336" t="s">
        <v>40</v>
      </c>
      <c r="F336" t="s">
        <v>34</v>
      </c>
      <c r="G336">
        <v>2.2999999999999998</v>
      </c>
      <c r="H336">
        <v>4</v>
      </c>
      <c r="I336">
        <v>3</v>
      </c>
      <c r="J336" t="s">
        <v>35</v>
      </c>
      <c r="K336" t="s">
        <v>52</v>
      </c>
      <c r="L336">
        <v>55</v>
      </c>
      <c r="M336">
        <v>7.2</v>
      </c>
      <c r="N336">
        <v>5.9</v>
      </c>
      <c r="O336">
        <v>4</v>
      </c>
      <c r="P336">
        <v>7.1</v>
      </c>
      <c r="Q336" t="s">
        <v>42</v>
      </c>
      <c r="R336" t="s">
        <v>42</v>
      </c>
      <c r="S336">
        <v>7.7</v>
      </c>
      <c r="T336">
        <v>3.1</v>
      </c>
      <c r="U336">
        <v>0.9</v>
      </c>
      <c r="V336">
        <v>6.9</v>
      </c>
      <c r="X336">
        <v>8.4</v>
      </c>
      <c r="Y336">
        <v>3.2</v>
      </c>
      <c r="AA336">
        <v>5</v>
      </c>
      <c r="AB336">
        <v>7</v>
      </c>
      <c r="AC336">
        <v>6.4</v>
      </c>
      <c r="AD336" t="s">
        <v>53</v>
      </c>
      <c r="AE336" t="str">
        <f>IF(AND(data[[#This Row],[Age]]&gt;=18,data[[#This Row],[Age]]&lt;=24),"18-24",IF(AND(data[[#This Row],[Age]]&gt;=25,data[[#This Row],[Age]]&lt;=34),"25-34",IF(AND(data[[#This Row],[Age]]&gt;35,data[[#This Row],[Age]]&lt;=44),"35-44",IF(data[[#This Row],[Age]]&gt;44,"45+",IF(data[[#This Row],[Age]]&lt;18,"below 18 ")))))</f>
        <v>18-24</v>
      </c>
    </row>
    <row r="337" spans="1:31" x14ac:dyDescent="0.25">
      <c r="A337" t="s">
        <v>390</v>
      </c>
      <c r="B337">
        <v>44</v>
      </c>
      <c r="C337" t="s">
        <v>31</v>
      </c>
      <c r="D337" t="s">
        <v>39</v>
      </c>
      <c r="E337" t="s">
        <v>40</v>
      </c>
      <c r="F337" t="s">
        <v>51</v>
      </c>
      <c r="G337">
        <v>6.6</v>
      </c>
      <c r="H337">
        <v>1</v>
      </c>
      <c r="I337">
        <v>6</v>
      </c>
      <c r="J337" t="s">
        <v>35</v>
      </c>
      <c r="K337" t="s">
        <v>52</v>
      </c>
      <c r="L337">
        <v>74</v>
      </c>
      <c r="M337">
        <v>3.9</v>
      </c>
      <c r="N337">
        <v>6</v>
      </c>
      <c r="O337">
        <v>3.4</v>
      </c>
      <c r="P337">
        <v>4.7</v>
      </c>
      <c r="Q337" t="s">
        <v>35</v>
      </c>
      <c r="R337" t="s">
        <v>35</v>
      </c>
      <c r="T337">
        <v>5.2</v>
      </c>
      <c r="U337">
        <v>4.5</v>
      </c>
      <c r="V337">
        <v>1.4</v>
      </c>
      <c r="W337">
        <v>7</v>
      </c>
      <c r="X337">
        <v>5.4</v>
      </c>
      <c r="Y337">
        <v>6.5</v>
      </c>
      <c r="Z337">
        <v>2.6</v>
      </c>
      <c r="AA337">
        <v>0.7</v>
      </c>
      <c r="AB337">
        <v>3.7</v>
      </c>
      <c r="AC337">
        <v>7.1</v>
      </c>
      <c r="AD337" t="s">
        <v>53</v>
      </c>
      <c r="AE337" t="str">
        <f>IF(AND(data[[#This Row],[Age]]&gt;=18,data[[#This Row],[Age]]&lt;=24),"18-24",IF(AND(data[[#This Row],[Age]]&gt;=25,data[[#This Row],[Age]]&lt;=34),"25-34",IF(AND(data[[#This Row],[Age]]&gt;35,data[[#This Row],[Age]]&lt;=44),"35-44",IF(data[[#This Row],[Age]]&gt;44,"45+",IF(data[[#This Row],[Age]]&lt;18,"below 18 ")))))</f>
        <v>35-44</v>
      </c>
    </row>
    <row r="338" spans="1:31" x14ac:dyDescent="0.25">
      <c r="A338" t="s">
        <v>391</v>
      </c>
      <c r="B338">
        <v>42</v>
      </c>
      <c r="C338" t="s">
        <v>31</v>
      </c>
      <c r="D338" t="s">
        <v>57</v>
      </c>
      <c r="E338" t="s">
        <v>58</v>
      </c>
      <c r="F338" t="s">
        <v>51</v>
      </c>
      <c r="G338">
        <v>5.0999999999999996</v>
      </c>
      <c r="H338">
        <v>3</v>
      </c>
      <c r="I338">
        <v>4</v>
      </c>
      <c r="J338" t="s">
        <v>42</v>
      </c>
      <c r="K338" t="s">
        <v>62</v>
      </c>
      <c r="L338">
        <v>51</v>
      </c>
      <c r="N338">
        <v>5.9</v>
      </c>
      <c r="O338">
        <v>5.2</v>
      </c>
      <c r="P338">
        <v>1.7</v>
      </c>
      <c r="Q338" t="s">
        <v>35</v>
      </c>
      <c r="R338" t="s">
        <v>35</v>
      </c>
      <c r="S338">
        <v>6.7</v>
      </c>
      <c r="T338">
        <v>6.1</v>
      </c>
      <c r="U338">
        <v>5.9</v>
      </c>
      <c r="V338">
        <v>8.9</v>
      </c>
      <c r="W338">
        <v>6.4</v>
      </c>
      <c r="X338">
        <v>10</v>
      </c>
      <c r="Y338">
        <v>5.4</v>
      </c>
      <c r="Z338">
        <v>7.4</v>
      </c>
      <c r="AA338">
        <v>2.5</v>
      </c>
      <c r="AB338">
        <v>3.9</v>
      </c>
      <c r="AC338">
        <v>8.6</v>
      </c>
      <c r="AD338" t="s">
        <v>37</v>
      </c>
      <c r="AE338" t="str">
        <f>IF(AND(data[[#This Row],[Age]]&gt;=18,data[[#This Row],[Age]]&lt;=24),"18-24",IF(AND(data[[#This Row],[Age]]&gt;=25,data[[#This Row],[Age]]&lt;=34),"25-34",IF(AND(data[[#This Row],[Age]]&gt;35,data[[#This Row],[Age]]&lt;=44),"35-44",IF(data[[#This Row],[Age]]&gt;44,"45+",IF(data[[#This Row],[Age]]&lt;18,"below 18 ")))))</f>
        <v>35-44</v>
      </c>
    </row>
    <row r="339" spans="1:31" x14ac:dyDescent="0.25">
      <c r="A339" t="s">
        <v>392</v>
      </c>
      <c r="B339">
        <v>32</v>
      </c>
      <c r="C339" t="s">
        <v>31</v>
      </c>
      <c r="D339" t="s">
        <v>39</v>
      </c>
      <c r="E339" t="s">
        <v>58</v>
      </c>
      <c r="F339" t="s">
        <v>41</v>
      </c>
      <c r="H339">
        <v>2</v>
      </c>
      <c r="I339">
        <v>6</v>
      </c>
      <c r="J339" t="s">
        <v>42</v>
      </c>
      <c r="K339" t="s">
        <v>36</v>
      </c>
      <c r="L339">
        <v>76</v>
      </c>
      <c r="M339">
        <v>8.5</v>
      </c>
      <c r="N339">
        <v>8.8000000000000007</v>
      </c>
      <c r="O339">
        <v>4</v>
      </c>
      <c r="P339">
        <v>3.8</v>
      </c>
      <c r="Q339" t="s">
        <v>42</v>
      </c>
      <c r="R339" t="s">
        <v>35</v>
      </c>
      <c r="S339">
        <v>3.4</v>
      </c>
      <c r="T339">
        <v>1.9</v>
      </c>
      <c r="U339">
        <v>1.6</v>
      </c>
      <c r="V339">
        <v>5.8</v>
      </c>
      <c r="W339">
        <v>4.2</v>
      </c>
      <c r="X339">
        <v>4.9000000000000004</v>
      </c>
      <c r="Y339">
        <v>7.5</v>
      </c>
      <c r="Z339">
        <v>4.7</v>
      </c>
      <c r="AA339">
        <v>3.2</v>
      </c>
      <c r="AB339">
        <v>3.2</v>
      </c>
      <c r="AC339">
        <v>5.4</v>
      </c>
      <c r="AD339" t="s">
        <v>43</v>
      </c>
      <c r="AE339" t="str">
        <f>IF(AND(data[[#This Row],[Age]]&gt;=18,data[[#This Row],[Age]]&lt;=24),"18-24",IF(AND(data[[#This Row],[Age]]&gt;=25,data[[#This Row],[Age]]&lt;=34),"25-34",IF(AND(data[[#This Row],[Age]]&gt;35,data[[#This Row],[Age]]&lt;=44),"35-44",IF(data[[#This Row],[Age]]&gt;44,"45+",IF(data[[#This Row],[Age]]&lt;18,"below 18 ")))))</f>
        <v>25-34</v>
      </c>
    </row>
    <row r="340" spans="1:31" x14ac:dyDescent="0.25">
      <c r="A340" t="s">
        <v>393</v>
      </c>
      <c r="B340">
        <v>44</v>
      </c>
      <c r="C340" t="s">
        <v>31</v>
      </c>
      <c r="D340" t="s">
        <v>32</v>
      </c>
      <c r="E340" t="s">
        <v>58</v>
      </c>
      <c r="F340" t="s">
        <v>70</v>
      </c>
      <c r="G340">
        <v>5.8</v>
      </c>
      <c r="H340">
        <v>1</v>
      </c>
      <c r="I340">
        <v>3</v>
      </c>
      <c r="J340" t="s">
        <v>35</v>
      </c>
      <c r="K340" t="s">
        <v>62</v>
      </c>
      <c r="L340">
        <v>30</v>
      </c>
      <c r="N340">
        <v>4.9000000000000004</v>
      </c>
      <c r="O340">
        <v>3.1</v>
      </c>
      <c r="P340">
        <v>8.3000000000000007</v>
      </c>
      <c r="Q340" t="s">
        <v>35</v>
      </c>
      <c r="R340" t="s">
        <v>42</v>
      </c>
      <c r="S340">
        <v>5.4</v>
      </c>
      <c r="T340">
        <v>3.3</v>
      </c>
      <c r="U340">
        <v>4.9000000000000004</v>
      </c>
      <c r="V340">
        <v>5.9</v>
      </c>
      <c r="Y340">
        <v>9.1</v>
      </c>
      <c r="Z340">
        <v>4.5</v>
      </c>
      <c r="AA340">
        <v>5.0999999999999996</v>
      </c>
      <c r="AB340">
        <v>3.5</v>
      </c>
      <c r="AC340">
        <v>6.3</v>
      </c>
      <c r="AD340" t="s">
        <v>53</v>
      </c>
      <c r="AE340" t="str">
        <f>IF(AND(data[[#This Row],[Age]]&gt;=18,data[[#This Row],[Age]]&lt;=24),"18-24",IF(AND(data[[#This Row],[Age]]&gt;=25,data[[#This Row],[Age]]&lt;=34),"25-34",IF(AND(data[[#This Row],[Age]]&gt;35,data[[#This Row],[Age]]&lt;=44),"35-44",IF(data[[#This Row],[Age]]&gt;44,"45+",IF(data[[#This Row],[Age]]&lt;18,"below 18 ")))))</f>
        <v>35-44</v>
      </c>
    </row>
    <row r="341" spans="1:31" x14ac:dyDescent="0.25">
      <c r="A341" t="s">
        <v>394</v>
      </c>
      <c r="B341">
        <v>29</v>
      </c>
      <c r="C341" t="s">
        <v>47</v>
      </c>
      <c r="D341" t="s">
        <v>32</v>
      </c>
      <c r="E341" t="s">
        <v>40</v>
      </c>
      <c r="F341" t="s">
        <v>59</v>
      </c>
      <c r="G341">
        <v>5.5</v>
      </c>
      <c r="H341">
        <v>1</v>
      </c>
      <c r="I341">
        <v>1</v>
      </c>
      <c r="J341" t="s">
        <v>42</v>
      </c>
      <c r="K341" t="s">
        <v>62</v>
      </c>
      <c r="L341">
        <v>62</v>
      </c>
      <c r="M341">
        <v>5.0999999999999996</v>
      </c>
      <c r="N341">
        <v>4.2</v>
      </c>
      <c r="P341">
        <v>9.1</v>
      </c>
      <c r="Q341" t="s">
        <v>35</v>
      </c>
      <c r="R341" t="s">
        <v>35</v>
      </c>
      <c r="T341">
        <v>5</v>
      </c>
      <c r="U341">
        <v>1.7</v>
      </c>
      <c r="V341">
        <v>5</v>
      </c>
      <c r="W341">
        <v>4.7</v>
      </c>
      <c r="X341">
        <v>8</v>
      </c>
      <c r="Y341">
        <v>6.5</v>
      </c>
      <c r="Z341">
        <v>5.9</v>
      </c>
      <c r="AA341">
        <v>7.6</v>
      </c>
      <c r="AB341">
        <v>2.2000000000000002</v>
      </c>
      <c r="AC341">
        <v>7.5</v>
      </c>
      <c r="AD341" t="s">
        <v>37</v>
      </c>
      <c r="AE341" t="str">
        <f>IF(AND(data[[#This Row],[Age]]&gt;=18,data[[#This Row],[Age]]&lt;=24),"18-24",IF(AND(data[[#This Row],[Age]]&gt;=25,data[[#This Row],[Age]]&lt;=34),"25-34",IF(AND(data[[#This Row],[Age]]&gt;35,data[[#This Row],[Age]]&lt;=44),"35-44",IF(data[[#This Row],[Age]]&gt;44,"45+",IF(data[[#This Row],[Age]]&lt;18,"below 18 ")))))</f>
        <v>25-34</v>
      </c>
    </row>
    <row r="342" spans="1:31" x14ac:dyDescent="0.25">
      <c r="A342" t="s">
        <v>395</v>
      </c>
      <c r="B342">
        <v>27</v>
      </c>
      <c r="C342" t="s">
        <v>47</v>
      </c>
      <c r="D342" t="s">
        <v>32</v>
      </c>
      <c r="E342" t="s">
        <v>58</v>
      </c>
      <c r="F342" t="s">
        <v>41</v>
      </c>
      <c r="G342">
        <v>6.2</v>
      </c>
      <c r="H342">
        <v>5</v>
      </c>
      <c r="I342">
        <v>7</v>
      </c>
      <c r="J342" t="s">
        <v>42</v>
      </c>
      <c r="K342" t="s">
        <v>52</v>
      </c>
      <c r="L342">
        <v>45</v>
      </c>
      <c r="M342">
        <v>7.6</v>
      </c>
      <c r="N342">
        <v>5.7</v>
      </c>
      <c r="O342">
        <v>9.1999999999999993</v>
      </c>
      <c r="P342">
        <v>4.5</v>
      </c>
      <c r="Q342" t="s">
        <v>35</v>
      </c>
      <c r="R342" t="s">
        <v>35</v>
      </c>
      <c r="S342">
        <v>4.5999999999999996</v>
      </c>
      <c r="T342">
        <v>7.6</v>
      </c>
      <c r="U342">
        <v>6.6</v>
      </c>
      <c r="W342">
        <v>7.5</v>
      </c>
      <c r="X342">
        <v>5.6</v>
      </c>
      <c r="Y342">
        <v>5.9</v>
      </c>
      <c r="Z342">
        <v>3.4</v>
      </c>
      <c r="AA342">
        <v>1.4</v>
      </c>
      <c r="AB342">
        <v>1.5</v>
      </c>
      <c r="AC342">
        <v>4.5999999999999996</v>
      </c>
      <c r="AD342" t="s">
        <v>43</v>
      </c>
      <c r="AE342" t="str">
        <f>IF(AND(data[[#This Row],[Age]]&gt;=18,data[[#This Row],[Age]]&lt;=24),"18-24",IF(AND(data[[#This Row],[Age]]&gt;=25,data[[#This Row],[Age]]&lt;=34),"25-34",IF(AND(data[[#This Row],[Age]]&gt;35,data[[#This Row],[Age]]&lt;=44),"35-44",IF(data[[#This Row],[Age]]&gt;44,"45+",IF(data[[#This Row],[Age]]&lt;18,"below 18 ")))))</f>
        <v>25-34</v>
      </c>
    </row>
    <row r="343" spans="1:31" x14ac:dyDescent="0.25">
      <c r="A343" t="s">
        <v>396</v>
      </c>
      <c r="B343">
        <v>26</v>
      </c>
      <c r="C343" t="s">
        <v>47</v>
      </c>
      <c r="D343" t="s">
        <v>64</v>
      </c>
      <c r="E343" t="s">
        <v>58</v>
      </c>
      <c r="F343" t="s">
        <v>48</v>
      </c>
      <c r="G343">
        <v>4.7</v>
      </c>
      <c r="H343">
        <v>1</v>
      </c>
      <c r="I343">
        <v>1</v>
      </c>
      <c r="J343" t="s">
        <v>42</v>
      </c>
      <c r="K343" t="s">
        <v>62</v>
      </c>
      <c r="L343">
        <v>68</v>
      </c>
      <c r="M343">
        <v>10</v>
      </c>
      <c r="N343">
        <v>5.4</v>
      </c>
      <c r="O343">
        <v>4.5999999999999996</v>
      </c>
      <c r="P343">
        <v>3.3</v>
      </c>
      <c r="Q343" t="s">
        <v>42</v>
      </c>
      <c r="R343" t="s">
        <v>42</v>
      </c>
      <c r="S343">
        <v>0</v>
      </c>
      <c r="T343">
        <v>4.9000000000000004</v>
      </c>
      <c r="U343">
        <v>2.8</v>
      </c>
      <c r="V343">
        <v>8.3000000000000007</v>
      </c>
      <c r="W343">
        <v>8.1</v>
      </c>
      <c r="X343">
        <v>6.4</v>
      </c>
      <c r="Y343">
        <v>3.9</v>
      </c>
      <c r="Z343">
        <v>1.7</v>
      </c>
      <c r="AA343">
        <v>5.4</v>
      </c>
      <c r="AB343">
        <v>3.6</v>
      </c>
      <c r="AC343">
        <v>7.1</v>
      </c>
      <c r="AD343" t="s">
        <v>53</v>
      </c>
      <c r="AE343" t="str">
        <f>IF(AND(data[[#This Row],[Age]]&gt;=18,data[[#This Row],[Age]]&lt;=24),"18-24",IF(AND(data[[#This Row],[Age]]&gt;=25,data[[#This Row],[Age]]&lt;=34),"25-34",IF(AND(data[[#This Row],[Age]]&gt;35,data[[#This Row],[Age]]&lt;=44),"35-44",IF(data[[#This Row],[Age]]&gt;44,"45+",IF(data[[#This Row],[Age]]&lt;18,"below 18 ")))))</f>
        <v>25-34</v>
      </c>
    </row>
    <row r="344" spans="1:31" x14ac:dyDescent="0.25">
      <c r="A344" t="s">
        <v>397</v>
      </c>
      <c r="B344">
        <v>27</v>
      </c>
      <c r="C344" t="s">
        <v>50</v>
      </c>
      <c r="D344" t="s">
        <v>32</v>
      </c>
      <c r="E344" t="s">
        <v>33</v>
      </c>
      <c r="F344" t="s">
        <v>70</v>
      </c>
      <c r="G344">
        <v>1.1000000000000001</v>
      </c>
      <c r="H344">
        <v>6</v>
      </c>
      <c r="I344">
        <v>3</v>
      </c>
      <c r="J344" t="s">
        <v>35</v>
      </c>
      <c r="K344" t="s">
        <v>52</v>
      </c>
      <c r="L344">
        <v>61</v>
      </c>
      <c r="M344">
        <v>3.3</v>
      </c>
      <c r="N344">
        <v>7.4</v>
      </c>
      <c r="O344">
        <v>4.0999999999999996</v>
      </c>
      <c r="P344">
        <v>7</v>
      </c>
      <c r="Q344" t="s">
        <v>42</v>
      </c>
      <c r="R344" t="s">
        <v>35</v>
      </c>
      <c r="S344">
        <v>2.7</v>
      </c>
      <c r="T344">
        <v>5.0999999999999996</v>
      </c>
      <c r="U344">
        <v>3.8</v>
      </c>
      <c r="V344">
        <v>5.9</v>
      </c>
      <c r="W344">
        <v>4.5999999999999996</v>
      </c>
      <c r="X344">
        <v>7.8</v>
      </c>
      <c r="Y344">
        <v>7.3</v>
      </c>
      <c r="Z344">
        <v>8.6</v>
      </c>
      <c r="AA344">
        <v>5.5</v>
      </c>
      <c r="AB344">
        <v>2.9</v>
      </c>
      <c r="AC344">
        <v>8.1999999999999993</v>
      </c>
      <c r="AD344" t="s">
        <v>37</v>
      </c>
      <c r="AE344" t="str">
        <f>IF(AND(data[[#This Row],[Age]]&gt;=18,data[[#This Row],[Age]]&lt;=24),"18-24",IF(AND(data[[#This Row],[Age]]&gt;=25,data[[#This Row],[Age]]&lt;=34),"25-34",IF(AND(data[[#This Row],[Age]]&gt;35,data[[#This Row],[Age]]&lt;=44),"35-44",IF(data[[#This Row],[Age]]&gt;44,"45+",IF(data[[#This Row],[Age]]&lt;18,"below 18 ")))))</f>
        <v>25-34</v>
      </c>
    </row>
    <row r="345" spans="1:31" x14ac:dyDescent="0.25">
      <c r="A345" t="s">
        <v>398</v>
      </c>
      <c r="B345">
        <v>31</v>
      </c>
      <c r="C345" t="s">
        <v>47</v>
      </c>
      <c r="D345" t="s">
        <v>64</v>
      </c>
      <c r="E345" t="s">
        <v>40</v>
      </c>
      <c r="F345" t="s">
        <v>34</v>
      </c>
      <c r="G345">
        <v>7.2</v>
      </c>
      <c r="H345">
        <v>4</v>
      </c>
      <c r="I345">
        <v>5</v>
      </c>
      <c r="K345" t="s">
        <v>52</v>
      </c>
      <c r="L345">
        <v>19</v>
      </c>
      <c r="M345">
        <v>3.3</v>
      </c>
      <c r="N345">
        <v>6</v>
      </c>
      <c r="O345">
        <v>3</v>
      </c>
      <c r="P345">
        <v>7.2</v>
      </c>
      <c r="Q345" t="s">
        <v>42</v>
      </c>
      <c r="R345" t="s">
        <v>42</v>
      </c>
      <c r="S345">
        <v>6.7</v>
      </c>
      <c r="T345">
        <v>4.3</v>
      </c>
      <c r="U345">
        <v>3</v>
      </c>
      <c r="V345">
        <v>3.1</v>
      </c>
      <c r="W345">
        <v>2.2000000000000002</v>
      </c>
      <c r="X345">
        <v>7.7</v>
      </c>
      <c r="Y345">
        <v>3.3</v>
      </c>
      <c r="Z345">
        <v>6.6</v>
      </c>
      <c r="AA345">
        <v>2.4</v>
      </c>
      <c r="AB345">
        <v>2.8</v>
      </c>
      <c r="AC345">
        <v>5.4</v>
      </c>
      <c r="AD345" t="s">
        <v>45</v>
      </c>
      <c r="AE345" t="str">
        <f>IF(AND(data[[#This Row],[Age]]&gt;=18,data[[#This Row],[Age]]&lt;=24),"18-24",IF(AND(data[[#This Row],[Age]]&gt;=25,data[[#This Row],[Age]]&lt;=34),"25-34",IF(AND(data[[#This Row],[Age]]&gt;35,data[[#This Row],[Age]]&lt;=44),"35-44",IF(data[[#This Row],[Age]]&gt;44,"45+",IF(data[[#This Row],[Age]]&lt;18,"below 18 ")))))</f>
        <v>25-34</v>
      </c>
    </row>
    <row r="346" spans="1:31" x14ac:dyDescent="0.25">
      <c r="A346" t="s">
        <v>399</v>
      </c>
      <c r="B346">
        <v>32</v>
      </c>
      <c r="C346" t="s">
        <v>31</v>
      </c>
      <c r="D346" t="s">
        <v>39</v>
      </c>
      <c r="E346" t="s">
        <v>58</v>
      </c>
      <c r="F346" t="s">
        <v>51</v>
      </c>
      <c r="G346">
        <v>3</v>
      </c>
      <c r="H346">
        <v>4</v>
      </c>
      <c r="I346">
        <v>6</v>
      </c>
      <c r="J346" t="s">
        <v>35</v>
      </c>
      <c r="K346" t="s">
        <v>62</v>
      </c>
      <c r="L346">
        <v>41</v>
      </c>
      <c r="M346">
        <v>0.7</v>
      </c>
      <c r="N346">
        <v>9.6999999999999993</v>
      </c>
      <c r="O346">
        <v>3.3</v>
      </c>
      <c r="P346">
        <v>8.6</v>
      </c>
      <c r="Q346" t="s">
        <v>42</v>
      </c>
      <c r="R346" t="s">
        <v>42</v>
      </c>
      <c r="S346">
        <v>3.9</v>
      </c>
      <c r="T346">
        <v>3.5</v>
      </c>
      <c r="U346">
        <v>0.8</v>
      </c>
      <c r="V346">
        <v>6.8</v>
      </c>
      <c r="W346">
        <v>6.6</v>
      </c>
      <c r="X346">
        <v>7.1</v>
      </c>
      <c r="Y346">
        <v>2.7</v>
      </c>
      <c r="Z346">
        <v>3</v>
      </c>
      <c r="AA346">
        <v>3.5</v>
      </c>
      <c r="AB346">
        <v>0</v>
      </c>
      <c r="AC346">
        <v>7.4</v>
      </c>
      <c r="AD346" t="s">
        <v>37</v>
      </c>
      <c r="AE346" t="str">
        <f>IF(AND(data[[#This Row],[Age]]&gt;=18,data[[#This Row],[Age]]&lt;=24),"18-24",IF(AND(data[[#This Row],[Age]]&gt;=25,data[[#This Row],[Age]]&lt;=34),"25-34",IF(AND(data[[#This Row],[Age]]&gt;35,data[[#This Row],[Age]]&lt;=44),"35-44",IF(data[[#This Row],[Age]]&gt;44,"45+",IF(data[[#This Row],[Age]]&lt;18,"below 18 ")))))</f>
        <v>25-34</v>
      </c>
    </row>
    <row r="347" spans="1:31" x14ac:dyDescent="0.25">
      <c r="A347" t="s">
        <v>400</v>
      </c>
      <c r="B347">
        <v>41</v>
      </c>
      <c r="C347" t="s">
        <v>31</v>
      </c>
      <c r="D347" t="s">
        <v>39</v>
      </c>
      <c r="E347" t="s">
        <v>33</v>
      </c>
      <c r="F347" t="s">
        <v>59</v>
      </c>
      <c r="G347">
        <v>6.5</v>
      </c>
      <c r="H347">
        <v>8</v>
      </c>
      <c r="I347">
        <v>3</v>
      </c>
      <c r="J347" t="s">
        <v>42</v>
      </c>
      <c r="K347" t="s">
        <v>36</v>
      </c>
      <c r="L347">
        <v>79</v>
      </c>
      <c r="M347">
        <v>4.3</v>
      </c>
      <c r="N347">
        <v>3.2</v>
      </c>
      <c r="O347">
        <v>3.7</v>
      </c>
      <c r="P347">
        <v>5.6</v>
      </c>
      <c r="Q347" t="s">
        <v>42</v>
      </c>
      <c r="R347" t="s">
        <v>42</v>
      </c>
      <c r="S347">
        <v>2.4</v>
      </c>
      <c r="T347">
        <v>6.6</v>
      </c>
      <c r="U347">
        <v>8.8000000000000007</v>
      </c>
      <c r="V347">
        <v>3.3</v>
      </c>
      <c r="W347">
        <v>5.8</v>
      </c>
      <c r="X347">
        <v>6.2</v>
      </c>
      <c r="Y347">
        <v>8.1999999999999993</v>
      </c>
      <c r="Z347">
        <v>6</v>
      </c>
      <c r="AB347">
        <v>1.7</v>
      </c>
      <c r="AC347">
        <v>4.8</v>
      </c>
      <c r="AD347" t="s">
        <v>43</v>
      </c>
      <c r="AE347" t="str">
        <f>IF(AND(data[[#This Row],[Age]]&gt;=18,data[[#This Row],[Age]]&lt;=24),"18-24",IF(AND(data[[#This Row],[Age]]&gt;=25,data[[#This Row],[Age]]&lt;=34),"25-34",IF(AND(data[[#This Row],[Age]]&gt;35,data[[#This Row],[Age]]&lt;=44),"35-44",IF(data[[#This Row],[Age]]&gt;44,"45+",IF(data[[#This Row],[Age]]&lt;18,"below 18 ")))))</f>
        <v>35-44</v>
      </c>
    </row>
    <row r="348" spans="1:31" x14ac:dyDescent="0.25">
      <c r="A348" t="s">
        <v>401</v>
      </c>
      <c r="B348">
        <v>41</v>
      </c>
      <c r="C348" t="s">
        <v>31</v>
      </c>
      <c r="D348" t="s">
        <v>39</v>
      </c>
      <c r="E348" t="s">
        <v>33</v>
      </c>
      <c r="F348" t="s">
        <v>34</v>
      </c>
      <c r="G348">
        <v>5.7</v>
      </c>
      <c r="H348">
        <v>2</v>
      </c>
      <c r="I348">
        <v>4</v>
      </c>
      <c r="J348" t="s">
        <v>35</v>
      </c>
      <c r="K348" t="s">
        <v>52</v>
      </c>
      <c r="L348">
        <v>82</v>
      </c>
      <c r="M348">
        <v>7.7</v>
      </c>
      <c r="N348">
        <v>6.1</v>
      </c>
      <c r="O348">
        <v>2.8</v>
      </c>
      <c r="P348">
        <v>5.3</v>
      </c>
      <c r="Q348" t="s">
        <v>35</v>
      </c>
      <c r="R348" t="s">
        <v>42</v>
      </c>
      <c r="S348">
        <v>5.2</v>
      </c>
      <c r="T348">
        <v>3.2</v>
      </c>
      <c r="U348">
        <v>5.4</v>
      </c>
      <c r="V348">
        <v>4.3</v>
      </c>
      <c r="W348">
        <v>0.7</v>
      </c>
      <c r="X348">
        <v>7.2</v>
      </c>
      <c r="Y348">
        <v>4.0999999999999996</v>
      </c>
      <c r="Z348">
        <v>4.4000000000000004</v>
      </c>
      <c r="AA348">
        <v>4.7</v>
      </c>
      <c r="AB348">
        <v>2.1</v>
      </c>
      <c r="AC348">
        <v>4.9000000000000004</v>
      </c>
      <c r="AD348" t="s">
        <v>43</v>
      </c>
      <c r="AE348" t="str">
        <f>IF(AND(data[[#This Row],[Age]]&gt;=18,data[[#This Row],[Age]]&lt;=24),"18-24",IF(AND(data[[#This Row],[Age]]&gt;=25,data[[#This Row],[Age]]&lt;=34),"25-34",IF(AND(data[[#This Row],[Age]]&gt;35,data[[#This Row],[Age]]&lt;=44),"35-44",IF(data[[#This Row],[Age]]&gt;44,"45+",IF(data[[#This Row],[Age]]&lt;18,"below 18 ")))))</f>
        <v>35-44</v>
      </c>
    </row>
    <row r="349" spans="1:31" x14ac:dyDescent="0.25">
      <c r="A349" t="s">
        <v>402</v>
      </c>
      <c r="B349">
        <v>15</v>
      </c>
      <c r="C349" t="s">
        <v>31</v>
      </c>
      <c r="D349" t="s">
        <v>39</v>
      </c>
      <c r="E349" t="s">
        <v>33</v>
      </c>
      <c r="F349" t="s">
        <v>51</v>
      </c>
      <c r="G349">
        <v>5.3</v>
      </c>
      <c r="H349">
        <v>3</v>
      </c>
      <c r="I349">
        <v>4</v>
      </c>
      <c r="J349" t="s">
        <v>42</v>
      </c>
      <c r="K349" t="s">
        <v>62</v>
      </c>
      <c r="L349">
        <v>15</v>
      </c>
      <c r="M349">
        <v>9.3000000000000007</v>
      </c>
      <c r="N349">
        <v>3.3</v>
      </c>
      <c r="O349">
        <v>4.4000000000000004</v>
      </c>
      <c r="P349">
        <v>6.4</v>
      </c>
      <c r="Q349" t="s">
        <v>35</v>
      </c>
      <c r="R349" t="s">
        <v>35</v>
      </c>
      <c r="S349">
        <v>8.5</v>
      </c>
      <c r="T349">
        <v>3.3</v>
      </c>
      <c r="U349">
        <v>7.1</v>
      </c>
      <c r="V349">
        <v>4</v>
      </c>
      <c r="W349">
        <v>1.9</v>
      </c>
      <c r="X349">
        <v>5.3</v>
      </c>
      <c r="Y349">
        <v>2.8</v>
      </c>
      <c r="Z349">
        <v>3.7</v>
      </c>
      <c r="AA349">
        <v>3.6</v>
      </c>
      <c r="AB349">
        <v>1.7</v>
      </c>
      <c r="AC349">
        <v>5.0999999999999996</v>
      </c>
      <c r="AD349" t="s">
        <v>43</v>
      </c>
      <c r="AE349" t="str">
        <f>IF(AND(data[[#This Row],[Age]]&gt;=18,data[[#This Row],[Age]]&lt;=24),"18-24",IF(AND(data[[#This Row],[Age]]&gt;=25,data[[#This Row],[Age]]&lt;=34),"25-34",IF(AND(data[[#This Row],[Age]]&gt;35,data[[#This Row],[Age]]&lt;=44),"35-44",IF(data[[#This Row],[Age]]&gt;44,"45+",IF(data[[#This Row],[Age]]&lt;18,"below 18 ")))))</f>
        <v xml:space="preserve">below 18 </v>
      </c>
    </row>
    <row r="350" spans="1:31" x14ac:dyDescent="0.25">
      <c r="A350" t="s">
        <v>403</v>
      </c>
      <c r="B350">
        <v>43</v>
      </c>
      <c r="C350" t="s">
        <v>47</v>
      </c>
      <c r="D350" t="s">
        <v>32</v>
      </c>
      <c r="E350" t="s">
        <v>58</v>
      </c>
      <c r="F350" t="s">
        <v>41</v>
      </c>
      <c r="G350">
        <v>4.9000000000000004</v>
      </c>
      <c r="H350">
        <v>3</v>
      </c>
      <c r="I350">
        <v>4</v>
      </c>
      <c r="J350" t="s">
        <v>42</v>
      </c>
      <c r="K350" t="s">
        <v>52</v>
      </c>
      <c r="L350">
        <v>77</v>
      </c>
      <c r="M350">
        <v>7.7</v>
      </c>
      <c r="N350">
        <v>5.6</v>
      </c>
      <c r="O350">
        <v>7.1</v>
      </c>
      <c r="P350">
        <v>5</v>
      </c>
      <c r="Q350" t="s">
        <v>42</v>
      </c>
      <c r="R350" t="s">
        <v>35</v>
      </c>
      <c r="S350">
        <v>5.0999999999999996</v>
      </c>
      <c r="T350">
        <v>4.7</v>
      </c>
      <c r="U350">
        <v>6</v>
      </c>
      <c r="V350">
        <v>8.5</v>
      </c>
      <c r="W350">
        <v>3.9</v>
      </c>
      <c r="X350">
        <v>7.1</v>
      </c>
      <c r="Y350">
        <v>3</v>
      </c>
      <c r="Z350">
        <v>1.6</v>
      </c>
      <c r="AA350">
        <v>4.9000000000000004</v>
      </c>
      <c r="AB350">
        <v>0</v>
      </c>
      <c r="AC350">
        <v>5.7</v>
      </c>
      <c r="AD350" t="s">
        <v>43</v>
      </c>
      <c r="AE350" t="str">
        <f>IF(AND(data[[#This Row],[Age]]&gt;=18,data[[#This Row],[Age]]&lt;=24),"18-24",IF(AND(data[[#This Row],[Age]]&gt;=25,data[[#This Row],[Age]]&lt;=34),"25-34",IF(AND(data[[#This Row],[Age]]&gt;35,data[[#This Row],[Age]]&lt;=44),"35-44",IF(data[[#This Row],[Age]]&gt;44,"45+",IF(data[[#This Row],[Age]]&lt;18,"below 18 ")))))</f>
        <v>35-44</v>
      </c>
    </row>
    <row r="351" spans="1:31" x14ac:dyDescent="0.25">
      <c r="A351" t="s">
        <v>404</v>
      </c>
      <c r="B351">
        <v>26</v>
      </c>
      <c r="C351" t="s">
        <v>47</v>
      </c>
      <c r="D351" t="s">
        <v>32</v>
      </c>
      <c r="E351" t="s">
        <v>33</v>
      </c>
      <c r="F351" t="s">
        <v>34</v>
      </c>
      <c r="G351">
        <v>5.0999999999999996</v>
      </c>
      <c r="H351">
        <v>5</v>
      </c>
      <c r="I351">
        <v>0</v>
      </c>
      <c r="J351" t="s">
        <v>42</v>
      </c>
      <c r="K351" t="s">
        <v>62</v>
      </c>
      <c r="L351">
        <v>40</v>
      </c>
      <c r="M351">
        <v>6.3</v>
      </c>
      <c r="N351">
        <v>5.4</v>
      </c>
      <c r="O351">
        <v>3.5</v>
      </c>
      <c r="P351">
        <v>5</v>
      </c>
      <c r="Q351" t="s">
        <v>42</v>
      </c>
      <c r="R351" t="s">
        <v>35</v>
      </c>
      <c r="S351">
        <v>6.3</v>
      </c>
      <c r="T351">
        <v>1.1000000000000001</v>
      </c>
      <c r="U351">
        <v>1.6</v>
      </c>
      <c r="V351">
        <v>4.5</v>
      </c>
      <c r="W351">
        <v>2.5</v>
      </c>
      <c r="X351">
        <v>3.8</v>
      </c>
      <c r="Y351">
        <v>5.7</v>
      </c>
      <c r="Z351">
        <v>1.8</v>
      </c>
      <c r="AA351">
        <v>1.8</v>
      </c>
      <c r="AB351">
        <v>4.4000000000000004</v>
      </c>
      <c r="AC351">
        <v>6.3</v>
      </c>
      <c r="AD351" t="s">
        <v>45</v>
      </c>
      <c r="AE351" t="str">
        <f>IF(AND(data[[#This Row],[Age]]&gt;=18,data[[#This Row],[Age]]&lt;=24),"18-24",IF(AND(data[[#This Row],[Age]]&gt;=25,data[[#This Row],[Age]]&lt;=34),"25-34",IF(AND(data[[#This Row],[Age]]&gt;35,data[[#This Row],[Age]]&lt;=44),"35-44",IF(data[[#This Row],[Age]]&gt;44,"45+",IF(data[[#This Row],[Age]]&lt;18,"below 18 ")))))</f>
        <v>25-34</v>
      </c>
    </row>
    <row r="352" spans="1:31" x14ac:dyDescent="0.25">
      <c r="A352" t="s">
        <v>405</v>
      </c>
      <c r="B352">
        <v>16</v>
      </c>
      <c r="C352" t="s">
        <v>31</v>
      </c>
      <c r="D352" t="s">
        <v>32</v>
      </c>
      <c r="E352" t="s">
        <v>40</v>
      </c>
      <c r="F352" t="s">
        <v>70</v>
      </c>
      <c r="G352">
        <v>4.9000000000000004</v>
      </c>
      <c r="H352">
        <v>2</v>
      </c>
      <c r="I352">
        <v>7</v>
      </c>
      <c r="J352" t="s">
        <v>35</v>
      </c>
      <c r="K352" t="s">
        <v>36</v>
      </c>
      <c r="L352">
        <v>79</v>
      </c>
      <c r="M352">
        <v>6.9</v>
      </c>
      <c r="N352">
        <v>6</v>
      </c>
      <c r="O352">
        <v>0.9</v>
      </c>
      <c r="P352">
        <v>8.6</v>
      </c>
      <c r="Q352" t="s">
        <v>35</v>
      </c>
      <c r="R352" t="s">
        <v>42</v>
      </c>
      <c r="S352">
        <v>4.5999999999999996</v>
      </c>
      <c r="T352">
        <v>4.5999999999999996</v>
      </c>
      <c r="U352">
        <v>8</v>
      </c>
      <c r="V352">
        <v>4.4000000000000004</v>
      </c>
      <c r="W352">
        <v>4</v>
      </c>
      <c r="X352">
        <v>8.6999999999999993</v>
      </c>
      <c r="Y352">
        <v>5.0999999999999996</v>
      </c>
      <c r="Z352">
        <v>5</v>
      </c>
      <c r="AA352">
        <v>4.0999999999999996</v>
      </c>
      <c r="AB352">
        <v>7.4</v>
      </c>
      <c r="AC352">
        <v>5.7</v>
      </c>
      <c r="AD352" t="s">
        <v>45</v>
      </c>
      <c r="AE352" t="str">
        <f>IF(AND(data[[#This Row],[Age]]&gt;=18,data[[#This Row],[Age]]&lt;=24),"18-24",IF(AND(data[[#This Row],[Age]]&gt;=25,data[[#This Row],[Age]]&lt;=34),"25-34",IF(AND(data[[#This Row],[Age]]&gt;35,data[[#This Row],[Age]]&lt;=44),"35-44",IF(data[[#This Row],[Age]]&gt;44,"45+",IF(data[[#This Row],[Age]]&lt;18,"below 18 ")))))</f>
        <v xml:space="preserve">below 18 </v>
      </c>
    </row>
    <row r="353" spans="1:31" x14ac:dyDescent="0.25">
      <c r="A353" t="s">
        <v>406</v>
      </c>
      <c r="B353">
        <v>23</v>
      </c>
      <c r="C353" t="s">
        <v>50</v>
      </c>
      <c r="D353" t="s">
        <v>32</v>
      </c>
      <c r="E353" t="s">
        <v>40</v>
      </c>
      <c r="F353" t="s">
        <v>48</v>
      </c>
      <c r="G353">
        <v>4.5999999999999996</v>
      </c>
      <c r="H353">
        <v>4</v>
      </c>
      <c r="I353">
        <v>2</v>
      </c>
      <c r="J353" t="s">
        <v>35</v>
      </c>
      <c r="K353" t="s">
        <v>62</v>
      </c>
      <c r="L353">
        <v>38</v>
      </c>
      <c r="M353">
        <v>3.1</v>
      </c>
      <c r="N353">
        <v>6.2</v>
      </c>
      <c r="O353">
        <v>4.0999999999999996</v>
      </c>
      <c r="P353">
        <v>7.8</v>
      </c>
      <c r="Q353" t="s">
        <v>35</v>
      </c>
      <c r="R353" t="s">
        <v>42</v>
      </c>
      <c r="S353">
        <v>4.7</v>
      </c>
      <c r="T353">
        <v>5.6</v>
      </c>
      <c r="U353">
        <v>3.4</v>
      </c>
      <c r="V353">
        <v>7.3</v>
      </c>
      <c r="W353">
        <v>6.3</v>
      </c>
      <c r="X353">
        <v>4.8</v>
      </c>
      <c r="Y353">
        <v>1.3</v>
      </c>
      <c r="AA353">
        <v>4.0999999999999996</v>
      </c>
      <c r="AB353">
        <v>3.6</v>
      </c>
      <c r="AC353">
        <v>8.1</v>
      </c>
      <c r="AD353" t="s">
        <v>37</v>
      </c>
      <c r="AE353" t="str">
        <f>IF(AND(data[[#This Row],[Age]]&gt;=18,data[[#This Row],[Age]]&lt;=24),"18-24",IF(AND(data[[#This Row],[Age]]&gt;=25,data[[#This Row],[Age]]&lt;=34),"25-34",IF(AND(data[[#This Row],[Age]]&gt;35,data[[#This Row],[Age]]&lt;=44),"35-44",IF(data[[#This Row],[Age]]&gt;44,"45+",IF(data[[#This Row],[Age]]&lt;18,"below 18 ")))))</f>
        <v>18-24</v>
      </c>
    </row>
    <row r="354" spans="1:31" x14ac:dyDescent="0.25">
      <c r="A354" t="s">
        <v>407</v>
      </c>
      <c r="B354">
        <v>35</v>
      </c>
      <c r="C354" t="s">
        <v>47</v>
      </c>
      <c r="D354" t="s">
        <v>32</v>
      </c>
      <c r="E354" t="s">
        <v>33</v>
      </c>
      <c r="F354" t="s">
        <v>51</v>
      </c>
      <c r="G354">
        <v>4.3</v>
      </c>
      <c r="H354">
        <v>1</v>
      </c>
      <c r="I354">
        <v>7</v>
      </c>
      <c r="J354" t="s">
        <v>42</v>
      </c>
      <c r="K354" t="s">
        <v>36</v>
      </c>
      <c r="L354">
        <v>31</v>
      </c>
      <c r="M354">
        <v>5.8</v>
      </c>
      <c r="N354">
        <v>5.4</v>
      </c>
      <c r="O354">
        <v>2.8</v>
      </c>
      <c r="P354">
        <v>5.7</v>
      </c>
      <c r="Q354" t="s">
        <v>42</v>
      </c>
      <c r="R354" t="s">
        <v>42</v>
      </c>
      <c r="S354">
        <v>5.5</v>
      </c>
      <c r="U354">
        <v>5.3</v>
      </c>
      <c r="V354">
        <v>6.6</v>
      </c>
      <c r="W354">
        <v>4.9000000000000004</v>
      </c>
      <c r="X354">
        <v>7.4</v>
      </c>
      <c r="Y354">
        <v>10</v>
      </c>
      <c r="Z354">
        <v>3.3</v>
      </c>
      <c r="AB354">
        <v>0</v>
      </c>
      <c r="AC354">
        <v>5.0999999999999996</v>
      </c>
      <c r="AD354" t="s">
        <v>43</v>
      </c>
      <c r="AE354" t="b">
        <f>IF(AND(data[[#This Row],[Age]]&gt;=18,data[[#This Row],[Age]]&lt;=24),"18-24",IF(AND(data[[#This Row],[Age]]&gt;=25,data[[#This Row],[Age]]&lt;=34),"25-34",IF(AND(data[[#This Row],[Age]]&gt;35,data[[#This Row],[Age]]&lt;=44),"35-44",IF(data[[#This Row],[Age]]&gt;44,"45+",IF(data[[#This Row],[Age]]&lt;18,"below 18 ")))))</f>
        <v>0</v>
      </c>
    </row>
    <row r="355" spans="1:31" x14ac:dyDescent="0.25">
      <c r="A355" t="s">
        <v>408</v>
      </c>
      <c r="B355">
        <v>16</v>
      </c>
      <c r="C355" t="s">
        <v>31</v>
      </c>
      <c r="D355" t="s">
        <v>39</v>
      </c>
      <c r="E355" t="s">
        <v>33</v>
      </c>
      <c r="F355" t="s">
        <v>41</v>
      </c>
      <c r="G355">
        <v>5.0999999999999996</v>
      </c>
      <c r="H355">
        <v>2</v>
      </c>
      <c r="I355">
        <v>3</v>
      </c>
      <c r="J355" t="s">
        <v>35</v>
      </c>
      <c r="K355" t="s">
        <v>62</v>
      </c>
      <c r="L355">
        <v>81</v>
      </c>
      <c r="M355">
        <v>5.9</v>
      </c>
      <c r="N355">
        <v>5.0999999999999996</v>
      </c>
      <c r="O355">
        <v>3.4</v>
      </c>
      <c r="P355">
        <v>7.9</v>
      </c>
      <c r="Q355" t="s">
        <v>42</v>
      </c>
      <c r="R355" t="s">
        <v>35</v>
      </c>
      <c r="S355">
        <v>7.2</v>
      </c>
      <c r="T355">
        <v>3.2</v>
      </c>
      <c r="U355">
        <v>4.7</v>
      </c>
      <c r="V355">
        <v>9.6</v>
      </c>
      <c r="W355">
        <v>6.1</v>
      </c>
      <c r="X355">
        <v>7.2</v>
      </c>
      <c r="Y355">
        <v>3.7</v>
      </c>
      <c r="Z355">
        <v>6.7</v>
      </c>
      <c r="AA355">
        <v>6.3</v>
      </c>
      <c r="AB355">
        <v>4.9000000000000004</v>
      </c>
      <c r="AC355">
        <v>8.8000000000000007</v>
      </c>
      <c r="AD355" t="s">
        <v>37</v>
      </c>
      <c r="AE355" t="str">
        <f>IF(AND(data[[#This Row],[Age]]&gt;=18,data[[#This Row],[Age]]&lt;=24),"18-24",IF(AND(data[[#This Row],[Age]]&gt;=25,data[[#This Row],[Age]]&lt;=34),"25-34",IF(AND(data[[#This Row],[Age]]&gt;35,data[[#This Row],[Age]]&lt;=44),"35-44",IF(data[[#This Row],[Age]]&gt;44,"45+",IF(data[[#This Row],[Age]]&lt;18,"below 18 ")))))</f>
        <v xml:space="preserve">below 18 </v>
      </c>
    </row>
    <row r="356" spans="1:31" x14ac:dyDescent="0.25">
      <c r="A356" t="s">
        <v>409</v>
      </c>
      <c r="B356">
        <v>30</v>
      </c>
      <c r="C356" t="s">
        <v>47</v>
      </c>
      <c r="D356" t="s">
        <v>64</v>
      </c>
      <c r="E356" t="s">
        <v>33</v>
      </c>
      <c r="F356" t="s">
        <v>48</v>
      </c>
      <c r="G356">
        <v>5.8</v>
      </c>
      <c r="H356">
        <v>1</v>
      </c>
      <c r="I356">
        <v>2</v>
      </c>
      <c r="J356" t="s">
        <v>42</v>
      </c>
      <c r="K356" t="s">
        <v>36</v>
      </c>
      <c r="L356">
        <v>44</v>
      </c>
      <c r="M356">
        <v>0.5</v>
      </c>
      <c r="N356">
        <v>5.4</v>
      </c>
      <c r="O356">
        <v>7.9</v>
      </c>
      <c r="P356">
        <v>7.7</v>
      </c>
      <c r="Q356" t="s">
        <v>35</v>
      </c>
      <c r="R356" t="s">
        <v>42</v>
      </c>
      <c r="S356">
        <v>3.5</v>
      </c>
      <c r="T356">
        <v>7.9</v>
      </c>
      <c r="U356">
        <v>5.0999999999999996</v>
      </c>
      <c r="V356">
        <v>2.1</v>
      </c>
      <c r="W356">
        <v>2</v>
      </c>
      <c r="X356">
        <v>8.8000000000000007</v>
      </c>
      <c r="Y356">
        <v>4.3</v>
      </c>
      <c r="Z356">
        <v>4.3</v>
      </c>
      <c r="AA356">
        <v>0.5</v>
      </c>
      <c r="AB356">
        <v>6.6</v>
      </c>
      <c r="AC356">
        <v>5.2</v>
      </c>
      <c r="AD356" t="s">
        <v>45</v>
      </c>
      <c r="AE356" t="str">
        <f>IF(AND(data[[#This Row],[Age]]&gt;=18,data[[#This Row],[Age]]&lt;=24),"18-24",IF(AND(data[[#This Row],[Age]]&gt;=25,data[[#This Row],[Age]]&lt;=34),"25-34",IF(AND(data[[#This Row],[Age]]&gt;35,data[[#This Row],[Age]]&lt;=44),"35-44",IF(data[[#This Row],[Age]]&gt;44,"45+",IF(data[[#This Row],[Age]]&lt;18,"below 18 ")))))</f>
        <v>25-34</v>
      </c>
    </row>
    <row r="357" spans="1:31" x14ac:dyDescent="0.25">
      <c r="A357" t="s">
        <v>410</v>
      </c>
      <c r="B357">
        <v>37</v>
      </c>
      <c r="C357" t="s">
        <v>47</v>
      </c>
      <c r="D357" t="s">
        <v>32</v>
      </c>
      <c r="E357" t="s">
        <v>33</v>
      </c>
      <c r="F357" t="s">
        <v>34</v>
      </c>
      <c r="G357">
        <v>3.6</v>
      </c>
      <c r="H357">
        <v>6</v>
      </c>
      <c r="I357">
        <v>6</v>
      </c>
      <c r="J357" t="s">
        <v>42</v>
      </c>
      <c r="K357" t="s">
        <v>36</v>
      </c>
      <c r="L357">
        <v>68</v>
      </c>
      <c r="M357">
        <v>5.4</v>
      </c>
      <c r="N357">
        <v>3.4</v>
      </c>
      <c r="O357">
        <v>3.5</v>
      </c>
      <c r="P357">
        <v>7.9</v>
      </c>
      <c r="Q357" t="s">
        <v>42</v>
      </c>
      <c r="R357" t="s">
        <v>35</v>
      </c>
      <c r="S357">
        <v>3.8</v>
      </c>
      <c r="T357">
        <v>10</v>
      </c>
      <c r="U357">
        <v>1.2</v>
      </c>
      <c r="V357">
        <v>7.4</v>
      </c>
      <c r="W357">
        <v>5</v>
      </c>
      <c r="X357">
        <v>7.3</v>
      </c>
      <c r="Y357">
        <v>10</v>
      </c>
      <c r="Z357">
        <v>9.8000000000000007</v>
      </c>
      <c r="AA357">
        <v>2.4</v>
      </c>
      <c r="AB357">
        <v>1.8</v>
      </c>
      <c r="AC357">
        <v>5.3</v>
      </c>
      <c r="AD357" t="s">
        <v>45</v>
      </c>
      <c r="AE357" t="str">
        <f>IF(AND(data[[#This Row],[Age]]&gt;=18,data[[#This Row],[Age]]&lt;=24),"18-24",IF(AND(data[[#This Row],[Age]]&gt;=25,data[[#This Row],[Age]]&lt;=34),"25-34",IF(AND(data[[#This Row],[Age]]&gt;35,data[[#This Row],[Age]]&lt;=44),"35-44",IF(data[[#This Row],[Age]]&gt;44,"45+",IF(data[[#This Row],[Age]]&lt;18,"below 18 ")))))</f>
        <v>35-44</v>
      </c>
    </row>
    <row r="358" spans="1:31" x14ac:dyDescent="0.25">
      <c r="A358" t="s">
        <v>411</v>
      </c>
      <c r="B358">
        <v>39</v>
      </c>
      <c r="C358" t="s">
        <v>47</v>
      </c>
      <c r="D358" t="s">
        <v>32</v>
      </c>
      <c r="E358" t="s">
        <v>33</v>
      </c>
      <c r="F358" t="s">
        <v>41</v>
      </c>
      <c r="G358">
        <v>5</v>
      </c>
      <c r="H358">
        <v>5</v>
      </c>
      <c r="I358">
        <v>5</v>
      </c>
      <c r="J358" t="s">
        <v>35</v>
      </c>
      <c r="K358" t="s">
        <v>36</v>
      </c>
      <c r="L358">
        <v>32</v>
      </c>
      <c r="M358">
        <v>6.1</v>
      </c>
      <c r="N358">
        <v>5.6</v>
      </c>
      <c r="O358">
        <v>6.4</v>
      </c>
      <c r="P358">
        <v>3.6</v>
      </c>
      <c r="Q358" t="s">
        <v>42</v>
      </c>
      <c r="R358" t="s">
        <v>35</v>
      </c>
      <c r="S358">
        <v>8.9</v>
      </c>
      <c r="T358">
        <v>5.4</v>
      </c>
      <c r="U358">
        <v>0.1</v>
      </c>
      <c r="V358">
        <v>7.5</v>
      </c>
      <c r="W358">
        <v>5.5</v>
      </c>
      <c r="X358">
        <v>8.6999999999999993</v>
      </c>
      <c r="Y358">
        <v>3.2</v>
      </c>
      <c r="AA358">
        <v>2.9</v>
      </c>
      <c r="AB358">
        <v>2.1</v>
      </c>
      <c r="AC358">
        <v>7.5</v>
      </c>
      <c r="AD358" t="s">
        <v>53</v>
      </c>
      <c r="AE358" t="str">
        <f>IF(AND(data[[#This Row],[Age]]&gt;=18,data[[#This Row],[Age]]&lt;=24),"18-24",IF(AND(data[[#This Row],[Age]]&gt;=25,data[[#This Row],[Age]]&lt;=34),"25-34",IF(AND(data[[#This Row],[Age]]&gt;35,data[[#This Row],[Age]]&lt;=44),"35-44",IF(data[[#This Row],[Age]]&gt;44,"45+",IF(data[[#This Row],[Age]]&lt;18,"below 18 ")))))</f>
        <v>35-44</v>
      </c>
    </row>
    <row r="359" spans="1:31" x14ac:dyDescent="0.25">
      <c r="A359" t="s">
        <v>412</v>
      </c>
      <c r="B359">
        <v>36</v>
      </c>
      <c r="C359" t="s">
        <v>50</v>
      </c>
      <c r="D359" t="s">
        <v>57</v>
      </c>
      <c r="F359" t="s">
        <v>51</v>
      </c>
      <c r="G359">
        <v>1.7</v>
      </c>
      <c r="H359">
        <v>1</v>
      </c>
      <c r="I359">
        <v>5</v>
      </c>
      <c r="J359" t="s">
        <v>42</v>
      </c>
      <c r="K359" t="s">
        <v>52</v>
      </c>
      <c r="L359">
        <v>59</v>
      </c>
      <c r="M359">
        <v>6.8</v>
      </c>
      <c r="N359">
        <v>4.4000000000000004</v>
      </c>
      <c r="O359">
        <v>8.1</v>
      </c>
      <c r="P359">
        <v>8.1</v>
      </c>
      <c r="Q359" t="s">
        <v>35</v>
      </c>
      <c r="R359" t="s">
        <v>35</v>
      </c>
      <c r="S359">
        <v>9.1</v>
      </c>
      <c r="T359">
        <v>6</v>
      </c>
      <c r="U359">
        <v>3.1</v>
      </c>
      <c r="V359">
        <v>2.2999999999999998</v>
      </c>
      <c r="W359">
        <v>3</v>
      </c>
      <c r="X359">
        <v>7.3</v>
      </c>
      <c r="Y359">
        <v>7</v>
      </c>
      <c r="Z359">
        <v>4.5</v>
      </c>
      <c r="AA359">
        <v>2.2000000000000002</v>
      </c>
      <c r="AB359">
        <v>3</v>
      </c>
      <c r="AC359">
        <v>4.9000000000000004</v>
      </c>
      <c r="AD359" t="s">
        <v>45</v>
      </c>
      <c r="AE359" t="str">
        <f>IF(AND(data[[#This Row],[Age]]&gt;=18,data[[#This Row],[Age]]&lt;=24),"18-24",IF(AND(data[[#This Row],[Age]]&gt;=25,data[[#This Row],[Age]]&lt;=34),"25-34",IF(AND(data[[#This Row],[Age]]&gt;35,data[[#This Row],[Age]]&lt;=44),"35-44",IF(data[[#This Row],[Age]]&gt;44,"45+",IF(data[[#This Row],[Age]]&lt;18,"below 18 ")))))</f>
        <v>35-44</v>
      </c>
    </row>
    <row r="360" spans="1:31" x14ac:dyDescent="0.25">
      <c r="A360" t="s">
        <v>413</v>
      </c>
      <c r="B360">
        <v>17</v>
      </c>
      <c r="C360" t="s">
        <v>50</v>
      </c>
      <c r="D360" t="s">
        <v>39</v>
      </c>
      <c r="E360" t="s">
        <v>33</v>
      </c>
      <c r="F360" t="s">
        <v>48</v>
      </c>
      <c r="G360">
        <v>2.8</v>
      </c>
      <c r="H360">
        <v>4</v>
      </c>
      <c r="I360">
        <v>1</v>
      </c>
      <c r="J360" t="s">
        <v>35</v>
      </c>
      <c r="K360" t="s">
        <v>52</v>
      </c>
      <c r="L360">
        <v>70</v>
      </c>
      <c r="M360">
        <v>7.1</v>
      </c>
      <c r="N360">
        <v>3.9</v>
      </c>
      <c r="O360">
        <v>5.0999999999999996</v>
      </c>
      <c r="P360">
        <v>3.7</v>
      </c>
      <c r="Q360" t="s">
        <v>35</v>
      </c>
      <c r="R360" t="s">
        <v>35</v>
      </c>
      <c r="S360">
        <v>5.8</v>
      </c>
      <c r="T360">
        <v>8.8000000000000007</v>
      </c>
      <c r="U360">
        <v>7.2</v>
      </c>
      <c r="V360">
        <v>6.4</v>
      </c>
      <c r="W360">
        <v>5.7</v>
      </c>
      <c r="X360">
        <v>4.5</v>
      </c>
      <c r="Y360">
        <v>5.3</v>
      </c>
      <c r="Z360">
        <v>7.2</v>
      </c>
      <c r="AA360">
        <v>2.5</v>
      </c>
      <c r="AB360">
        <v>3.6</v>
      </c>
      <c r="AC360">
        <v>7</v>
      </c>
      <c r="AD360" t="s">
        <v>53</v>
      </c>
      <c r="AE360" t="str">
        <f>IF(AND(data[[#This Row],[Age]]&gt;=18,data[[#This Row],[Age]]&lt;=24),"18-24",IF(AND(data[[#This Row],[Age]]&gt;=25,data[[#This Row],[Age]]&lt;=34),"25-34",IF(AND(data[[#This Row],[Age]]&gt;35,data[[#This Row],[Age]]&lt;=44),"35-44",IF(data[[#This Row],[Age]]&gt;44,"45+",IF(data[[#This Row],[Age]]&lt;18,"below 18 ")))))</f>
        <v xml:space="preserve">below 18 </v>
      </c>
    </row>
    <row r="361" spans="1:31" x14ac:dyDescent="0.25">
      <c r="A361" t="s">
        <v>414</v>
      </c>
      <c r="B361">
        <v>27</v>
      </c>
      <c r="C361" t="s">
        <v>31</v>
      </c>
      <c r="D361" t="s">
        <v>32</v>
      </c>
      <c r="E361" t="s">
        <v>40</v>
      </c>
      <c r="F361" t="s">
        <v>41</v>
      </c>
      <c r="G361">
        <v>0.9</v>
      </c>
      <c r="H361">
        <v>3</v>
      </c>
      <c r="I361">
        <v>10</v>
      </c>
      <c r="J361" t="s">
        <v>42</v>
      </c>
      <c r="K361" t="s">
        <v>36</v>
      </c>
      <c r="L361">
        <v>93</v>
      </c>
      <c r="M361">
        <v>2.2999999999999998</v>
      </c>
      <c r="N361">
        <v>5.5</v>
      </c>
      <c r="O361">
        <v>3.3</v>
      </c>
      <c r="P361">
        <v>5.0999999999999996</v>
      </c>
      <c r="Q361" t="s">
        <v>42</v>
      </c>
      <c r="R361" t="s">
        <v>42</v>
      </c>
      <c r="S361">
        <v>5.7</v>
      </c>
      <c r="T361">
        <v>3.7</v>
      </c>
      <c r="V361">
        <v>8.3000000000000007</v>
      </c>
      <c r="W361">
        <v>6.5</v>
      </c>
      <c r="X361">
        <v>7</v>
      </c>
      <c r="Y361">
        <v>9.1999999999999993</v>
      </c>
      <c r="Z361">
        <v>7</v>
      </c>
      <c r="AA361">
        <v>2.1</v>
      </c>
      <c r="AB361">
        <v>1</v>
      </c>
      <c r="AC361">
        <v>6.6</v>
      </c>
      <c r="AD361" t="s">
        <v>53</v>
      </c>
      <c r="AE361" t="str">
        <f>IF(AND(data[[#This Row],[Age]]&gt;=18,data[[#This Row],[Age]]&lt;=24),"18-24",IF(AND(data[[#This Row],[Age]]&gt;=25,data[[#This Row],[Age]]&lt;=34),"25-34",IF(AND(data[[#This Row],[Age]]&gt;35,data[[#This Row],[Age]]&lt;=44),"35-44",IF(data[[#This Row],[Age]]&gt;44,"45+",IF(data[[#This Row],[Age]]&lt;18,"below 18 ")))))</f>
        <v>25-34</v>
      </c>
    </row>
    <row r="362" spans="1:31" x14ac:dyDescent="0.25">
      <c r="A362" t="s">
        <v>415</v>
      </c>
      <c r="B362">
        <v>19</v>
      </c>
      <c r="C362" t="s">
        <v>31</v>
      </c>
      <c r="D362" t="s">
        <v>32</v>
      </c>
      <c r="E362" t="s">
        <v>33</v>
      </c>
      <c r="F362" t="s">
        <v>51</v>
      </c>
      <c r="G362">
        <v>4</v>
      </c>
      <c r="H362">
        <v>3</v>
      </c>
      <c r="I362">
        <v>2</v>
      </c>
      <c r="J362" t="s">
        <v>35</v>
      </c>
      <c r="K362" t="s">
        <v>36</v>
      </c>
      <c r="L362">
        <v>84</v>
      </c>
      <c r="M362">
        <v>5.5</v>
      </c>
      <c r="N362">
        <v>7.9</v>
      </c>
      <c r="O362">
        <v>5.0999999999999996</v>
      </c>
      <c r="P362">
        <v>3.4</v>
      </c>
      <c r="Q362" t="s">
        <v>42</v>
      </c>
      <c r="R362" t="s">
        <v>35</v>
      </c>
      <c r="S362">
        <v>3.9</v>
      </c>
      <c r="T362">
        <v>2.4</v>
      </c>
      <c r="U362">
        <v>3.7</v>
      </c>
      <c r="V362">
        <v>5.0999999999999996</v>
      </c>
      <c r="W362">
        <v>4.7</v>
      </c>
      <c r="X362">
        <v>7.6</v>
      </c>
      <c r="Y362">
        <v>3.6</v>
      </c>
      <c r="Z362">
        <v>6.7</v>
      </c>
      <c r="AA362">
        <v>3.3</v>
      </c>
      <c r="AB362">
        <v>4.7</v>
      </c>
      <c r="AC362">
        <v>6.8</v>
      </c>
      <c r="AD362" t="s">
        <v>37</v>
      </c>
      <c r="AE362" t="str">
        <f>IF(AND(data[[#This Row],[Age]]&gt;=18,data[[#This Row],[Age]]&lt;=24),"18-24",IF(AND(data[[#This Row],[Age]]&gt;=25,data[[#This Row],[Age]]&lt;=34),"25-34",IF(AND(data[[#This Row],[Age]]&gt;35,data[[#This Row],[Age]]&lt;=44),"35-44",IF(data[[#This Row],[Age]]&gt;44,"45+",IF(data[[#This Row],[Age]]&lt;18,"below 18 ")))))</f>
        <v>18-24</v>
      </c>
    </row>
    <row r="363" spans="1:31" x14ac:dyDescent="0.25">
      <c r="A363" t="s">
        <v>416</v>
      </c>
      <c r="B363">
        <v>27</v>
      </c>
      <c r="C363" t="s">
        <v>31</v>
      </c>
      <c r="D363" t="s">
        <v>39</v>
      </c>
      <c r="E363" t="s">
        <v>58</v>
      </c>
      <c r="F363" t="s">
        <v>41</v>
      </c>
      <c r="G363">
        <v>5.3</v>
      </c>
      <c r="H363">
        <v>3</v>
      </c>
      <c r="I363">
        <v>1</v>
      </c>
      <c r="J363" t="s">
        <v>35</v>
      </c>
      <c r="K363" t="s">
        <v>52</v>
      </c>
      <c r="L363">
        <v>5</v>
      </c>
      <c r="M363">
        <v>5.3</v>
      </c>
      <c r="N363">
        <v>5.9</v>
      </c>
      <c r="O363">
        <v>5.5</v>
      </c>
      <c r="P363">
        <v>6.1</v>
      </c>
      <c r="R363" t="s">
        <v>42</v>
      </c>
      <c r="S363">
        <v>2.8</v>
      </c>
      <c r="T363">
        <v>4.4000000000000004</v>
      </c>
      <c r="U363">
        <v>2.2000000000000002</v>
      </c>
      <c r="V363">
        <v>2.2000000000000002</v>
      </c>
      <c r="W363">
        <v>5.8</v>
      </c>
      <c r="Y363">
        <v>9.3000000000000007</v>
      </c>
      <c r="Z363">
        <v>6.6</v>
      </c>
      <c r="AA363">
        <v>4.2</v>
      </c>
      <c r="AB363">
        <v>3.9</v>
      </c>
      <c r="AC363">
        <v>6.4</v>
      </c>
      <c r="AD363" t="s">
        <v>53</v>
      </c>
      <c r="AE363" t="str">
        <f>IF(AND(data[[#This Row],[Age]]&gt;=18,data[[#This Row],[Age]]&lt;=24),"18-24",IF(AND(data[[#This Row],[Age]]&gt;=25,data[[#This Row],[Age]]&lt;=34),"25-34",IF(AND(data[[#This Row],[Age]]&gt;35,data[[#This Row],[Age]]&lt;=44),"35-44",IF(data[[#This Row],[Age]]&gt;44,"45+",IF(data[[#This Row],[Age]]&lt;18,"below 18 ")))))</f>
        <v>25-34</v>
      </c>
    </row>
    <row r="364" spans="1:31" x14ac:dyDescent="0.25">
      <c r="A364" t="s">
        <v>417</v>
      </c>
      <c r="B364">
        <v>38</v>
      </c>
      <c r="C364" t="s">
        <v>31</v>
      </c>
      <c r="D364" t="s">
        <v>32</v>
      </c>
      <c r="E364" t="s">
        <v>58</v>
      </c>
      <c r="F364" t="s">
        <v>48</v>
      </c>
      <c r="G364">
        <v>6</v>
      </c>
      <c r="H364">
        <v>5</v>
      </c>
      <c r="I364">
        <v>7</v>
      </c>
      <c r="J364" t="s">
        <v>35</v>
      </c>
      <c r="K364" t="s">
        <v>36</v>
      </c>
      <c r="L364">
        <v>60</v>
      </c>
      <c r="M364">
        <v>6.1</v>
      </c>
      <c r="N364">
        <v>3.7</v>
      </c>
      <c r="O364">
        <v>3</v>
      </c>
      <c r="P364">
        <v>4.8</v>
      </c>
      <c r="Q364" t="s">
        <v>35</v>
      </c>
      <c r="R364" t="s">
        <v>35</v>
      </c>
      <c r="S364">
        <v>2.1</v>
      </c>
      <c r="T364">
        <v>6.6</v>
      </c>
      <c r="U364">
        <v>2.2999999999999998</v>
      </c>
      <c r="V364">
        <v>4.3</v>
      </c>
      <c r="X364">
        <v>6.2</v>
      </c>
      <c r="Y364">
        <v>6</v>
      </c>
      <c r="Z364">
        <v>5.8</v>
      </c>
      <c r="AA364">
        <v>0</v>
      </c>
      <c r="AB364">
        <v>2.6</v>
      </c>
      <c r="AC364">
        <v>8</v>
      </c>
      <c r="AD364" t="s">
        <v>37</v>
      </c>
      <c r="AE364" t="str">
        <f>IF(AND(data[[#This Row],[Age]]&gt;=18,data[[#This Row],[Age]]&lt;=24),"18-24",IF(AND(data[[#This Row],[Age]]&gt;=25,data[[#This Row],[Age]]&lt;=34),"25-34",IF(AND(data[[#This Row],[Age]]&gt;35,data[[#This Row],[Age]]&lt;=44),"35-44",IF(data[[#This Row],[Age]]&gt;44,"45+",IF(data[[#This Row],[Age]]&lt;18,"below 18 ")))))</f>
        <v>35-44</v>
      </c>
    </row>
    <row r="365" spans="1:31" x14ac:dyDescent="0.25">
      <c r="A365" t="s">
        <v>418</v>
      </c>
      <c r="B365">
        <v>35</v>
      </c>
      <c r="C365" t="s">
        <v>31</v>
      </c>
      <c r="D365" t="s">
        <v>32</v>
      </c>
      <c r="E365" t="s">
        <v>58</v>
      </c>
      <c r="F365" t="s">
        <v>41</v>
      </c>
      <c r="G365">
        <v>1.7</v>
      </c>
      <c r="H365">
        <v>1</v>
      </c>
      <c r="I365">
        <v>5</v>
      </c>
      <c r="J365" t="s">
        <v>42</v>
      </c>
      <c r="K365" t="s">
        <v>36</v>
      </c>
      <c r="L365">
        <v>16</v>
      </c>
      <c r="M365">
        <v>7</v>
      </c>
      <c r="N365">
        <v>3.9</v>
      </c>
      <c r="O365">
        <v>4.5</v>
      </c>
      <c r="P365">
        <v>5.5</v>
      </c>
      <c r="R365" t="s">
        <v>35</v>
      </c>
      <c r="S365">
        <v>5.0999999999999996</v>
      </c>
      <c r="T365">
        <v>2.9</v>
      </c>
      <c r="U365">
        <v>3.6</v>
      </c>
      <c r="V365">
        <v>6</v>
      </c>
      <c r="W365">
        <v>6.3</v>
      </c>
      <c r="X365">
        <v>8.3000000000000007</v>
      </c>
      <c r="Y365">
        <v>7.3</v>
      </c>
      <c r="Z365">
        <v>2</v>
      </c>
      <c r="AA365">
        <v>4.5999999999999996</v>
      </c>
      <c r="AB365">
        <v>2.1</v>
      </c>
      <c r="AC365">
        <v>6.9</v>
      </c>
      <c r="AD365" t="s">
        <v>53</v>
      </c>
      <c r="AE365" t="b">
        <f>IF(AND(data[[#This Row],[Age]]&gt;=18,data[[#This Row],[Age]]&lt;=24),"18-24",IF(AND(data[[#This Row],[Age]]&gt;=25,data[[#This Row],[Age]]&lt;=34),"25-34",IF(AND(data[[#This Row],[Age]]&gt;35,data[[#This Row],[Age]]&lt;=44),"35-44",IF(data[[#This Row],[Age]]&gt;44,"45+",IF(data[[#This Row],[Age]]&lt;18,"below 18 ")))))</f>
        <v>0</v>
      </c>
    </row>
    <row r="366" spans="1:31" x14ac:dyDescent="0.25">
      <c r="A366" t="s">
        <v>419</v>
      </c>
      <c r="B366">
        <v>26</v>
      </c>
      <c r="C366" t="s">
        <v>31</v>
      </c>
      <c r="D366" t="s">
        <v>32</v>
      </c>
      <c r="E366" t="s">
        <v>58</v>
      </c>
      <c r="F366" t="s">
        <v>70</v>
      </c>
      <c r="G366">
        <v>6.2</v>
      </c>
      <c r="H366">
        <v>5</v>
      </c>
      <c r="I366">
        <v>3</v>
      </c>
      <c r="J366" t="s">
        <v>42</v>
      </c>
      <c r="K366" t="s">
        <v>36</v>
      </c>
      <c r="L366">
        <v>125</v>
      </c>
      <c r="N366">
        <v>5.0999999999999996</v>
      </c>
      <c r="O366">
        <v>3.9</v>
      </c>
      <c r="P366">
        <v>6.1</v>
      </c>
      <c r="Q366" t="s">
        <v>35</v>
      </c>
      <c r="R366" t="s">
        <v>35</v>
      </c>
      <c r="S366">
        <v>4.8</v>
      </c>
      <c r="T366">
        <v>2.8</v>
      </c>
      <c r="U366">
        <v>3.9</v>
      </c>
      <c r="V366">
        <v>3.2</v>
      </c>
      <c r="W366">
        <v>8.5</v>
      </c>
      <c r="X366">
        <v>5.8</v>
      </c>
      <c r="Y366">
        <v>2.7</v>
      </c>
      <c r="Z366">
        <v>4.5</v>
      </c>
      <c r="AA366">
        <v>4.3</v>
      </c>
      <c r="AB366">
        <v>3.2</v>
      </c>
      <c r="AC366">
        <v>5.5</v>
      </c>
      <c r="AD366" t="s">
        <v>43</v>
      </c>
      <c r="AE366" t="str">
        <f>IF(AND(data[[#This Row],[Age]]&gt;=18,data[[#This Row],[Age]]&lt;=24),"18-24",IF(AND(data[[#This Row],[Age]]&gt;=25,data[[#This Row],[Age]]&lt;=34),"25-34",IF(AND(data[[#This Row],[Age]]&gt;35,data[[#This Row],[Age]]&lt;=44),"35-44",IF(data[[#This Row],[Age]]&gt;44,"45+",IF(data[[#This Row],[Age]]&lt;18,"below 18 ")))))</f>
        <v>25-34</v>
      </c>
    </row>
    <row r="367" spans="1:31" x14ac:dyDescent="0.25">
      <c r="A367" t="s">
        <v>420</v>
      </c>
      <c r="B367">
        <v>32</v>
      </c>
      <c r="C367" t="s">
        <v>47</v>
      </c>
      <c r="D367" t="s">
        <v>39</v>
      </c>
      <c r="E367" t="s">
        <v>33</v>
      </c>
      <c r="F367" t="s">
        <v>34</v>
      </c>
      <c r="G367">
        <v>2.4</v>
      </c>
      <c r="H367">
        <v>1</v>
      </c>
      <c r="I367">
        <v>4</v>
      </c>
      <c r="J367" t="s">
        <v>42</v>
      </c>
      <c r="K367" t="s">
        <v>36</v>
      </c>
      <c r="L367">
        <v>85</v>
      </c>
      <c r="N367">
        <v>5.4</v>
      </c>
      <c r="O367">
        <v>3.5</v>
      </c>
      <c r="P367">
        <v>8.1999999999999993</v>
      </c>
      <c r="Q367" t="s">
        <v>42</v>
      </c>
      <c r="R367" t="s">
        <v>42</v>
      </c>
      <c r="S367">
        <v>6.8</v>
      </c>
      <c r="T367">
        <v>5.7</v>
      </c>
      <c r="U367">
        <v>3.8</v>
      </c>
      <c r="V367">
        <v>4.0999999999999996</v>
      </c>
      <c r="W367">
        <v>6.8</v>
      </c>
      <c r="X367">
        <v>6</v>
      </c>
      <c r="Y367">
        <v>4.3</v>
      </c>
      <c r="Z367">
        <v>4.7</v>
      </c>
      <c r="AA367">
        <v>2.8</v>
      </c>
      <c r="AB367">
        <v>3</v>
      </c>
      <c r="AC367">
        <v>4.3</v>
      </c>
      <c r="AD367" t="s">
        <v>43</v>
      </c>
      <c r="AE367" t="str">
        <f>IF(AND(data[[#This Row],[Age]]&gt;=18,data[[#This Row],[Age]]&lt;=24),"18-24",IF(AND(data[[#This Row],[Age]]&gt;=25,data[[#This Row],[Age]]&lt;=34),"25-34",IF(AND(data[[#This Row],[Age]]&gt;35,data[[#This Row],[Age]]&lt;=44),"35-44",IF(data[[#This Row],[Age]]&gt;44,"45+",IF(data[[#This Row],[Age]]&lt;18,"below 18 ")))))</f>
        <v>25-34</v>
      </c>
    </row>
    <row r="368" spans="1:31" x14ac:dyDescent="0.25">
      <c r="A368" t="s">
        <v>421</v>
      </c>
      <c r="B368">
        <v>33</v>
      </c>
      <c r="C368" t="s">
        <v>31</v>
      </c>
      <c r="D368" t="s">
        <v>32</v>
      </c>
      <c r="E368" t="s">
        <v>40</v>
      </c>
      <c r="F368" t="s">
        <v>51</v>
      </c>
      <c r="G368">
        <v>3.7</v>
      </c>
      <c r="H368">
        <v>2</v>
      </c>
      <c r="I368">
        <v>3</v>
      </c>
      <c r="J368" t="s">
        <v>35</v>
      </c>
      <c r="K368" t="s">
        <v>36</v>
      </c>
      <c r="L368">
        <v>55</v>
      </c>
      <c r="M368">
        <v>5.4</v>
      </c>
      <c r="N368">
        <v>8.6999999999999993</v>
      </c>
      <c r="O368">
        <v>5.4</v>
      </c>
      <c r="P368">
        <v>10</v>
      </c>
      <c r="Q368" t="s">
        <v>35</v>
      </c>
      <c r="R368" t="s">
        <v>42</v>
      </c>
      <c r="S368">
        <v>5.0999999999999996</v>
      </c>
      <c r="T368">
        <v>0.9</v>
      </c>
      <c r="U368">
        <v>6</v>
      </c>
      <c r="V368">
        <v>5.2</v>
      </c>
      <c r="W368">
        <v>4.0999999999999996</v>
      </c>
      <c r="X368">
        <v>7.7</v>
      </c>
      <c r="Y368">
        <v>10</v>
      </c>
      <c r="Z368">
        <v>5</v>
      </c>
      <c r="AA368">
        <v>2.9</v>
      </c>
      <c r="AB368">
        <v>3.5</v>
      </c>
      <c r="AC368">
        <v>4.0999999999999996</v>
      </c>
      <c r="AD368" t="s">
        <v>43</v>
      </c>
      <c r="AE368" t="str">
        <f>IF(AND(data[[#This Row],[Age]]&gt;=18,data[[#This Row],[Age]]&lt;=24),"18-24",IF(AND(data[[#This Row],[Age]]&gt;=25,data[[#This Row],[Age]]&lt;=34),"25-34",IF(AND(data[[#This Row],[Age]]&gt;35,data[[#This Row],[Age]]&lt;=44),"35-44",IF(data[[#This Row],[Age]]&gt;44,"45+",IF(data[[#This Row],[Age]]&lt;18,"below 18 ")))))</f>
        <v>25-34</v>
      </c>
    </row>
    <row r="369" spans="1:31" x14ac:dyDescent="0.25">
      <c r="A369" t="s">
        <v>422</v>
      </c>
      <c r="B369">
        <v>39</v>
      </c>
      <c r="C369" t="s">
        <v>31</v>
      </c>
      <c r="D369" t="s">
        <v>39</v>
      </c>
      <c r="E369" t="s">
        <v>33</v>
      </c>
      <c r="F369" t="s">
        <v>51</v>
      </c>
      <c r="G369">
        <v>3.5</v>
      </c>
      <c r="H369">
        <v>4</v>
      </c>
      <c r="I369">
        <v>3</v>
      </c>
      <c r="J369" t="s">
        <v>35</v>
      </c>
      <c r="K369" t="s">
        <v>36</v>
      </c>
      <c r="L369">
        <v>42</v>
      </c>
      <c r="M369">
        <v>4.7</v>
      </c>
      <c r="N369">
        <v>5</v>
      </c>
      <c r="O369">
        <v>0.4</v>
      </c>
      <c r="P369">
        <v>10</v>
      </c>
      <c r="Q369" t="s">
        <v>42</v>
      </c>
      <c r="R369" t="s">
        <v>42</v>
      </c>
      <c r="S369">
        <v>6.8</v>
      </c>
      <c r="T369">
        <v>4.7</v>
      </c>
      <c r="U369">
        <v>3.7</v>
      </c>
      <c r="V369">
        <v>7.2</v>
      </c>
      <c r="W369">
        <v>5.8</v>
      </c>
      <c r="X369">
        <v>7.8</v>
      </c>
      <c r="Y369">
        <v>5.6</v>
      </c>
      <c r="Z369">
        <v>7.6</v>
      </c>
      <c r="AA369">
        <v>3.5</v>
      </c>
      <c r="AB369">
        <v>0.5</v>
      </c>
      <c r="AC369">
        <v>6.4</v>
      </c>
      <c r="AD369" t="s">
        <v>53</v>
      </c>
      <c r="AE369" t="str">
        <f>IF(AND(data[[#This Row],[Age]]&gt;=18,data[[#This Row],[Age]]&lt;=24),"18-24",IF(AND(data[[#This Row],[Age]]&gt;=25,data[[#This Row],[Age]]&lt;=34),"25-34",IF(AND(data[[#This Row],[Age]]&gt;35,data[[#This Row],[Age]]&lt;=44),"35-44",IF(data[[#This Row],[Age]]&gt;44,"45+",IF(data[[#This Row],[Age]]&lt;18,"below 18 ")))))</f>
        <v>35-44</v>
      </c>
    </row>
    <row r="370" spans="1:31" x14ac:dyDescent="0.25">
      <c r="A370" t="s">
        <v>423</v>
      </c>
      <c r="B370">
        <v>36</v>
      </c>
      <c r="C370" t="s">
        <v>47</v>
      </c>
      <c r="D370" t="s">
        <v>39</v>
      </c>
      <c r="E370" t="s">
        <v>33</v>
      </c>
      <c r="F370" t="s">
        <v>59</v>
      </c>
      <c r="G370">
        <v>7.8</v>
      </c>
      <c r="H370">
        <v>1</v>
      </c>
      <c r="I370">
        <v>5</v>
      </c>
      <c r="J370" t="s">
        <v>35</v>
      </c>
      <c r="K370" t="s">
        <v>52</v>
      </c>
      <c r="L370">
        <v>25</v>
      </c>
      <c r="M370">
        <v>3.9</v>
      </c>
      <c r="N370">
        <v>6.5</v>
      </c>
      <c r="O370">
        <v>1.5</v>
      </c>
      <c r="P370">
        <v>7.8</v>
      </c>
      <c r="Q370" t="s">
        <v>35</v>
      </c>
      <c r="R370" t="s">
        <v>42</v>
      </c>
      <c r="S370">
        <v>0.4</v>
      </c>
      <c r="T370">
        <v>2.8</v>
      </c>
      <c r="U370">
        <v>7.2</v>
      </c>
      <c r="V370">
        <v>8.3000000000000007</v>
      </c>
      <c r="W370">
        <v>6.7</v>
      </c>
      <c r="X370">
        <v>7.1</v>
      </c>
      <c r="Y370">
        <v>7.4</v>
      </c>
      <c r="Z370">
        <v>2.7</v>
      </c>
      <c r="AB370">
        <v>3.2</v>
      </c>
      <c r="AC370">
        <v>8.1</v>
      </c>
      <c r="AD370" t="s">
        <v>37</v>
      </c>
      <c r="AE370" t="str">
        <f>IF(AND(data[[#This Row],[Age]]&gt;=18,data[[#This Row],[Age]]&lt;=24),"18-24",IF(AND(data[[#This Row],[Age]]&gt;=25,data[[#This Row],[Age]]&lt;=34),"25-34",IF(AND(data[[#This Row],[Age]]&gt;35,data[[#This Row],[Age]]&lt;=44),"35-44",IF(data[[#This Row],[Age]]&gt;44,"45+",IF(data[[#This Row],[Age]]&lt;18,"below 18 ")))))</f>
        <v>35-44</v>
      </c>
    </row>
    <row r="371" spans="1:31" x14ac:dyDescent="0.25">
      <c r="A371" t="s">
        <v>424</v>
      </c>
      <c r="B371">
        <v>33</v>
      </c>
      <c r="C371" t="s">
        <v>47</v>
      </c>
      <c r="D371" t="s">
        <v>39</v>
      </c>
      <c r="E371" t="s">
        <v>58</v>
      </c>
      <c r="F371" t="s">
        <v>34</v>
      </c>
      <c r="G371">
        <v>4.9000000000000004</v>
      </c>
      <c r="H371">
        <v>1</v>
      </c>
      <c r="I371">
        <v>5</v>
      </c>
      <c r="J371" t="s">
        <v>42</v>
      </c>
      <c r="K371" t="s">
        <v>36</v>
      </c>
      <c r="L371">
        <v>28</v>
      </c>
      <c r="M371">
        <v>6.5</v>
      </c>
      <c r="N371">
        <v>5.6</v>
      </c>
      <c r="O371">
        <v>4.5999999999999996</v>
      </c>
      <c r="P371">
        <v>7.6</v>
      </c>
      <c r="Q371" t="s">
        <v>42</v>
      </c>
      <c r="R371" t="s">
        <v>42</v>
      </c>
      <c r="S371">
        <v>8.1</v>
      </c>
      <c r="T371">
        <v>6.5</v>
      </c>
      <c r="U371">
        <v>6</v>
      </c>
      <c r="V371">
        <v>5.7</v>
      </c>
      <c r="W371">
        <v>7</v>
      </c>
      <c r="X371">
        <v>4.9000000000000004</v>
      </c>
      <c r="Y371">
        <v>4.3</v>
      </c>
      <c r="Z371">
        <v>4.5999999999999996</v>
      </c>
      <c r="AA371">
        <v>1.3</v>
      </c>
      <c r="AB371">
        <v>2.1</v>
      </c>
      <c r="AC371">
        <v>5.0999999999999996</v>
      </c>
      <c r="AD371" t="s">
        <v>45</v>
      </c>
      <c r="AE371" t="str">
        <f>IF(AND(data[[#This Row],[Age]]&gt;=18,data[[#This Row],[Age]]&lt;=24),"18-24",IF(AND(data[[#This Row],[Age]]&gt;=25,data[[#This Row],[Age]]&lt;=34),"25-34",IF(AND(data[[#This Row],[Age]]&gt;35,data[[#This Row],[Age]]&lt;=44),"35-44",IF(data[[#This Row],[Age]]&gt;44,"45+",IF(data[[#This Row],[Age]]&lt;18,"below 18 ")))))</f>
        <v>25-34</v>
      </c>
    </row>
    <row r="372" spans="1:31" x14ac:dyDescent="0.25">
      <c r="A372" t="s">
        <v>425</v>
      </c>
      <c r="B372">
        <v>40</v>
      </c>
      <c r="C372" t="s">
        <v>31</v>
      </c>
      <c r="D372" t="s">
        <v>64</v>
      </c>
      <c r="E372" t="s">
        <v>33</v>
      </c>
      <c r="F372" t="s">
        <v>51</v>
      </c>
      <c r="G372">
        <v>8.9</v>
      </c>
      <c r="H372">
        <v>2</v>
      </c>
      <c r="I372">
        <v>5</v>
      </c>
      <c r="J372" t="s">
        <v>42</v>
      </c>
      <c r="K372" t="s">
        <v>36</v>
      </c>
      <c r="L372">
        <v>38</v>
      </c>
      <c r="M372">
        <v>8.5</v>
      </c>
      <c r="N372">
        <v>8.1999999999999993</v>
      </c>
      <c r="O372">
        <v>5.6</v>
      </c>
      <c r="P372">
        <v>4.5</v>
      </c>
      <c r="Q372" t="s">
        <v>42</v>
      </c>
      <c r="R372" t="s">
        <v>35</v>
      </c>
      <c r="S372">
        <v>9.9</v>
      </c>
      <c r="T372">
        <v>4</v>
      </c>
      <c r="U372">
        <v>5.7</v>
      </c>
      <c r="V372">
        <v>6.6</v>
      </c>
      <c r="W372">
        <v>7.4</v>
      </c>
      <c r="X372">
        <v>9.4</v>
      </c>
      <c r="Y372">
        <v>1.6</v>
      </c>
      <c r="Z372">
        <v>3.5</v>
      </c>
      <c r="AA372">
        <v>2.4</v>
      </c>
      <c r="AB372">
        <v>0</v>
      </c>
      <c r="AC372">
        <v>5</v>
      </c>
      <c r="AD372" t="s">
        <v>43</v>
      </c>
      <c r="AE372" t="str">
        <f>IF(AND(data[[#This Row],[Age]]&gt;=18,data[[#This Row],[Age]]&lt;=24),"18-24",IF(AND(data[[#This Row],[Age]]&gt;=25,data[[#This Row],[Age]]&lt;=34),"25-34",IF(AND(data[[#This Row],[Age]]&gt;35,data[[#This Row],[Age]]&lt;=44),"35-44",IF(data[[#This Row],[Age]]&gt;44,"45+",IF(data[[#This Row],[Age]]&lt;18,"below 18 ")))))</f>
        <v>35-44</v>
      </c>
    </row>
    <row r="373" spans="1:31" x14ac:dyDescent="0.25">
      <c r="A373" t="s">
        <v>426</v>
      </c>
      <c r="B373">
        <v>37</v>
      </c>
      <c r="C373" t="s">
        <v>47</v>
      </c>
      <c r="D373" t="s">
        <v>39</v>
      </c>
      <c r="E373" t="s">
        <v>33</v>
      </c>
      <c r="F373" t="s">
        <v>34</v>
      </c>
      <c r="G373">
        <v>6.6</v>
      </c>
      <c r="H373">
        <v>4</v>
      </c>
      <c r="I373">
        <v>6</v>
      </c>
      <c r="J373" t="s">
        <v>35</v>
      </c>
      <c r="K373" t="s">
        <v>52</v>
      </c>
      <c r="L373">
        <v>68</v>
      </c>
      <c r="N373">
        <v>5.4</v>
      </c>
      <c r="O373">
        <v>3.6</v>
      </c>
      <c r="P373">
        <v>6.2</v>
      </c>
      <c r="Q373" t="s">
        <v>35</v>
      </c>
      <c r="R373" t="s">
        <v>42</v>
      </c>
      <c r="S373">
        <v>9.6999999999999993</v>
      </c>
      <c r="T373">
        <v>5.6</v>
      </c>
      <c r="U373">
        <v>4.4000000000000004</v>
      </c>
      <c r="V373">
        <v>7.1</v>
      </c>
      <c r="W373">
        <v>6.5</v>
      </c>
      <c r="X373">
        <v>5.4</v>
      </c>
      <c r="Y373">
        <v>4.4000000000000004</v>
      </c>
      <c r="Z373">
        <v>7.5</v>
      </c>
      <c r="AA373">
        <v>2.7</v>
      </c>
      <c r="AB373">
        <v>2.4</v>
      </c>
      <c r="AC373">
        <v>6.5</v>
      </c>
      <c r="AD373" t="s">
        <v>53</v>
      </c>
      <c r="AE373" t="str">
        <f>IF(AND(data[[#This Row],[Age]]&gt;=18,data[[#This Row],[Age]]&lt;=24),"18-24",IF(AND(data[[#This Row],[Age]]&gt;=25,data[[#This Row],[Age]]&lt;=34),"25-34",IF(AND(data[[#This Row],[Age]]&gt;35,data[[#This Row],[Age]]&lt;=44),"35-44",IF(data[[#This Row],[Age]]&gt;44,"45+",IF(data[[#This Row],[Age]]&lt;18,"below 18 ")))))</f>
        <v>35-44</v>
      </c>
    </row>
    <row r="374" spans="1:31" x14ac:dyDescent="0.25">
      <c r="A374" t="s">
        <v>427</v>
      </c>
      <c r="B374">
        <v>33</v>
      </c>
      <c r="C374" t="s">
        <v>31</v>
      </c>
      <c r="D374" t="s">
        <v>64</v>
      </c>
      <c r="E374" t="s">
        <v>58</v>
      </c>
      <c r="F374" t="s">
        <v>34</v>
      </c>
      <c r="G374">
        <v>4</v>
      </c>
      <c r="H374">
        <v>3</v>
      </c>
      <c r="I374">
        <v>8</v>
      </c>
      <c r="J374" t="s">
        <v>35</v>
      </c>
      <c r="K374" t="s">
        <v>36</v>
      </c>
      <c r="L374">
        <v>71</v>
      </c>
      <c r="M374">
        <v>2.2999999999999998</v>
      </c>
      <c r="N374">
        <v>7.2</v>
      </c>
      <c r="O374">
        <v>6</v>
      </c>
      <c r="P374">
        <v>4.5999999999999996</v>
      </c>
      <c r="R374" t="s">
        <v>42</v>
      </c>
      <c r="S374">
        <v>4.4000000000000004</v>
      </c>
      <c r="T374">
        <v>6.4</v>
      </c>
      <c r="U374">
        <v>4.4000000000000004</v>
      </c>
      <c r="V374">
        <v>2.6</v>
      </c>
      <c r="W374">
        <v>5.0999999999999996</v>
      </c>
      <c r="X374">
        <v>8.3000000000000007</v>
      </c>
      <c r="Y374">
        <v>5.5</v>
      </c>
      <c r="Z374">
        <v>4.4000000000000004</v>
      </c>
      <c r="AA374">
        <v>7.2</v>
      </c>
      <c r="AB374">
        <v>1.8</v>
      </c>
      <c r="AC374">
        <v>6.7</v>
      </c>
      <c r="AD374" t="s">
        <v>53</v>
      </c>
      <c r="AE374" t="str">
        <f>IF(AND(data[[#This Row],[Age]]&gt;=18,data[[#This Row],[Age]]&lt;=24),"18-24",IF(AND(data[[#This Row],[Age]]&gt;=25,data[[#This Row],[Age]]&lt;=34),"25-34",IF(AND(data[[#This Row],[Age]]&gt;35,data[[#This Row],[Age]]&lt;=44),"35-44",IF(data[[#This Row],[Age]]&gt;44,"45+",IF(data[[#This Row],[Age]]&lt;18,"below 18 ")))))</f>
        <v>25-34</v>
      </c>
    </row>
    <row r="375" spans="1:31" x14ac:dyDescent="0.25">
      <c r="A375" t="s">
        <v>428</v>
      </c>
      <c r="B375">
        <v>20</v>
      </c>
      <c r="C375" t="s">
        <v>31</v>
      </c>
      <c r="D375" t="s">
        <v>32</v>
      </c>
      <c r="E375" t="s">
        <v>33</v>
      </c>
      <c r="F375" t="s">
        <v>51</v>
      </c>
      <c r="G375">
        <v>5.4</v>
      </c>
      <c r="H375">
        <v>2</v>
      </c>
      <c r="I375">
        <v>3</v>
      </c>
      <c r="J375" t="s">
        <v>42</v>
      </c>
      <c r="K375" t="s">
        <v>62</v>
      </c>
      <c r="L375">
        <v>70</v>
      </c>
      <c r="M375">
        <v>2.5</v>
      </c>
      <c r="N375">
        <v>4.7</v>
      </c>
      <c r="O375">
        <v>5.0999999999999996</v>
      </c>
      <c r="P375">
        <v>3.4</v>
      </c>
      <c r="Q375" t="s">
        <v>35</v>
      </c>
      <c r="R375" t="s">
        <v>35</v>
      </c>
      <c r="S375">
        <v>4.0999999999999996</v>
      </c>
      <c r="T375">
        <v>0.8</v>
      </c>
      <c r="U375">
        <v>4.2</v>
      </c>
      <c r="V375">
        <v>6</v>
      </c>
      <c r="W375">
        <v>5.8</v>
      </c>
      <c r="X375">
        <v>7.4</v>
      </c>
      <c r="Y375">
        <v>4.8</v>
      </c>
      <c r="Z375">
        <v>4.5</v>
      </c>
      <c r="AA375">
        <v>5.2</v>
      </c>
      <c r="AB375">
        <v>2.2999999999999998</v>
      </c>
      <c r="AC375">
        <v>7.2</v>
      </c>
      <c r="AD375" t="s">
        <v>37</v>
      </c>
      <c r="AE375" t="str">
        <f>IF(AND(data[[#This Row],[Age]]&gt;=18,data[[#This Row],[Age]]&lt;=24),"18-24",IF(AND(data[[#This Row],[Age]]&gt;=25,data[[#This Row],[Age]]&lt;=34),"25-34",IF(AND(data[[#This Row],[Age]]&gt;35,data[[#This Row],[Age]]&lt;=44),"35-44",IF(data[[#This Row],[Age]]&gt;44,"45+",IF(data[[#This Row],[Age]]&lt;18,"below 18 ")))))</f>
        <v>18-24</v>
      </c>
    </row>
    <row r="376" spans="1:31" x14ac:dyDescent="0.25">
      <c r="A376" t="s">
        <v>429</v>
      </c>
      <c r="B376">
        <v>22</v>
      </c>
      <c r="C376" t="s">
        <v>47</v>
      </c>
      <c r="D376" t="s">
        <v>32</v>
      </c>
      <c r="E376" t="s">
        <v>33</v>
      </c>
      <c r="F376" t="s">
        <v>48</v>
      </c>
      <c r="G376">
        <v>7.4</v>
      </c>
      <c r="H376">
        <v>1</v>
      </c>
      <c r="I376">
        <v>2</v>
      </c>
      <c r="J376" t="s">
        <v>42</v>
      </c>
      <c r="K376" t="s">
        <v>36</v>
      </c>
      <c r="L376">
        <v>83</v>
      </c>
      <c r="M376">
        <v>9.8000000000000007</v>
      </c>
      <c r="N376">
        <v>5.8</v>
      </c>
      <c r="O376">
        <v>7.7</v>
      </c>
      <c r="P376">
        <v>3.5</v>
      </c>
      <c r="Q376" t="s">
        <v>35</v>
      </c>
      <c r="R376" t="s">
        <v>35</v>
      </c>
      <c r="S376">
        <v>2.4</v>
      </c>
      <c r="T376">
        <v>4.7</v>
      </c>
      <c r="U376">
        <v>2.1</v>
      </c>
      <c r="V376">
        <v>7.9</v>
      </c>
      <c r="W376">
        <v>6</v>
      </c>
      <c r="Y376">
        <v>5.8</v>
      </c>
      <c r="Z376">
        <v>7</v>
      </c>
      <c r="AA376">
        <v>1</v>
      </c>
      <c r="AB376">
        <v>2.5</v>
      </c>
      <c r="AC376">
        <v>6.6</v>
      </c>
      <c r="AD376" t="s">
        <v>53</v>
      </c>
      <c r="AE376" t="str">
        <f>IF(AND(data[[#This Row],[Age]]&gt;=18,data[[#This Row],[Age]]&lt;=24),"18-24",IF(AND(data[[#This Row],[Age]]&gt;=25,data[[#This Row],[Age]]&lt;=34),"25-34",IF(AND(data[[#This Row],[Age]]&gt;35,data[[#This Row],[Age]]&lt;=44),"35-44",IF(data[[#This Row],[Age]]&gt;44,"45+",IF(data[[#This Row],[Age]]&lt;18,"below 18 ")))))</f>
        <v>18-24</v>
      </c>
    </row>
    <row r="377" spans="1:31" x14ac:dyDescent="0.25">
      <c r="A377" t="s">
        <v>430</v>
      </c>
      <c r="B377">
        <v>38</v>
      </c>
      <c r="C377" t="s">
        <v>31</v>
      </c>
      <c r="D377" t="s">
        <v>39</v>
      </c>
      <c r="E377" t="s">
        <v>33</v>
      </c>
      <c r="F377" t="s">
        <v>59</v>
      </c>
      <c r="G377">
        <v>2.7</v>
      </c>
      <c r="H377">
        <v>1</v>
      </c>
      <c r="I377">
        <v>6</v>
      </c>
      <c r="J377" t="s">
        <v>35</v>
      </c>
      <c r="K377" t="s">
        <v>52</v>
      </c>
      <c r="L377">
        <v>5</v>
      </c>
      <c r="M377">
        <v>4.5999999999999996</v>
      </c>
      <c r="N377">
        <v>6.6</v>
      </c>
      <c r="O377">
        <v>6.5</v>
      </c>
      <c r="P377">
        <v>10</v>
      </c>
      <c r="Q377" t="s">
        <v>42</v>
      </c>
      <c r="R377" t="s">
        <v>42</v>
      </c>
      <c r="S377">
        <v>2</v>
      </c>
      <c r="T377">
        <v>5.3</v>
      </c>
      <c r="V377">
        <v>7.6</v>
      </c>
      <c r="W377">
        <v>3.3</v>
      </c>
      <c r="X377">
        <v>9.8000000000000007</v>
      </c>
      <c r="Y377">
        <v>7.2</v>
      </c>
      <c r="Z377">
        <v>4.0999999999999996</v>
      </c>
      <c r="AA377">
        <v>4.4000000000000004</v>
      </c>
      <c r="AB377">
        <v>2.8</v>
      </c>
      <c r="AC377">
        <v>6.8</v>
      </c>
      <c r="AD377" t="s">
        <v>53</v>
      </c>
      <c r="AE377" t="str">
        <f>IF(AND(data[[#This Row],[Age]]&gt;=18,data[[#This Row],[Age]]&lt;=24),"18-24",IF(AND(data[[#This Row],[Age]]&gt;=25,data[[#This Row],[Age]]&lt;=34),"25-34",IF(AND(data[[#This Row],[Age]]&gt;35,data[[#This Row],[Age]]&lt;=44),"35-44",IF(data[[#This Row],[Age]]&gt;44,"45+",IF(data[[#This Row],[Age]]&lt;18,"below 18 ")))))</f>
        <v>35-44</v>
      </c>
    </row>
    <row r="378" spans="1:31" x14ac:dyDescent="0.25">
      <c r="A378" t="s">
        <v>431</v>
      </c>
      <c r="B378">
        <v>20</v>
      </c>
      <c r="C378" t="s">
        <v>47</v>
      </c>
      <c r="D378" t="s">
        <v>57</v>
      </c>
      <c r="E378" t="s">
        <v>58</v>
      </c>
      <c r="F378" t="s">
        <v>51</v>
      </c>
      <c r="G378">
        <v>3.5</v>
      </c>
      <c r="H378">
        <v>2</v>
      </c>
      <c r="I378">
        <v>6</v>
      </c>
      <c r="J378" t="s">
        <v>42</v>
      </c>
      <c r="K378" t="s">
        <v>52</v>
      </c>
      <c r="L378">
        <v>69</v>
      </c>
      <c r="M378">
        <v>5</v>
      </c>
      <c r="N378">
        <v>5.4</v>
      </c>
      <c r="O378">
        <v>4.5</v>
      </c>
      <c r="P378">
        <v>6.4</v>
      </c>
      <c r="Q378" t="s">
        <v>42</v>
      </c>
      <c r="R378" t="s">
        <v>35</v>
      </c>
      <c r="S378">
        <v>5.7</v>
      </c>
      <c r="T378">
        <v>5.4</v>
      </c>
      <c r="U378">
        <v>2.9</v>
      </c>
      <c r="V378">
        <v>6.3</v>
      </c>
      <c r="W378">
        <v>6.1</v>
      </c>
      <c r="X378">
        <v>5.7</v>
      </c>
      <c r="Y378">
        <v>8.6999999999999993</v>
      </c>
      <c r="Z378">
        <v>3.3</v>
      </c>
      <c r="AA378">
        <v>4.5999999999999996</v>
      </c>
      <c r="AB378">
        <v>3.9</v>
      </c>
      <c r="AC378">
        <v>6.1</v>
      </c>
      <c r="AD378" t="s">
        <v>45</v>
      </c>
      <c r="AE378" t="str">
        <f>IF(AND(data[[#This Row],[Age]]&gt;=18,data[[#This Row],[Age]]&lt;=24),"18-24",IF(AND(data[[#This Row],[Age]]&gt;=25,data[[#This Row],[Age]]&lt;=34),"25-34",IF(AND(data[[#This Row],[Age]]&gt;35,data[[#This Row],[Age]]&lt;=44),"35-44",IF(data[[#This Row],[Age]]&gt;44,"45+",IF(data[[#This Row],[Age]]&lt;18,"below 18 ")))))</f>
        <v>18-24</v>
      </c>
    </row>
    <row r="379" spans="1:31" x14ac:dyDescent="0.25">
      <c r="A379" t="s">
        <v>432</v>
      </c>
      <c r="B379">
        <v>20</v>
      </c>
      <c r="C379" t="s">
        <v>50</v>
      </c>
      <c r="D379" t="s">
        <v>32</v>
      </c>
      <c r="E379" t="s">
        <v>40</v>
      </c>
      <c r="F379" t="s">
        <v>34</v>
      </c>
      <c r="G379">
        <v>4.4000000000000004</v>
      </c>
      <c r="H379">
        <v>1</v>
      </c>
      <c r="I379">
        <v>2</v>
      </c>
      <c r="J379" t="s">
        <v>35</v>
      </c>
      <c r="K379" t="s">
        <v>36</v>
      </c>
      <c r="L379">
        <v>102</v>
      </c>
      <c r="M379">
        <v>3.5</v>
      </c>
      <c r="N379">
        <v>5.9</v>
      </c>
      <c r="O379">
        <v>5.6</v>
      </c>
      <c r="P379">
        <v>5.8</v>
      </c>
      <c r="Q379" t="s">
        <v>42</v>
      </c>
      <c r="R379" t="s">
        <v>42</v>
      </c>
      <c r="S379">
        <v>6.1</v>
      </c>
      <c r="T379">
        <v>4.9000000000000004</v>
      </c>
      <c r="U379">
        <v>3.2</v>
      </c>
      <c r="V379">
        <v>3.7</v>
      </c>
      <c r="W379">
        <v>7.1</v>
      </c>
      <c r="X379">
        <v>5</v>
      </c>
      <c r="Y379">
        <v>4.8</v>
      </c>
      <c r="Z379">
        <v>5.8</v>
      </c>
      <c r="AA379">
        <v>2.8</v>
      </c>
      <c r="AB379">
        <v>2.4</v>
      </c>
      <c r="AC379">
        <v>6.7</v>
      </c>
      <c r="AD379" t="s">
        <v>45</v>
      </c>
      <c r="AE379" t="str">
        <f>IF(AND(data[[#This Row],[Age]]&gt;=18,data[[#This Row],[Age]]&lt;=24),"18-24",IF(AND(data[[#This Row],[Age]]&gt;=25,data[[#This Row],[Age]]&lt;=34),"25-34",IF(AND(data[[#This Row],[Age]]&gt;35,data[[#This Row],[Age]]&lt;=44),"35-44",IF(data[[#This Row],[Age]]&gt;44,"45+",IF(data[[#This Row],[Age]]&lt;18,"below 18 ")))))</f>
        <v>18-24</v>
      </c>
    </row>
    <row r="380" spans="1:31" x14ac:dyDescent="0.25">
      <c r="A380" t="s">
        <v>433</v>
      </c>
      <c r="B380">
        <v>21</v>
      </c>
      <c r="C380" t="s">
        <v>47</v>
      </c>
      <c r="D380" t="s">
        <v>39</v>
      </c>
      <c r="E380" t="s">
        <v>58</v>
      </c>
      <c r="F380" t="s">
        <v>34</v>
      </c>
      <c r="G380">
        <v>3.9</v>
      </c>
      <c r="H380">
        <v>3</v>
      </c>
      <c r="I380">
        <v>6</v>
      </c>
      <c r="J380" t="s">
        <v>42</v>
      </c>
      <c r="K380" t="s">
        <v>52</v>
      </c>
      <c r="L380">
        <v>102</v>
      </c>
      <c r="M380">
        <v>6.2</v>
      </c>
      <c r="N380">
        <v>6</v>
      </c>
      <c r="O380">
        <v>3.2</v>
      </c>
      <c r="P380">
        <v>3.9</v>
      </c>
      <c r="Q380" t="s">
        <v>42</v>
      </c>
      <c r="R380" t="s">
        <v>42</v>
      </c>
      <c r="S380">
        <v>1.4</v>
      </c>
      <c r="T380">
        <v>6</v>
      </c>
      <c r="U380">
        <v>2.9</v>
      </c>
      <c r="V380">
        <v>4.5</v>
      </c>
      <c r="W380">
        <v>7.6</v>
      </c>
      <c r="X380">
        <v>6.7</v>
      </c>
      <c r="Y380">
        <v>5.8</v>
      </c>
      <c r="Z380">
        <v>2.9</v>
      </c>
      <c r="AA380">
        <v>5.2</v>
      </c>
      <c r="AB380">
        <v>0</v>
      </c>
      <c r="AC380">
        <v>6.2</v>
      </c>
      <c r="AD380" t="s">
        <v>53</v>
      </c>
      <c r="AE380" t="str">
        <f>IF(AND(data[[#This Row],[Age]]&gt;=18,data[[#This Row],[Age]]&lt;=24),"18-24",IF(AND(data[[#This Row],[Age]]&gt;=25,data[[#This Row],[Age]]&lt;=34),"25-34",IF(AND(data[[#This Row],[Age]]&gt;35,data[[#This Row],[Age]]&lt;=44),"35-44",IF(data[[#This Row],[Age]]&gt;44,"45+",IF(data[[#This Row],[Age]]&lt;18,"below 18 ")))))</f>
        <v>18-24</v>
      </c>
    </row>
    <row r="381" spans="1:31" x14ac:dyDescent="0.25">
      <c r="A381" t="s">
        <v>434</v>
      </c>
      <c r="B381">
        <v>44</v>
      </c>
      <c r="C381" t="s">
        <v>50</v>
      </c>
      <c r="D381" t="s">
        <v>64</v>
      </c>
      <c r="E381" t="s">
        <v>33</v>
      </c>
      <c r="F381" t="s">
        <v>48</v>
      </c>
      <c r="G381">
        <v>4</v>
      </c>
      <c r="H381">
        <v>4</v>
      </c>
      <c r="I381">
        <v>4</v>
      </c>
      <c r="J381" t="s">
        <v>42</v>
      </c>
      <c r="K381" t="s">
        <v>52</v>
      </c>
      <c r="L381">
        <v>67</v>
      </c>
      <c r="M381">
        <v>6.1</v>
      </c>
      <c r="N381">
        <v>3.2</v>
      </c>
      <c r="O381">
        <v>2.2000000000000002</v>
      </c>
      <c r="P381">
        <v>2.1</v>
      </c>
      <c r="Q381" t="s">
        <v>35</v>
      </c>
      <c r="R381" t="s">
        <v>42</v>
      </c>
      <c r="S381">
        <v>1.3</v>
      </c>
      <c r="T381">
        <v>2.6</v>
      </c>
      <c r="U381">
        <v>4.5999999999999996</v>
      </c>
      <c r="V381">
        <v>5.6</v>
      </c>
      <c r="W381">
        <v>1.3</v>
      </c>
      <c r="X381">
        <v>7.4</v>
      </c>
      <c r="Y381">
        <v>3</v>
      </c>
      <c r="Z381">
        <v>4</v>
      </c>
      <c r="AA381">
        <v>3.5</v>
      </c>
      <c r="AB381">
        <v>2.6</v>
      </c>
      <c r="AC381">
        <v>6.5</v>
      </c>
      <c r="AD381" t="s">
        <v>53</v>
      </c>
      <c r="AE381" t="str">
        <f>IF(AND(data[[#This Row],[Age]]&gt;=18,data[[#This Row],[Age]]&lt;=24),"18-24",IF(AND(data[[#This Row],[Age]]&gt;=25,data[[#This Row],[Age]]&lt;=34),"25-34",IF(AND(data[[#This Row],[Age]]&gt;35,data[[#This Row],[Age]]&lt;=44),"35-44",IF(data[[#This Row],[Age]]&gt;44,"45+",IF(data[[#This Row],[Age]]&lt;18,"below 18 ")))))</f>
        <v>35-44</v>
      </c>
    </row>
    <row r="382" spans="1:31" x14ac:dyDescent="0.25">
      <c r="A382" t="s">
        <v>435</v>
      </c>
      <c r="B382">
        <v>31</v>
      </c>
      <c r="C382" t="s">
        <v>31</v>
      </c>
      <c r="D382" t="s">
        <v>32</v>
      </c>
      <c r="E382" t="s">
        <v>58</v>
      </c>
      <c r="F382" t="s">
        <v>51</v>
      </c>
      <c r="G382">
        <v>8.1</v>
      </c>
      <c r="H382">
        <v>6</v>
      </c>
      <c r="I382">
        <v>3</v>
      </c>
      <c r="J382" t="s">
        <v>42</v>
      </c>
      <c r="K382" t="s">
        <v>36</v>
      </c>
      <c r="L382">
        <v>57</v>
      </c>
      <c r="M382">
        <v>2.1</v>
      </c>
      <c r="N382">
        <v>5.4</v>
      </c>
      <c r="O382">
        <v>6.4</v>
      </c>
      <c r="P382">
        <v>2.7</v>
      </c>
      <c r="Q382" t="s">
        <v>35</v>
      </c>
      <c r="R382" t="s">
        <v>35</v>
      </c>
      <c r="S382">
        <v>6.4</v>
      </c>
      <c r="T382">
        <v>4.5999999999999996</v>
      </c>
      <c r="U382">
        <v>0.5</v>
      </c>
      <c r="V382">
        <v>6.7</v>
      </c>
      <c r="W382">
        <v>1.7</v>
      </c>
      <c r="X382">
        <v>6.1</v>
      </c>
      <c r="Y382">
        <v>4.9000000000000004</v>
      </c>
      <c r="Z382">
        <v>6.2</v>
      </c>
      <c r="AA382">
        <v>4.9000000000000004</v>
      </c>
      <c r="AB382">
        <v>5.4</v>
      </c>
      <c r="AC382">
        <v>5.9</v>
      </c>
      <c r="AD382" t="s">
        <v>45</v>
      </c>
      <c r="AE382" t="str">
        <f>IF(AND(data[[#This Row],[Age]]&gt;=18,data[[#This Row],[Age]]&lt;=24),"18-24",IF(AND(data[[#This Row],[Age]]&gt;=25,data[[#This Row],[Age]]&lt;=34),"25-34",IF(AND(data[[#This Row],[Age]]&gt;35,data[[#This Row],[Age]]&lt;=44),"35-44",IF(data[[#This Row],[Age]]&gt;44,"45+",IF(data[[#This Row],[Age]]&lt;18,"below 18 ")))))</f>
        <v>25-34</v>
      </c>
    </row>
    <row r="383" spans="1:31" x14ac:dyDescent="0.25">
      <c r="A383" t="s">
        <v>436</v>
      </c>
      <c r="B383">
        <v>25</v>
      </c>
      <c r="C383" t="s">
        <v>31</v>
      </c>
      <c r="D383" t="s">
        <v>64</v>
      </c>
      <c r="E383" t="s">
        <v>58</v>
      </c>
      <c r="F383" t="s">
        <v>51</v>
      </c>
      <c r="G383">
        <v>4.8</v>
      </c>
      <c r="H383">
        <v>3</v>
      </c>
      <c r="I383">
        <v>3</v>
      </c>
      <c r="J383" t="s">
        <v>35</v>
      </c>
      <c r="K383" t="s">
        <v>36</v>
      </c>
      <c r="L383">
        <v>58</v>
      </c>
      <c r="M383">
        <v>3.5</v>
      </c>
      <c r="N383">
        <v>3.5</v>
      </c>
      <c r="O383">
        <v>3.7</v>
      </c>
      <c r="P383">
        <v>1.1000000000000001</v>
      </c>
      <c r="R383" t="s">
        <v>42</v>
      </c>
      <c r="S383">
        <v>5.3</v>
      </c>
      <c r="T383">
        <v>5</v>
      </c>
      <c r="U383">
        <v>4.4000000000000004</v>
      </c>
      <c r="V383">
        <v>2.5</v>
      </c>
      <c r="W383">
        <v>6.4</v>
      </c>
      <c r="X383">
        <v>7.8</v>
      </c>
      <c r="Y383">
        <v>2.1</v>
      </c>
      <c r="Z383">
        <v>2.4</v>
      </c>
      <c r="AA383">
        <v>0</v>
      </c>
      <c r="AB383">
        <v>2.8</v>
      </c>
      <c r="AC383">
        <v>6.9</v>
      </c>
      <c r="AD383" t="s">
        <v>53</v>
      </c>
      <c r="AE383" t="str">
        <f>IF(AND(data[[#This Row],[Age]]&gt;=18,data[[#This Row],[Age]]&lt;=24),"18-24",IF(AND(data[[#This Row],[Age]]&gt;=25,data[[#This Row],[Age]]&lt;=34),"25-34",IF(AND(data[[#This Row],[Age]]&gt;35,data[[#This Row],[Age]]&lt;=44),"35-44",IF(data[[#This Row],[Age]]&gt;44,"45+",IF(data[[#This Row],[Age]]&lt;18,"below 18 ")))))</f>
        <v>25-34</v>
      </c>
    </row>
    <row r="384" spans="1:31" x14ac:dyDescent="0.25">
      <c r="A384" t="s">
        <v>437</v>
      </c>
      <c r="B384">
        <v>37</v>
      </c>
      <c r="C384" t="s">
        <v>50</v>
      </c>
      <c r="D384" t="s">
        <v>32</v>
      </c>
      <c r="E384" t="s">
        <v>58</v>
      </c>
      <c r="F384" t="s">
        <v>34</v>
      </c>
      <c r="G384">
        <v>3.9</v>
      </c>
      <c r="H384">
        <v>1</v>
      </c>
      <c r="I384">
        <v>10</v>
      </c>
      <c r="J384" t="s">
        <v>42</v>
      </c>
      <c r="K384" t="s">
        <v>36</v>
      </c>
      <c r="L384">
        <v>59</v>
      </c>
      <c r="M384">
        <v>5.4</v>
      </c>
      <c r="N384">
        <v>3.8</v>
      </c>
      <c r="O384">
        <v>5.6</v>
      </c>
      <c r="P384">
        <v>5.5</v>
      </c>
      <c r="Q384" t="s">
        <v>35</v>
      </c>
      <c r="R384" t="s">
        <v>35</v>
      </c>
      <c r="S384">
        <v>5.8</v>
      </c>
      <c r="T384">
        <v>4.5</v>
      </c>
      <c r="U384">
        <v>3.5</v>
      </c>
      <c r="V384">
        <v>2.9</v>
      </c>
      <c r="W384">
        <v>8.1999999999999993</v>
      </c>
      <c r="X384">
        <v>6.4</v>
      </c>
      <c r="Y384">
        <v>5.9</v>
      </c>
      <c r="AA384">
        <v>1.8</v>
      </c>
      <c r="AB384">
        <v>3.8</v>
      </c>
      <c r="AC384">
        <v>5.8</v>
      </c>
      <c r="AD384" t="s">
        <v>45</v>
      </c>
      <c r="AE384" t="str">
        <f>IF(AND(data[[#This Row],[Age]]&gt;=18,data[[#This Row],[Age]]&lt;=24),"18-24",IF(AND(data[[#This Row],[Age]]&gt;=25,data[[#This Row],[Age]]&lt;=34),"25-34",IF(AND(data[[#This Row],[Age]]&gt;35,data[[#This Row],[Age]]&lt;=44),"35-44",IF(data[[#This Row],[Age]]&gt;44,"45+",IF(data[[#This Row],[Age]]&lt;18,"below 18 ")))))</f>
        <v>35-44</v>
      </c>
    </row>
    <row r="385" spans="1:31" x14ac:dyDescent="0.25">
      <c r="A385" t="s">
        <v>438</v>
      </c>
      <c r="B385">
        <v>29</v>
      </c>
      <c r="C385" t="s">
        <v>47</v>
      </c>
      <c r="D385" t="s">
        <v>57</v>
      </c>
      <c r="E385" t="s">
        <v>40</v>
      </c>
      <c r="F385" t="s">
        <v>51</v>
      </c>
      <c r="G385">
        <v>3.7</v>
      </c>
      <c r="H385">
        <v>3</v>
      </c>
      <c r="I385">
        <v>4</v>
      </c>
      <c r="J385" t="s">
        <v>35</v>
      </c>
      <c r="K385" t="s">
        <v>36</v>
      </c>
      <c r="L385">
        <v>70</v>
      </c>
      <c r="M385">
        <v>10</v>
      </c>
      <c r="N385">
        <v>4.5</v>
      </c>
      <c r="O385">
        <v>3.6</v>
      </c>
      <c r="P385">
        <v>3.7</v>
      </c>
      <c r="Q385" t="s">
        <v>35</v>
      </c>
      <c r="R385" t="s">
        <v>42</v>
      </c>
      <c r="S385">
        <v>4.7</v>
      </c>
      <c r="T385">
        <v>6.4</v>
      </c>
      <c r="U385">
        <v>7.1</v>
      </c>
      <c r="V385">
        <v>5.5</v>
      </c>
      <c r="W385">
        <v>7.6</v>
      </c>
      <c r="X385">
        <v>4.5999999999999996</v>
      </c>
      <c r="Y385">
        <v>9.1</v>
      </c>
      <c r="Z385">
        <v>7.3</v>
      </c>
      <c r="AA385">
        <v>3.5</v>
      </c>
      <c r="AB385">
        <v>3.7</v>
      </c>
      <c r="AC385">
        <v>5.2</v>
      </c>
      <c r="AD385" t="s">
        <v>45</v>
      </c>
      <c r="AE385" t="str">
        <f>IF(AND(data[[#This Row],[Age]]&gt;=18,data[[#This Row],[Age]]&lt;=24),"18-24",IF(AND(data[[#This Row],[Age]]&gt;=25,data[[#This Row],[Age]]&lt;=34),"25-34",IF(AND(data[[#This Row],[Age]]&gt;35,data[[#This Row],[Age]]&lt;=44),"35-44",IF(data[[#This Row],[Age]]&gt;44,"45+",IF(data[[#This Row],[Age]]&lt;18,"below 18 ")))))</f>
        <v>25-34</v>
      </c>
    </row>
    <row r="386" spans="1:31" x14ac:dyDescent="0.25">
      <c r="A386" t="s">
        <v>439</v>
      </c>
      <c r="B386">
        <v>19</v>
      </c>
      <c r="C386" t="s">
        <v>47</v>
      </c>
      <c r="D386" t="s">
        <v>64</v>
      </c>
      <c r="E386" t="s">
        <v>58</v>
      </c>
      <c r="F386" t="s">
        <v>70</v>
      </c>
      <c r="G386">
        <v>1.7</v>
      </c>
      <c r="H386">
        <v>1</v>
      </c>
      <c r="I386">
        <v>5</v>
      </c>
      <c r="K386" t="s">
        <v>62</v>
      </c>
      <c r="L386">
        <v>6</v>
      </c>
      <c r="M386">
        <v>7.1</v>
      </c>
      <c r="N386">
        <v>1.9</v>
      </c>
      <c r="O386">
        <v>2.4</v>
      </c>
      <c r="P386">
        <v>5.6</v>
      </c>
      <c r="Q386" t="s">
        <v>42</v>
      </c>
      <c r="R386" t="s">
        <v>35</v>
      </c>
      <c r="S386">
        <v>2.5</v>
      </c>
      <c r="T386">
        <v>5.8</v>
      </c>
      <c r="U386">
        <v>3.8</v>
      </c>
      <c r="V386">
        <v>4</v>
      </c>
      <c r="W386">
        <v>6.7</v>
      </c>
      <c r="Y386">
        <v>2.5</v>
      </c>
      <c r="Z386">
        <v>5.6</v>
      </c>
      <c r="AA386">
        <v>2</v>
      </c>
      <c r="AB386">
        <v>2.2999999999999998</v>
      </c>
      <c r="AC386">
        <v>9.1</v>
      </c>
      <c r="AD386" t="s">
        <v>37</v>
      </c>
      <c r="AE386" t="str">
        <f>IF(AND(data[[#This Row],[Age]]&gt;=18,data[[#This Row],[Age]]&lt;=24),"18-24",IF(AND(data[[#This Row],[Age]]&gt;=25,data[[#This Row],[Age]]&lt;=34),"25-34",IF(AND(data[[#This Row],[Age]]&gt;35,data[[#This Row],[Age]]&lt;=44),"35-44",IF(data[[#This Row],[Age]]&gt;44,"45+",IF(data[[#This Row],[Age]]&lt;18,"below 18 ")))))</f>
        <v>18-24</v>
      </c>
    </row>
    <row r="387" spans="1:31" x14ac:dyDescent="0.25">
      <c r="A387" t="s">
        <v>440</v>
      </c>
      <c r="B387">
        <v>29</v>
      </c>
      <c r="C387" t="s">
        <v>47</v>
      </c>
      <c r="D387" t="s">
        <v>32</v>
      </c>
      <c r="E387" t="s">
        <v>40</v>
      </c>
      <c r="F387" t="s">
        <v>34</v>
      </c>
      <c r="G387">
        <v>6.2</v>
      </c>
      <c r="H387">
        <v>1</v>
      </c>
      <c r="I387">
        <v>3</v>
      </c>
      <c r="J387" t="s">
        <v>42</v>
      </c>
      <c r="K387" t="s">
        <v>52</v>
      </c>
      <c r="L387">
        <v>48</v>
      </c>
      <c r="M387">
        <v>6.2</v>
      </c>
      <c r="N387">
        <v>9.5</v>
      </c>
      <c r="O387">
        <v>6.6</v>
      </c>
      <c r="P387">
        <v>5.2</v>
      </c>
      <c r="Q387" t="s">
        <v>35</v>
      </c>
      <c r="R387" t="s">
        <v>35</v>
      </c>
      <c r="T387">
        <v>0</v>
      </c>
      <c r="U387">
        <v>4.2</v>
      </c>
      <c r="V387">
        <v>5.4</v>
      </c>
      <c r="W387">
        <v>5.4</v>
      </c>
      <c r="X387">
        <v>7.5</v>
      </c>
      <c r="Y387">
        <v>8.5</v>
      </c>
      <c r="AA387">
        <v>0.4</v>
      </c>
      <c r="AB387">
        <v>1.3</v>
      </c>
      <c r="AC387">
        <v>4.8</v>
      </c>
      <c r="AD387" t="s">
        <v>43</v>
      </c>
      <c r="AE387" t="str">
        <f>IF(AND(data[[#This Row],[Age]]&gt;=18,data[[#This Row],[Age]]&lt;=24),"18-24",IF(AND(data[[#This Row],[Age]]&gt;=25,data[[#This Row],[Age]]&lt;=34),"25-34",IF(AND(data[[#This Row],[Age]]&gt;35,data[[#This Row],[Age]]&lt;=44),"35-44",IF(data[[#This Row],[Age]]&gt;44,"45+",IF(data[[#This Row],[Age]]&lt;18,"below 18 ")))))</f>
        <v>25-34</v>
      </c>
    </row>
    <row r="388" spans="1:31" x14ac:dyDescent="0.25">
      <c r="A388" t="s">
        <v>441</v>
      </c>
      <c r="B388">
        <v>21</v>
      </c>
      <c r="C388" t="s">
        <v>31</v>
      </c>
      <c r="E388" t="s">
        <v>33</v>
      </c>
      <c r="F388" t="s">
        <v>51</v>
      </c>
      <c r="G388">
        <v>3.2</v>
      </c>
      <c r="H388">
        <v>3</v>
      </c>
      <c r="I388">
        <v>1</v>
      </c>
      <c r="J388" t="s">
        <v>42</v>
      </c>
      <c r="K388" t="s">
        <v>36</v>
      </c>
      <c r="L388">
        <v>28</v>
      </c>
      <c r="M388">
        <v>3.7</v>
      </c>
      <c r="N388">
        <v>2.2999999999999998</v>
      </c>
      <c r="O388">
        <v>3.4</v>
      </c>
      <c r="P388">
        <v>5.6</v>
      </c>
      <c r="Q388" t="s">
        <v>35</v>
      </c>
      <c r="R388" t="s">
        <v>42</v>
      </c>
      <c r="S388">
        <v>5.9</v>
      </c>
      <c r="T388">
        <v>0.9</v>
      </c>
      <c r="U388">
        <v>4.5</v>
      </c>
      <c r="V388">
        <v>5.7</v>
      </c>
      <c r="W388">
        <v>8.8000000000000007</v>
      </c>
      <c r="X388">
        <v>7.9</v>
      </c>
      <c r="Y388">
        <v>6.4</v>
      </c>
      <c r="Z388">
        <v>6</v>
      </c>
      <c r="AA388">
        <v>4.0999999999999996</v>
      </c>
      <c r="AB388">
        <v>4.5999999999999996</v>
      </c>
      <c r="AC388">
        <v>6.3</v>
      </c>
      <c r="AD388" t="s">
        <v>53</v>
      </c>
      <c r="AE388" t="str">
        <f>IF(AND(data[[#This Row],[Age]]&gt;=18,data[[#This Row],[Age]]&lt;=24),"18-24",IF(AND(data[[#This Row],[Age]]&gt;=25,data[[#This Row],[Age]]&lt;=34),"25-34",IF(AND(data[[#This Row],[Age]]&gt;35,data[[#This Row],[Age]]&lt;=44),"35-44",IF(data[[#This Row],[Age]]&gt;44,"45+",IF(data[[#This Row],[Age]]&lt;18,"below 18 ")))))</f>
        <v>18-24</v>
      </c>
    </row>
    <row r="389" spans="1:31" x14ac:dyDescent="0.25">
      <c r="A389" t="s">
        <v>442</v>
      </c>
      <c r="B389">
        <v>28</v>
      </c>
      <c r="C389" t="s">
        <v>31</v>
      </c>
      <c r="D389" t="s">
        <v>39</v>
      </c>
      <c r="E389" t="s">
        <v>33</v>
      </c>
      <c r="F389" t="s">
        <v>70</v>
      </c>
      <c r="G389">
        <v>12</v>
      </c>
      <c r="H389">
        <v>1</v>
      </c>
      <c r="I389">
        <v>2</v>
      </c>
      <c r="J389" t="s">
        <v>42</v>
      </c>
      <c r="K389" t="s">
        <v>36</v>
      </c>
      <c r="L389">
        <v>56</v>
      </c>
      <c r="M389">
        <v>6</v>
      </c>
      <c r="N389">
        <v>6.2</v>
      </c>
      <c r="O389">
        <v>5.7</v>
      </c>
      <c r="P389">
        <v>9.4</v>
      </c>
      <c r="Q389" t="s">
        <v>42</v>
      </c>
      <c r="R389" t="s">
        <v>35</v>
      </c>
      <c r="S389">
        <v>7.5</v>
      </c>
      <c r="T389">
        <v>5.0999999999999996</v>
      </c>
      <c r="U389">
        <v>3.3</v>
      </c>
      <c r="V389">
        <v>4.8</v>
      </c>
      <c r="W389">
        <v>3</v>
      </c>
      <c r="X389">
        <v>7.6</v>
      </c>
      <c r="Y389">
        <v>6.5</v>
      </c>
      <c r="Z389">
        <v>2.4</v>
      </c>
      <c r="AA389">
        <v>2.9</v>
      </c>
      <c r="AB389">
        <v>5.7</v>
      </c>
      <c r="AC389">
        <v>3.7</v>
      </c>
      <c r="AD389" t="s">
        <v>43</v>
      </c>
      <c r="AE389" t="str">
        <f>IF(AND(data[[#This Row],[Age]]&gt;=18,data[[#This Row],[Age]]&lt;=24),"18-24",IF(AND(data[[#This Row],[Age]]&gt;=25,data[[#This Row],[Age]]&lt;=34),"25-34",IF(AND(data[[#This Row],[Age]]&gt;35,data[[#This Row],[Age]]&lt;=44),"35-44",IF(data[[#This Row],[Age]]&gt;44,"45+",IF(data[[#This Row],[Age]]&lt;18,"below 18 ")))))</f>
        <v>25-34</v>
      </c>
    </row>
    <row r="390" spans="1:31" x14ac:dyDescent="0.25">
      <c r="A390" t="s">
        <v>443</v>
      </c>
      <c r="B390">
        <v>17</v>
      </c>
      <c r="C390" t="s">
        <v>31</v>
      </c>
      <c r="D390" t="s">
        <v>64</v>
      </c>
      <c r="E390" t="s">
        <v>58</v>
      </c>
      <c r="F390" t="s">
        <v>34</v>
      </c>
      <c r="G390">
        <v>5.5</v>
      </c>
      <c r="H390">
        <v>4</v>
      </c>
      <c r="I390">
        <v>5</v>
      </c>
      <c r="J390" t="s">
        <v>42</v>
      </c>
      <c r="K390" t="s">
        <v>36</v>
      </c>
      <c r="L390">
        <v>67</v>
      </c>
      <c r="M390">
        <v>5.6</v>
      </c>
      <c r="N390">
        <v>8</v>
      </c>
      <c r="O390">
        <v>7.7</v>
      </c>
      <c r="P390">
        <v>7.1</v>
      </c>
      <c r="Q390" t="s">
        <v>35</v>
      </c>
      <c r="R390" t="s">
        <v>42</v>
      </c>
      <c r="S390">
        <v>1</v>
      </c>
      <c r="T390">
        <v>6.2</v>
      </c>
      <c r="U390">
        <v>6.8</v>
      </c>
      <c r="V390">
        <v>3.5</v>
      </c>
      <c r="W390">
        <v>3.8</v>
      </c>
      <c r="X390">
        <v>7.8</v>
      </c>
      <c r="Y390">
        <v>6.8</v>
      </c>
      <c r="Z390">
        <v>4.5</v>
      </c>
      <c r="AA390">
        <v>6.3</v>
      </c>
      <c r="AB390">
        <v>0</v>
      </c>
      <c r="AC390">
        <v>4.7</v>
      </c>
      <c r="AD390" t="s">
        <v>43</v>
      </c>
      <c r="AE390" t="str">
        <f>IF(AND(data[[#This Row],[Age]]&gt;=18,data[[#This Row],[Age]]&lt;=24),"18-24",IF(AND(data[[#This Row],[Age]]&gt;=25,data[[#This Row],[Age]]&lt;=34),"25-34",IF(AND(data[[#This Row],[Age]]&gt;35,data[[#This Row],[Age]]&lt;=44),"35-44",IF(data[[#This Row],[Age]]&gt;44,"45+",IF(data[[#This Row],[Age]]&lt;18,"below 18 ")))))</f>
        <v xml:space="preserve">below 18 </v>
      </c>
    </row>
    <row r="391" spans="1:31" x14ac:dyDescent="0.25">
      <c r="A391" t="s">
        <v>444</v>
      </c>
      <c r="B391">
        <v>27</v>
      </c>
      <c r="C391" t="s">
        <v>50</v>
      </c>
      <c r="D391" t="s">
        <v>32</v>
      </c>
      <c r="E391" t="s">
        <v>58</v>
      </c>
      <c r="F391" t="s">
        <v>48</v>
      </c>
      <c r="G391">
        <v>3.3</v>
      </c>
      <c r="H391">
        <v>5</v>
      </c>
      <c r="I391">
        <v>3</v>
      </c>
      <c r="J391" t="s">
        <v>35</v>
      </c>
      <c r="K391" t="s">
        <v>36</v>
      </c>
      <c r="L391">
        <v>106</v>
      </c>
      <c r="M391">
        <v>4.5</v>
      </c>
      <c r="N391">
        <v>4</v>
      </c>
      <c r="O391">
        <v>4.7</v>
      </c>
      <c r="P391">
        <v>8.9</v>
      </c>
      <c r="Q391" t="s">
        <v>42</v>
      </c>
      <c r="R391" t="s">
        <v>42</v>
      </c>
      <c r="S391">
        <v>5.5</v>
      </c>
      <c r="T391">
        <v>8.1999999999999993</v>
      </c>
      <c r="U391">
        <v>4.9000000000000004</v>
      </c>
      <c r="V391">
        <v>7.7</v>
      </c>
      <c r="W391">
        <v>9.1</v>
      </c>
      <c r="X391">
        <v>6</v>
      </c>
      <c r="Y391">
        <v>5.0999999999999996</v>
      </c>
      <c r="Z391">
        <v>10</v>
      </c>
      <c r="AA391">
        <v>3.2</v>
      </c>
      <c r="AB391">
        <v>5.8</v>
      </c>
      <c r="AC391">
        <v>6.9</v>
      </c>
      <c r="AD391" t="s">
        <v>53</v>
      </c>
      <c r="AE391" t="str">
        <f>IF(AND(data[[#This Row],[Age]]&gt;=18,data[[#This Row],[Age]]&lt;=24),"18-24",IF(AND(data[[#This Row],[Age]]&gt;=25,data[[#This Row],[Age]]&lt;=34),"25-34",IF(AND(data[[#This Row],[Age]]&gt;35,data[[#This Row],[Age]]&lt;=44),"35-44",IF(data[[#This Row],[Age]]&gt;44,"45+",IF(data[[#This Row],[Age]]&lt;18,"below 18 ")))))</f>
        <v>25-34</v>
      </c>
    </row>
    <row r="392" spans="1:31" x14ac:dyDescent="0.25">
      <c r="A392" t="s">
        <v>445</v>
      </c>
      <c r="B392">
        <v>37</v>
      </c>
      <c r="C392" t="s">
        <v>31</v>
      </c>
      <c r="D392" t="s">
        <v>57</v>
      </c>
      <c r="E392" t="s">
        <v>58</v>
      </c>
      <c r="F392" t="s">
        <v>41</v>
      </c>
      <c r="G392">
        <v>2</v>
      </c>
      <c r="H392">
        <v>2</v>
      </c>
      <c r="I392">
        <v>3</v>
      </c>
      <c r="J392" t="s">
        <v>35</v>
      </c>
      <c r="K392" t="s">
        <v>36</v>
      </c>
      <c r="L392">
        <v>64</v>
      </c>
      <c r="M392">
        <v>5.3</v>
      </c>
      <c r="N392">
        <v>4.3</v>
      </c>
      <c r="P392">
        <v>4.7</v>
      </c>
      <c r="Q392" t="s">
        <v>42</v>
      </c>
      <c r="R392" t="s">
        <v>35</v>
      </c>
      <c r="S392">
        <v>3</v>
      </c>
      <c r="T392">
        <v>8</v>
      </c>
      <c r="U392">
        <v>3.1</v>
      </c>
      <c r="V392">
        <v>6.2</v>
      </c>
      <c r="W392">
        <v>2.7</v>
      </c>
      <c r="X392">
        <v>7.9</v>
      </c>
      <c r="Y392">
        <v>3.9</v>
      </c>
      <c r="Z392">
        <v>5.2</v>
      </c>
      <c r="AA392">
        <v>1.4</v>
      </c>
      <c r="AB392">
        <v>0.1</v>
      </c>
      <c r="AC392">
        <v>6.8</v>
      </c>
      <c r="AD392" t="s">
        <v>53</v>
      </c>
      <c r="AE392" t="str">
        <f>IF(AND(data[[#This Row],[Age]]&gt;=18,data[[#This Row],[Age]]&lt;=24),"18-24",IF(AND(data[[#This Row],[Age]]&gt;=25,data[[#This Row],[Age]]&lt;=34),"25-34",IF(AND(data[[#This Row],[Age]]&gt;35,data[[#This Row],[Age]]&lt;=44),"35-44",IF(data[[#This Row],[Age]]&gt;44,"45+",IF(data[[#This Row],[Age]]&lt;18,"below 18 ")))))</f>
        <v>35-44</v>
      </c>
    </row>
    <row r="393" spans="1:31" x14ac:dyDescent="0.25">
      <c r="A393" t="s">
        <v>446</v>
      </c>
      <c r="B393">
        <v>39</v>
      </c>
      <c r="C393" t="s">
        <v>50</v>
      </c>
      <c r="D393" t="s">
        <v>32</v>
      </c>
      <c r="E393" t="s">
        <v>33</v>
      </c>
      <c r="F393" t="s">
        <v>41</v>
      </c>
      <c r="G393">
        <v>3.5</v>
      </c>
      <c r="H393">
        <v>1</v>
      </c>
      <c r="I393">
        <v>2</v>
      </c>
      <c r="J393" t="s">
        <v>42</v>
      </c>
      <c r="K393" t="s">
        <v>36</v>
      </c>
      <c r="L393">
        <v>88</v>
      </c>
      <c r="M393">
        <v>7.9</v>
      </c>
      <c r="N393">
        <v>4.9000000000000004</v>
      </c>
      <c r="O393">
        <v>3.2</v>
      </c>
      <c r="P393">
        <v>7.9</v>
      </c>
      <c r="Q393" t="s">
        <v>42</v>
      </c>
      <c r="R393" t="s">
        <v>35</v>
      </c>
      <c r="S393">
        <v>4.4000000000000004</v>
      </c>
      <c r="T393">
        <v>5.5</v>
      </c>
      <c r="U393">
        <v>2.9</v>
      </c>
      <c r="V393">
        <v>7.6</v>
      </c>
      <c r="W393">
        <v>6.1</v>
      </c>
      <c r="X393">
        <v>6.1</v>
      </c>
      <c r="Y393">
        <v>6</v>
      </c>
      <c r="Z393">
        <v>7.2</v>
      </c>
      <c r="AB393">
        <v>1.7</v>
      </c>
      <c r="AC393">
        <v>6.3</v>
      </c>
      <c r="AD393" t="s">
        <v>53</v>
      </c>
      <c r="AE393" t="str">
        <f>IF(AND(data[[#This Row],[Age]]&gt;=18,data[[#This Row],[Age]]&lt;=24),"18-24",IF(AND(data[[#This Row],[Age]]&gt;=25,data[[#This Row],[Age]]&lt;=34),"25-34",IF(AND(data[[#This Row],[Age]]&gt;35,data[[#This Row],[Age]]&lt;=44),"35-44",IF(data[[#This Row],[Age]]&gt;44,"45+",IF(data[[#This Row],[Age]]&lt;18,"below 18 ")))))</f>
        <v>35-44</v>
      </c>
    </row>
    <row r="394" spans="1:31" x14ac:dyDescent="0.25">
      <c r="A394" t="s">
        <v>447</v>
      </c>
      <c r="B394">
        <v>44</v>
      </c>
      <c r="C394" t="s">
        <v>31</v>
      </c>
      <c r="D394" t="s">
        <v>32</v>
      </c>
      <c r="E394" t="s">
        <v>58</v>
      </c>
      <c r="F394" t="s">
        <v>34</v>
      </c>
      <c r="G394">
        <v>5.4</v>
      </c>
      <c r="H394">
        <v>4</v>
      </c>
      <c r="I394">
        <v>4</v>
      </c>
      <c r="J394" t="s">
        <v>35</v>
      </c>
      <c r="K394" t="s">
        <v>36</v>
      </c>
      <c r="L394">
        <v>103</v>
      </c>
      <c r="M394">
        <v>3.8</v>
      </c>
      <c r="N394">
        <v>5.4</v>
      </c>
      <c r="O394">
        <v>3.1</v>
      </c>
      <c r="P394">
        <v>6.2</v>
      </c>
      <c r="Q394" t="s">
        <v>35</v>
      </c>
      <c r="R394" t="s">
        <v>42</v>
      </c>
      <c r="S394">
        <v>4.5</v>
      </c>
      <c r="T394">
        <v>6.1</v>
      </c>
      <c r="U394">
        <v>4.5999999999999996</v>
      </c>
      <c r="V394">
        <v>9.5</v>
      </c>
      <c r="W394">
        <v>7.3</v>
      </c>
      <c r="X394">
        <v>4.7</v>
      </c>
      <c r="Y394">
        <v>0</v>
      </c>
      <c r="AB394">
        <v>2.2000000000000002</v>
      </c>
      <c r="AC394">
        <v>9.1999999999999993</v>
      </c>
      <c r="AD394" t="s">
        <v>37</v>
      </c>
      <c r="AE394" t="str">
        <f>IF(AND(data[[#This Row],[Age]]&gt;=18,data[[#This Row],[Age]]&lt;=24),"18-24",IF(AND(data[[#This Row],[Age]]&gt;=25,data[[#This Row],[Age]]&lt;=34),"25-34",IF(AND(data[[#This Row],[Age]]&gt;35,data[[#This Row],[Age]]&lt;=44),"35-44",IF(data[[#This Row],[Age]]&gt;44,"45+",IF(data[[#This Row],[Age]]&lt;18,"below 18 ")))))</f>
        <v>35-44</v>
      </c>
    </row>
    <row r="395" spans="1:31" x14ac:dyDescent="0.25">
      <c r="A395" t="s">
        <v>448</v>
      </c>
      <c r="B395">
        <v>42</v>
      </c>
      <c r="C395" t="s">
        <v>47</v>
      </c>
      <c r="D395" t="s">
        <v>32</v>
      </c>
      <c r="E395" t="s">
        <v>40</v>
      </c>
      <c r="F395" t="s">
        <v>41</v>
      </c>
      <c r="G395">
        <v>3.3</v>
      </c>
      <c r="H395">
        <v>1</v>
      </c>
      <c r="I395">
        <v>5</v>
      </c>
      <c r="J395" t="s">
        <v>42</v>
      </c>
      <c r="K395" t="s">
        <v>62</v>
      </c>
      <c r="L395">
        <v>115</v>
      </c>
      <c r="M395">
        <v>6.3</v>
      </c>
      <c r="N395">
        <v>8.3000000000000007</v>
      </c>
      <c r="O395">
        <v>7</v>
      </c>
      <c r="P395">
        <v>9.3000000000000007</v>
      </c>
      <c r="Q395" t="s">
        <v>35</v>
      </c>
      <c r="R395" t="s">
        <v>35</v>
      </c>
      <c r="S395">
        <v>6.7</v>
      </c>
      <c r="U395">
        <v>5</v>
      </c>
      <c r="V395">
        <v>6.4</v>
      </c>
      <c r="W395">
        <v>7.4</v>
      </c>
      <c r="X395">
        <v>5</v>
      </c>
      <c r="Y395">
        <v>5.9</v>
      </c>
      <c r="Z395">
        <v>9.1999999999999993</v>
      </c>
      <c r="AA395">
        <v>2.9</v>
      </c>
      <c r="AB395">
        <v>1.5</v>
      </c>
      <c r="AC395">
        <v>6.6</v>
      </c>
      <c r="AD395" t="s">
        <v>53</v>
      </c>
      <c r="AE395" t="str">
        <f>IF(AND(data[[#This Row],[Age]]&gt;=18,data[[#This Row],[Age]]&lt;=24),"18-24",IF(AND(data[[#This Row],[Age]]&gt;=25,data[[#This Row],[Age]]&lt;=34),"25-34",IF(AND(data[[#This Row],[Age]]&gt;35,data[[#This Row],[Age]]&lt;=44),"35-44",IF(data[[#This Row],[Age]]&gt;44,"45+",IF(data[[#This Row],[Age]]&lt;18,"below 18 ")))))</f>
        <v>35-44</v>
      </c>
    </row>
    <row r="396" spans="1:31" x14ac:dyDescent="0.25">
      <c r="A396" t="s">
        <v>449</v>
      </c>
      <c r="B396">
        <v>42</v>
      </c>
      <c r="C396" t="s">
        <v>47</v>
      </c>
      <c r="D396" t="s">
        <v>32</v>
      </c>
      <c r="E396" t="s">
        <v>58</v>
      </c>
      <c r="F396" t="s">
        <v>48</v>
      </c>
      <c r="G396">
        <v>5.8</v>
      </c>
      <c r="H396">
        <v>3</v>
      </c>
      <c r="I396">
        <v>4</v>
      </c>
      <c r="J396" t="s">
        <v>35</v>
      </c>
      <c r="K396" t="s">
        <v>52</v>
      </c>
      <c r="L396">
        <v>16</v>
      </c>
      <c r="M396">
        <v>4</v>
      </c>
      <c r="N396">
        <v>8.8000000000000007</v>
      </c>
      <c r="O396">
        <v>4.7</v>
      </c>
      <c r="P396">
        <v>3.5</v>
      </c>
      <c r="Q396" t="s">
        <v>42</v>
      </c>
      <c r="R396" t="s">
        <v>35</v>
      </c>
      <c r="S396">
        <v>6.4</v>
      </c>
      <c r="T396">
        <v>4</v>
      </c>
      <c r="U396">
        <v>6.3</v>
      </c>
      <c r="V396">
        <v>5.6</v>
      </c>
      <c r="W396">
        <v>3.1</v>
      </c>
      <c r="X396">
        <v>6.7</v>
      </c>
      <c r="Y396">
        <v>0.8</v>
      </c>
      <c r="Z396">
        <v>5.6</v>
      </c>
      <c r="AA396">
        <v>0.9</v>
      </c>
      <c r="AB396">
        <v>2.1</v>
      </c>
      <c r="AC396">
        <v>6.9</v>
      </c>
      <c r="AD396" t="s">
        <v>37</v>
      </c>
      <c r="AE396" t="str">
        <f>IF(AND(data[[#This Row],[Age]]&gt;=18,data[[#This Row],[Age]]&lt;=24),"18-24",IF(AND(data[[#This Row],[Age]]&gt;=25,data[[#This Row],[Age]]&lt;=34),"25-34",IF(AND(data[[#This Row],[Age]]&gt;35,data[[#This Row],[Age]]&lt;=44),"35-44",IF(data[[#This Row],[Age]]&gt;44,"45+",IF(data[[#This Row],[Age]]&lt;18,"below 18 ")))))</f>
        <v>35-44</v>
      </c>
    </row>
    <row r="397" spans="1:31" x14ac:dyDescent="0.25">
      <c r="A397" t="s">
        <v>450</v>
      </c>
      <c r="B397">
        <v>38</v>
      </c>
      <c r="C397" t="s">
        <v>31</v>
      </c>
      <c r="D397" t="s">
        <v>32</v>
      </c>
      <c r="E397" t="s">
        <v>58</v>
      </c>
      <c r="F397" t="s">
        <v>51</v>
      </c>
      <c r="G397">
        <v>6</v>
      </c>
      <c r="H397">
        <v>1</v>
      </c>
      <c r="I397">
        <v>4</v>
      </c>
      <c r="J397" t="s">
        <v>35</v>
      </c>
      <c r="K397" t="s">
        <v>36</v>
      </c>
      <c r="L397">
        <v>41</v>
      </c>
      <c r="M397">
        <v>5.6</v>
      </c>
      <c r="N397">
        <v>4.0999999999999996</v>
      </c>
      <c r="O397">
        <v>7.2</v>
      </c>
      <c r="P397">
        <v>5.6</v>
      </c>
      <c r="Q397" t="s">
        <v>35</v>
      </c>
      <c r="R397" t="s">
        <v>35</v>
      </c>
      <c r="S397">
        <v>3.9</v>
      </c>
      <c r="T397">
        <v>4.3</v>
      </c>
      <c r="U397">
        <v>5.4</v>
      </c>
      <c r="V397">
        <v>5.5</v>
      </c>
      <c r="W397">
        <v>8</v>
      </c>
      <c r="X397">
        <v>6.8</v>
      </c>
      <c r="Y397">
        <v>5.7</v>
      </c>
      <c r="Z397">
        <v>5.3</v>
      </c>
      <c r="AA397">
        <v>0.9</v>
      </c>
      <c r="AB397">
        <v>3.9</v>
      </c>
      <c r="AC397">
        <v>7.4</v>
      </c>
      <c r="AD397" t="s">
        <v>37</v>
      </c>
      <c r="AE397" t="str">
        <f>IF(AND(data[[#This Row],[Age]]&gt;=18,data[[#This Row],[Age]]&lt;=24),"18-24",IF(AND(data[[#This Row],[Age]]&gt;=25,data[[#This Row],[Age]]&lt;=34),"25-34",IF(AND(data[[#This Row],[Age]]&gt;35,data[[#This Row],[Age]]&lt;=44),"35-44",IF(data[[#This Row],[Age]]&gt;44,"45+",IF(data[[#This Row],[Age]]&lt;18,"below 18 ")))))</f>
        <v>35-44</v>
      </c>
    </row>
    <row r="398" spans="1:31" x14ac:dyDescent="0.25">
      <c r="A398" t="s">
        <v>451</v>
      </c>
      <c r="B398">
        <v>31</v>
      </c>
      <c r="C398" t="s">
        <v>47</v>
      </c>
      <c r="D398" t="s">
        <v>57</v>
      </c>
      <c r="E398" t="s">
        <v>33</v>
      </c>
      <c r="F398" t="s">
        <v>70</v>
      </c>
      <c r="G398">
        <v>5.7</v>
      </c>
      <c r="H398">
        <v>1</v>
      </c>
      <c r="I398">
        <v>2</v>
      </c>
      <c r="J398" t="s">
        <v>42</v>
      </c>
      <c r="K398" t="s">
        <v>62</v>
      </c>
      <c r="L398">
        <v>77</v>
      </c>
      <c r="M398">
        <v>5.2</v>
      </c>
      <c r="N398">
        <v>5.8</v>
      </c>
      <c r="O398">
        <v>6.5</v>
      </c>
      <c r="P398">
        <v>5.6</v>
      </c>
      <c r="Q398" t="s">
        <v>42</v>
      </c>
      <c r="R398" t="s">
        <v>35</v>
      </c>
      <c r="S398">
        <v>6.1</v>
      </c>
      <c r="T398">
        <v>5.0999999999999996</v>
      </c>
      <c r="U398">
        <v>2.8</v>
      </c>
      <c r="V398">
        <v>2.9</v>
      </c>
      <c r="W398">
        <v>4</v>
      </c>
      <c r="X398">
        <v>3.7</v>
      </c>
      <c r="Y398">
        <v>4.9000000000000004</v>
      </c>
      <c r="Z398">
        <v>8.8000000000000007</v>
      </c>
      <c r="AA398">
        <v>1.5</v>
      </c>
      <c r="AB398">
        <v>3.8</v>
      </c>
      <c r="AC398">
        <v>7.3</v>
      </c>
      <c r="AD398" t="s">
        <v>53</v>
      </c>
      <c r="AE398" t="str">
        <f>IF(AND(data[[#This Row],[Age]]&gt;=18,data[[#This Row],[Age]]&lt;=24),"18-24",IF(AND(data[[#This Row],[Age]]&gt;=25,data[[#This Row],[Age]]&lt;=34),"25-34",IF(AND(data[[#This Row],[Age]]&gt;35,data[[#This Row],[Age]]&lt;=44),"35-44",IF(data[[#This Row],[Age]]&gt;44,"45+",IF(data[[#This Row],[Age]]&lt;18,"below 18 ")))))</f>
        <v>25-34</v>
      </c>
    </row>
    <row r="399" spans="1:31" x14ac:dyDescent="0.25">
      <c r="A399" t="s">
        <v>452</v>
      </c>
      <c r="B399">
        <v>29</v>
      </c>
      <c r="C399" t="s">
        <v>47</v>
      </c>
      <c r="D399" t="s">
        <v>32</v>
      </c>
      <c r="E399" t="s">
        <v>33</v>
      </c>
      <c r="F399" t="s">
        <v>34</v>
      </c>
      <c r="G399">
        <v>5.6</v>
      </c>
      <c r="H399">
        <v>3</v>
      </c>
      <c r="I399">
        <v>2</v>
      </c>
      <c r="J399" t="s">
        <v>35</v>
      </c>
      <c r="K399" t="s">
        <v>62</v>
      </c>
      <c r="L399">
        <v>5</v>
      </c>
      <c r="M399">
        <v>7.6</v>
      </c>
      <c r="N399">
        <v>5.4</v>
      </c>
      <c r="O399">
        <v>6.5</v>
      </c>
      <c r="P399">
        <v>0.3</v>
      </c>
      <c r="Q399" t="s">
        <v>42</v>
      </c>
      <c r="R399" t="s">
        <v>42</v>
      </c>
      <c r="S399">
        <v>0.9</v>
      </c>
      <c r="T399">
        <v>5</v>
      </c>
      <c r="U399">
        <v>4.3</v>
      </c>
      <c r="V399">
        <v>2.5</v>
      </c>
      <c r="W399">
        <v>8.8000000000000007</v>
      </c>
      <c r="X399">
        <v>7.3</v>
      </c>
      <c r="Y399">
        <v>7.1</v>
      </c>
      <c r="Z399">
        <v>2.7</v>
      </c>
      <c r="AA399">
        <v>4.5999999999999996</v>
      </c>
      <c r="AB399">
        <v>2.1</v>
      </c>
      <c r="AC399">
        <v>6.8</v>
      </c>
      <c r="AD399" t="s">
        <v>37</v>
      </c>
      <c r="AE399" t="str">
        <f>IF(AND(data[[#This Row],[Age]]&gt;=18,data[[#This Row],[Age]]&lt;=24),"18-24",IF(AND(data[[#This Row],[Age]]&gt;=25,data[[#This Row],[Age]]&lt;=34),"25-34",IF(AND(data[[#This Row],[Age]]&gt;35,data[[#This Row],[Age]]&lt;=44),"35-44",IF(data[[#This Row],[Age]]&gt;44,"45+",IF(data[[#This Row],[Age]]&lt;18,"below 18 ")))))</f>
        <v>25-34</v>
      </c>
    </row>
    <row r="400" spans="1:31" x14ac:dyDescent="0.25">
      <c r="A400" t="s">
        <v>453</v>
      </c>
      <c r="B400">
        <v>43</v>
      </c>
      <c r="C400" t="s">
        <v>47</v>
      </c>
      <c r="E400" t="s">
        <v>58</v>
      </c>
      <c r="F400" t="s">
        <v>41</v>
      </c>
      <c r="H400">
        <v>2</v>
      </c>
      <c r="I400">
        <v>0</v>
      </c>
      <c r="J400" t="s">
        <v>42</v>
      </c>
      <c r="K400" t="s">
        <v>36</v>
      </c>
      <c r="L400">
        <v>56</v>
      </c>
      <c r="M400">
        <v>7</v>
      </c>
      <c r="N400">
        <v>5.6</v>
      </c>
      <c r="O400">
        <v>5.6</v>
      </c>
      <c r="P400">
        <v>5.4</v>
      </c>
      <c r="Q400" t="s">
        <v>35</v>
      </c>
      <c r="R400" t="s">
        <v>35</v>
      </c>
      <c r="S400">
        <v>3.4</v>
      </c>
      <c r="T400">
        <v>4.7</v>
      </c>
      <c r="U400">
        <v>4.9000000000000004</v>
      </c>
      <c r="V400">
        <v>6.5</v>
      </c>
      <c r="W400">
        <v>3.5</v>
      </c>
      <c r="X400">
        <v>6</v>
      </c>
      <c r="Y400">
        <v>3.2</v>
      </c>
      <c r="Z400">
        <v>7.1</v>
      </c>
      <c r="AA400">
        <v>5</v>
      </c>
      <c r="AB400">
        <v>0.2</v>
      </c>
      <c r="AC400">
        <v>5.4</v>
      </c>
      <c r="AD400" t="s">
        <v>45</v>
      </c>
      <c r="AE400" t="str">
        <f>IF(AND(data[[#This Row],[Age]]&gt;=18,data[[#This Row],[Age]]&lt;=24),"18-24",IF(AND(data[[#This Row],[Age]]&gt;=25,data[[#This Row],[Age]]&lt;=34),"25-34",IF(AND(data[[#This Row],[Age]]&gt;35,data[[#This Row],[Age]]&lt;=44),"35-44",IF(data[[#This Row],[Age]]&gt;44,"45+",IF(data[[#This Row],[Age]]&lt;18,"below 18 ")))))</f>
        <v>35-44</v>
      </c>
    </row>
    <row r="401" spans="1:31" x14ac:dyDescent="0.25">
      <c r="A401" t="s">
        <v>454</v>
      </c>
      <c r="B401">
        <v>20</v>
      </c>
      <c r="C401" t="s">
        <v>47</v>
      </c>
      <c r="D401" t="s">
        <v>39</v>
      </c>
      <c r="F401" t="s">
        <v>51</v>
      </c>
      <c r="G401">
        <v>3.1</v>
      </c>
      <c r="H401">
        <v>6</v>
      </c>
      <c r="I401">
        <v>9</v>
      </c>
      <c r="J401" t="s">
        <v>35</v>
      </c>
      <c r="K401" t="s">
        <v>36</v>
      </c>
      <c r="L401">
        <v>82</v>
      </c>
      <c r="M401">
        <v>5.8</v>
      </c>
      <c r="N401">
        <v>5.8</v>
      </c>
      <c r="O401">
        <v>6.1</v>
      </c>
      <c r="P401">
        <v>2.2000000000000002</v>
      </c>
      <c r="Q401" t="s">
        <v>42</v>
      </c>
      <c r="R401" t="s">
        <v>42</v>
      </c>
      <c r="S401">
        <v>5.4</v>
      </c>
      <c r="T401">
        <v>3.7</v>
      </c>
      <c r="U401">
        <v>7.2</v>
      </c>
      <c r="V401">
        <v>3</v>
      </c>
      <c r="W401">
        <v>6.5</v>
      </c>
      <c r="X401">
        <v>7.6</v>
      </c>
      <c r="Y401">
        <v>7.1</v>
      </c>
      <c r="Z401">
        <v>4.0999999999999996</v>
      </c>
      <c r="AA401">
        <v>7.3</v>
      </c>
      <c r="AB401">
        <v>3.9</v>
      </c>
      <c r="AC401">
        <v>6</v>
      </c>
      <c r="AD401" t="s">
        <v>53</v>
      </c>
      <c r="AE401" t="str">
        <f>IF(AND(data[[#This Row],[Age]]&gt;=18,data[[#This Row],[Age]]&lt;=24),"18-24",IF(AND(data[[#This Row],[Age]]&gt;=25,data[[#This Row],[Age]]&lt;=34),"25-34",IF(AND(data[[#This Row],[Age]]&gt;35,data[[#This Row],[Age]]&lt;=44),"35-44",IF(data[[#This Row],[Age]]&gt;44,"45+",IF(data[[#This Row],[Age]]&lt;18,"below 18 ")))))</f>
        <v>18-24</v>
      </c>
    </row>
    <row r="402" spans="1:31" x14ac:dyDescent="0.25">
      <c r="A402" t="s">
        <v>455</v>
      </c>
      <c r="B402">
        <v>23</v>
      </c>
      <c r="C402" t="s">
        <v>47</v>
      </c>
      <c r="D402" t="s">
        <v>39</v>
      </c>
      <c r="E402" t="s">
        <v>40</v>
      </c>
      <c r="F402" t="s">
        <v>34</v>
      </c>
      <c r="G402">
        <v>1.9</v>
      </c>
      <c r="H402">
        <v>7</v>
      </c>
      <c r="I402">
        <v>4</v>
      </c>
      <c r="J402" t="s">
        <v>35</v>
      </c>
      <c r="K402" t="s">
        <v>52</v>
      </c>
      <c r="L402">
        <v>79</v>
      </c>
      <c r="M402">
        <v>5.4</v>
      </c>
      <c r="N402">
        <v>1.7</v>
      </c>
      <c r="O402">
        <v>4.5999999999999996</v>
      </c>
      <c r="P402">
        <v>8.6999999999999993</v>
      </c>
      <c r="Q402" t="s">
        <v>35</v>
      </c>
      <c r="R402" t="s">
        <v>35</v>
      </c>
      <c r="S402">
        <v>4.8</v>
      </c>
      <c r="T402">
        <v>7.3</v>
      </c>
      <c r="U402">
        <v>5.3</v>
      </c>
      <c r="V402">
        <v>5.5</v>
      </c>
      <c r="W402">
        <v>2</v>
      </c>
      <c r="X402">
        <v>6.5</v>
      </c>
      <c r="Y402">
        <v>5</v>
      </c>
      <c r="Z402">
        <v>3.6</v>
      </c>
      <c r="AA402">
        <v>5.3</v>
      </c>
      <c r="AB402">
        <v>4.5</v>
      </c>
      <c r="AC402">
        <v>7.2</v>
      </c>
      <c r="AD402" t="s">
        <v>53</v>
      </c>
      <c r="AE402" t="str">
        <f>IF(AND(data[[#This Row],[Age]]&gt;=18,data[[#This Row],[Age]]&lt;=24),"18-24",IF(AND(data[[#This Row],[Age]]&gt;=25,data[[#This Row],[Age]]&lt;=34),"25-34",IF(AND(data[[#This Row],[Age]]&gt;35,data[[#This Row],[Age]]&lt;=44),"35-44",IF(data[[#This Row],[Age]]&gt;44,"45+",IF(data[[#This Row],[Age]]&lt;18,"below 18 ")))))</f>
        <v>18-24</v>
      </c>
    </row>
    <row r="403" spans="1:31" x14ac:dyDescent="0.25">
      <c r="A403" t="s">
        <v>456</v>
      </c>
      <c r="B403">
        <v>44</v>
      </c>
      <c r="C403" t="s">
        <v>47</v>
      </c>
      <c r="D403" t="s">
        <v>32</v>
      </c>
      <c r="E403" t="s">
        <v>33</v>
      </c>
      <c r="F403" t="s">
        <v>51</v>
      </c>
      <c r="G403">
        <v>1.1000000000000001</v>
      </c>
      <c r="H403">
        <v>3</v>
      </c>
      <c r="I403">
        <v>4</v>
      </c>
      <c r="J403" t="s">
        <v>35</v>
      </c>
      <c r="K403" t="s">
        <v>36</v>
      </c>
      <c r="L403">
        <v>26</v>
      </c>
      <c r="M403">
        <v>5</v>
      </c>
      <c r="N403">
        <v>8</v>
      </c>
      <c r="O403">
        <v>4.5999999999999996</v>
      </c>
      <c r="P403">
        <v>6.5</v>
      </c>
      <c r="Q403" t="s">
        <v>42</v>
      </c>
      <c r="R403" t="s">
        <v>35</v>
      </c>
      <c r="S403">
        <v>6.5</v>
      </c>
      <c r="T403">
        <v>7</v>
      </c>
      <c r="U403">
        <v>2.4</v>
      </c>
      <c r="V403">
        <v>4.5999999999999996</v>
      </c>
      <c r="X403">
        <v>4.5999999999999996</v>
      </c>
      <c r="Y403">
        <v>6.4</v>
      </c>
      <c r="Z403">
        <v>7.9</v>
      </c>
      <c r="AA403">
        <v>4.4000000000000004</v>
      </c>
      <c r="AB403">
        <v>1</v>
      </c>
      <c r="AC403">
        <v>7.4</v>
      </c>
      <c r="AD403" t="s">
        <v>37</v>
      </c>
      <c r="AE403" t="str">
        <f>IF(AND(data[[#This Row],[Age]]&gt;=18,data[[#This Row],[Age]]&lt;=24),"18-24",IF(AND(data[[#This Row],[Age]]&gt;=25,data[[#This Row],[Age]]&lt;=34),"25-34",IF(AND(data[[#This Row],[Age]]&gt;35,data[[#This Row],[Age]]&lt;=44),"35-44",IF(data[[#This Row],[Age]]&gt;44,"45+",IF(data[[#This Row],[Age]]&lt;18,"below 18 ")))))</f>
        <v>35-44</v>
      </c>
    </row>
    <row r="404" spans="1:31" x14ac:dyDescent="0.25">
      <c r="A404" t="s">
        <v>457</v>
      </c>
      <c r="B404">
        <v>24</v>
      </c>
      <c r="C404" t="s">
        <v>31</v>
      </c>
      <c r="D404" t="s">
        <v>32</v>
      </c>
      <c r="E404" t="s">
        <v>40</v>
      </c>
      <c r="F404" t="s">
        <v>41</v>
      </c>
      <c r="G404">
        <v>3.6</v>
      </c>
      <c r="H404">
        <v>6</v>
      </c>
      <c r="I404">
        <v>2</v>
      </c>
      <c r="J404" t="s">
        <v>35</v>
      </c>
      <c r="K404" t="s">
        <v>52</v>
      </c>
      <c r="L404">
        <v>53</v>
      </c>
      <c r="M404">
        <v>6.7</v>
      </c>
      <c r="N404">
        <v>6.3</v>
      </c>
      <c r="O404">
        <v>7.7</v>
      </c>
      <c r="P404">
        <v>1.7</v>
      </c>
      <c r="Q404" t="s">
        <v>42</v>
      </c>
      <c r="R404" t="s">
        <v>42</v>
      </c>
      <c r="S404">
        <v>4</v>
      </c>
      <c r="T404">
        <v>3.9</v>
      </c>
      <c r="U404">
        <v>2.2999999999999998</v>
      </c>
      <c r="V404">
        <v>3.8</v>
      </c>
      <c r="W404">
        <v>3.8</v>
      </c>
      <c r="X404">
        <v>4.7</v>
      </c>
      <c r="Y404">
        <v>5.8</v>
      </c>
      <c r="Z404">
        <v>5</v>
      </c>
      <c r="AA404">
        <v>2.4</v>
      </c>
      <c r="AB404">
        <v>4.3</v>
      </c>
      <c r="AC404">
        <v>6.2</v>
      </c>
      <c r="AD404" t="s">
        <v>45</v>
      </c>
      <c r="AE404" t="str">
        <f>IF(AND(data[[#This Row],[Age]]&gt;=18,data[[#This Row],[Age]]&lt;=24),"18-24",IF(AND(data[[#This Row],[Age]]&gt;=25,data[[#This Row],[Age]]&lt;=34),"25-34",IF(AND(data[[#This Row],[Age]]&gt;35,data[[#This Row],[Age]]&lt;=44),"35-44",IF(data[[#This Row],[Age]]&gt;44,"45+",IF(data[[#This Row],[Age]]&lt;18,"below 18 ")))))</f>
        <v>18-24</v>
      </c>
    </row>
    <row r="405" spans="1:31" x14ac:dyDescent="0.25">
      <c r="A405" t="s">
        <v>458</v>
      </c>
      <c r="B405">
        <v>27</v>
      </c>
      <c r="C405" t="s">
        <v>50</v>
      </c>
      <c r="D405" t="s">
        <v>39</v>
      </c>
      <c r="E405" t="s">
        <v>33</v>
      </c>
      <c r="F405" t="s">
        <v>48</v>
      </c>
      <c r="G405">
        <v>5.9</v>
      </c>
      <c r="H405">
        <v>4</v>
      </c>
      <c r="I405">
        <v>3</v>
      </c>
      <c r="J405" t="s">
        <v>42</v>
      </c>
      <c r="K405" t="s">
        <v>52</v>
      </c>
      <c r="L405">
        <v>14</v>
      </c>
      <c r="M405">
        <v>3.7</v>
      </c>
      <c r="N405">
        <v>6.2</v>
      </c>
      <c r="O405">
        <v>7</v>
      </c>
      <c r="P405">
        <v>3.6</v>
      </c>
      <c r="Q405" t="s">
        <v>42</v>
      </c>
      <c r="R405" t="s">
        <v>42</v>
      </c>
      <c r="S405">
        <v>2.4</v>
      </c>
      <c r="T405">
        <v>3.3</v>
      </c>
      <c r="U405">
        <v>1.2</v>
      </c>
      <c r="V405">
        <v>1.7</v>
      </c>
      <c r="W405">
        <v>7.7</v>
      </c>
      <c r="X405">
        <v>7.1</v>
      </c>
      <c r="Y405">
        <v>7.3</v>
      </c>
      <c r="Z405">
        <v>7.1</v>
      </c>
      <c r="AA405">
        <v>1.2</v>
      </c>
      <c r="AB405">
        <v>0</v>
      </c>
      <c r="AC405">
        <v>7.1</v>
      </c>
      <c r="AD405" t="s">
        <v>53</v>
      </c>
      <c r="AE405" t="str">
        <f>IF(AND(data[[#This Row],[Age]]&gt;=18,data[[#This Row],[Age]]&lt;=24),"18-24",IF(AND(data[[#This Row],[Age]]&gt;=25,data[[#This Row],[Age]]&lt;=34),"25-34",IF(AND(data[[#This Row],[Age]]&gt;35,data[[#This Row],[Age]]&lt;=44),"35-44",IF(data[[#This Row],[Age]]&gt;44,"45+",IF(data[[#This Row],[Age]]&lt;18,"below 18 ")))))</f>
        <v>25-34</v>
      </c>
    </row>
    <row r="406" spans="1:31" x14ac:dyDescent="0.25">
      <c r="A406" t="s">
        <v>459</v>
      </c>
      <c r="B406">
        <v>38</v>
      </c>
      <c r="C406" t="s">
        <v>47</v>
      </c>
      <c r="D406" t="s">
        <v>32</v>
      </c>
      <c r="E406" t="s">
        <v>33</v>
      </c>
      <c r="F406" t="s">
        <v>51</v>
      </c>
      <c r="G406">
        <v>4.5</v>
      </c>
      <c r="H406">
        <v>4</v>
      </c>
      <c r="I406">
        <v>3</v>
      </c>
      <c r="J406" t="s">
        <v>35</v>
      </c>
      <c r="K406" t="s">
        <v>36</v>
      </c>
      <c r="L406">
        <v>37</v>
      </c>
      <c r="M406">
        <v>6.7</v>
      </c>
      <c r="N406">
        <v>4.2</v>
      </c>
      <c r="O406">
        <v>2.5</v>
      </c>
      <c r="P406">
        <v>3.3</v>
      </c>
      <c r="Q406" t="s">
        <v>42</v>
      </c>
      <c r="R406" t="s">
        <v>35</v>
      </c>
      <c r="S406">
        <v>7.5</v>
      </c>
      <c r="U406">
        <v>6.5</v>
      </c>
      <c r="V406">
        <v>2.8</v>
      </c>
      <c r="W406">
        <v>6.3</v>
      </c>
      <c r="X406">
        <v>6.4</v>
      </c>
      <c r="Y406">
        <v>4.3</v>
      </c>
      <c r="Z406">
        <v>6.2</v>
      </c>
      <c r="AA406">
        <v>2.6</v>
      </c>
      <c r="AB406">
        <v>3.9</v>
      </c>
      <c r="AC406">
        <v>6.8</v>
      </c>
      <c r="AD406" t="s">
        <v>53</v>
      </c>
      <c r="AE406" t="str">
        <f>IF(AND(data[[#This Row],[Age]]&gt;=18,data[[#This Row],[Age]]&lt;=24),"18-24",IF(AND(data[[#This Row],[Age]]&gt;=25,data[[#This Row],[Age]]&lt;=34),"25-34",IF(AND(data[[#This Row],[Age]]&gt;35,data[[#This Row],[Age]]&lt;=44),"35-44",IF(data[[#This Row],[Age]]&gt;44,"45+",IF(data[[#This Row],[Age]]&lt;18,"below 18 ")))))</f>
        <v>35-44</v>
      </c>
    </row>
    <row r="407" spans="1:31" x14ac:dyDescent="0.25">
      <c r="A407" t="s">
        <v>460</v>
      </c>
      <c r="B407">
        <v>22</v>
      </c>
      <c r="C407" t="s">
        <v>31</v>
      </c>
      <c r="D407" t="s">
        <v>57</v>
      </c>
      <c r="E407" t="s">
        <v>58</v>
      </c>
      <c r="F407" t="s">
        <v>34</v>
      </c>
      <c r="G407">
        <v>2.2999999999999998</v>
      </c>
      <c r="H407">
        <v>4</v>
      </c>
      <c r="I407">
        <v>3</v>
      </c>
      <c r="J407" t="s">
        <v>35</v>
      </c>
      <c r="K407" t="s">
        <v>36</v>
      </c>
      <c r="L407">
        <v>65</v>
      </c>
      <c r="M407">
        <v>6.2</v>
      </c>
      <c r="N407">
        <v>2.1</v>
      </c>
      <c r="O407">
        <v>5.6</v>
      </c>
      <c r="P407">
        <v>4.8</v>
      </c>
      <c r="Q407" t="s">
        <v>42</v>
      </c>
      <c r="R407" t="s">
        <v>42</v>
      </c>
      <c r="S407">
        <v>7.7</v>
      </c>
      <c r="T407">
        <v>3</v>
      </c>
      <c r="U407">
        <v>4.5999999999999996</v>
      </c>
      <c r="V407">
        <v>6</v>
      </c>
      <c r="W407">
        <v>6.7</v>
      </c>
      <c r="X407">
        <v>6.1</v>
      </c>
      <c r="Y407">
        <v>8.1</v>
      </c>
      <c r="Z407">
        <v>9.6999999999999993</v>
      </c>
      <c r="AA407">
        <v>2.2999999999999998</v>
      </c>
      <c r="AB407">
        <v>3.2</v>
      </c>
      <c r="AC407">
        <v>7.6</v>
      </c>
      <c r="AD407" t="s">
        <v>37</v>
      </c>
      <c r="AE407" t="str">
        <f>IF(AND(data[[#This Row],[Age]]&gt;=18,data[[#This Row],[Age]]&lt;=24),"18-24",IF(AND(data[[#This Row],[Age]]&gt;=25,data[[#This Row],[Age]]&lt;=34),"25-34",IF(AND(data[[#This Row],[Age]]&gt;35,data[[#This Row],[Age]]&lt;=44),"35-44",IF(data[[#This Row],[Age]]&gt;44,"45+",IF(data[[#This Row],[Age]]&lt;18,"below 18 ")))))</f>
        <v>18-24</v>
      </c>
    </row>
    <row r="408" spans="1:31" x14ac:dyDescent="0.25">
      <c r="A408" t="s">
        <v>461</v>
      </c>
      <c r="B408">
        <v>29</v>
      </c>
      <c r="C408" t="s">
        <v>50</v>
      </c>
      <c r="D408" t="s">
        <v>32</v>
      </c>
      <c r="E408" t="s">
        <v>58</v>
      </c>
      <c r="F408" t="s">
        <v>34</v>
      </c>
      <c r="G408">
        <v>6.4</v>
      </c>
      <c r="H408">
        <v>5</v>
      </c>
      <c r="I408">
        <v>6</v>
      </c>
      <c r="J408" t="s">
        <v>35</v>
      </c>
      <c r="K408" t="s">
        <v>62</v>
      </c>
      <c r="L408">
        <v>57</v>
      </c>
      <c r="M408">
        <v>6.3</v>
      </c>
      <c r="N408">
        <v>6.5</v>
      </c>
      <c r="O408">
        <v>5.8</v>
      </c>
      <c r="P408">
        <v>7.7</v>
      </c>
      <c r="Q408" t="s">
        <v>42</v>
      </c>
      <c r="R408" t="s">
        <v>42</v>
      </c>
      <c r="S408">
        <v>4.5</v>
      </c>
      <c r="T408">
        <v>1.1000000000000001</v>
      </c>
      <c r="U408">
        <v>5.2</v>
      </c>
      <c r="V408">
        <v>7.5</v>
      </c>
      <c r="W408">
        <v>4.2</v>
      </c>
      <c r="X408">
        <v>8.1999999999999993</v>
      </c>
      <c r="Y408">
        <v>3.2</v>
      </c>
      <c r="Z408">
        <v>4.5999999999999996</v>
      </c>
      <c r="AA408">
        <v>1.5</v>
      </c>
      <c r="AB408">
        <v>2.2000000000000002</v>
      </c>
      <c r="AC408">
        <v>6.2</v>
      </c>
      <c r="AD408" t="s">
        <v>45</v>
      </c>
      <c r="AE408" t="str">
        <f>IF(AND(data[[#This Row],[Age]]&gt;=18,data[[#This Row],[Age]]&lt;=24),"18-24",IF(AND(data[[#This Row],[Age]]&gt;=25,data[[#This Row],[Age]]&lt;=34),"25-34",IF(AND(data[[#This Row],[Age]]&gt;35,data[[#This Row],[Age]]&lt;=44),"35-44",IF(data[[#This Row],[Age]]&gt;44,"45+",IF(data[[#This Row],[Age]]&lt;18,"below 18 ")))))</f>
        <v>25-34</v>
      </c>
    </row>
    <row r="409" spans="1:31" x14ac:dyDescent="0.25">
      <c r="A409" t="s">
        <v>462</v>
      </c>
      <c r="B409">
        <v>21</v>
      </c>
      <c r="C409" t="s">
        <v>31</v>
      </c>
      <c r="D409" t="s">
        <v>32</v>
      </c>
      <c r="E409" t="s">
        <v>40</v>
      </c>
      <c r="F409" t="s">
        <v>51</v>
      </c>
      <c r="G409">
        <v>2.5</v>
      </c>
      <c r="H409">
        <v>3</v>
      </c>
      <c r="I409">
        <v>3</v>
      </c>
      <c r="J409" t="s">
        <v>42</v>
      </c>
      <c r="K409" t="s">
        <v>36</v>
      </c>
      <c r="L409">
        <v>29</v>
      </c>
      <c r="M409">
        <v>8.6999999999999993</v>
      </c>
      <c r="N409">
        <v>7.6</v>
      </c>
      <c r="O409">
        <v>8.1</v>
      </c>
      <c r="P409">
        <v>3.7</v>
      </c>
      <c r="Q409" t="s">
        <v>42</v>
      </c>
      <c r="R409" t="s">
        <v>42</v>
      </c>
      <c r="S409">
        <v>5.4</v>
      </c>
      <c r="T409">
        <v>3.2</v>
      </c>
      <c r="U409">
        <v>10</v>
      </c>
      <c r="V409">
        <v>4.9000000000000004</v>
      </c>
      <c r="W409">
        <v>4.7</v>
      </c>
      <c r="X409">
        <v>8.4</v>
      </c>
      <c r="Y409">
        <v>8.1</v>
      </c>
      <c r="Z409">
        <v>7.8</v>
      </c>
      <c r="AA409">
        <v>1.7</v>
      </c>
      <c r="AB409">
        <v>1.7</v>
      </c>
      <c r="AC409">
        <v>3.6</v>
      </c>
      <c r="AD409" t="s">
        <v>43</v>
      </c>
      <c r="AE409" t="str">
        <f>IF(AND(data[[#This Row],[Age]]&gt;=18,data[[#This Row],[Age]]&lt;=24),"18-24",IF(AND(data[[#This Row],[Age]]&gt;=25,data[[#This Row],[Age]]&lt;=34),"25-34",IF(AND(data[[#This Row],[Age]]&gt;35,data[[#This Row],[Age]]&lt;=44),"35-44",IF(data[[#This Row],[Age]]&gt;44,"45+",IF(data[[#This Row],[Age]]&lt;18,"below 18 ")))))</f>
        <v>18-24</v>
      </c>
    </row>
    <row r="410" spans="1:31" x14ac:dyDescent="0.25">
      <c r="A410" t="s">
        <v>463</v>
      </c>
      <c r="B410">
        <v>17</v>
      </c>
      <c r="C410" t="s">
        <v>47</v>
      </c>
      <c r="D410" t="s">
        <v>32</v>
      </c>
      <c r="E410" t="s">
        <v>33</v>
      </c>
      <c r="F410" t="s">
        <v>59</v>
      </c>
      <c r="G410">
        <v>2.1</v>
      </c>
      <c r="H410">
        <v>8</v>
      </c>
      <c r="I410">
        <v>5</v>
      </c>
      <c r="J410" t="s">
        <v>35</v>
      </c>
      <c r="K410" t="s">
        <v>52</v>
      </c>
      <c r="L410">
        <v>64</v>
      </c>
      <c r="M410">
        <v>6.8</v>
      </c>
      <c r="N410">
        <v>5.3</v>
      </c>
      <c r="O410">
        <v>7.6</v>
      </c>
      <c r="P410">
        <v>0.8</v>
      </c>
      <c r="Q410" t="s">
        <v>35</v>
      </c>
      <c r="R410" t="s">
        <v>42</v>
      </c>
      <c r="S410">
        <v>6</v>
      </c>
      <c r="T410">
        <v>3</v>
      </c>
      <c r="U410">
        <v>5.6</v>
      </c>
      <c r="V410">
        <v>3.6</v>
      </c>
      <c r="W410">
        <v>7</v>
      </c>
      <c r="X410">
        <v>8</v>
      </c>
      <c r="Y410">
        <v>6</v>
      </c>
      <c r="Z410">
        <v>8.5</v>
      </c>
      <c r="AA410">
        <v>0.5</v>
      </c>
      <c r="AB410">
        <v>4.3</v>
      </c>
      <c r="AC410">
        <v>7.9</v>
      </c>
      <c r="AD410" t="s">
        <v>37</v>
      </c>
      <c r="AE410" t="str">
        <f>IF(AND(data[[#This Row],[Age]]&gt;=18,data[[#This Row],[Age]]&lt;=24),"18-24",IF(AND(data[[#This Row],[Age]]&gt;=25,data[[#This Row],[Age]]&lt;=34),"25-34",IF(AND(data[[#This Row],[Age]]&gt;35,data[[#This Row],[Age]]&lt;=44),"35-44",IF(data[[#This Row],[Age]]&gt;44,"45+",IF(data[[#This Row],[Age]]&lt;18,"below 18 ")))))</f>
        <v xml:space="preserve">below 18 </v>
      </c>
    </row>
    <row r="411" spans="1:31" x14ac:dyDescent="0.25">
      <c r="A411" t="s">
        <v>464</v>
      </c>
      <c r="B411">
        <v>20</v>
      </c>
      <c r="C411" t="s">
        <v>47</v>
      </c>
      <c r="D411" t="s">
        <v>64</v>
      </c>
      <c r="E411" t="s">
        <v>40</v>
      </c>
      <c r="F411" t="s">
        <v>41</v>
      </c>
      <c r="G411">
        <v>2.5</v>
      </c>
      <c r="H411">
        <v>3</v>
      </c>
      <c r="I411">
        <v>3</v>
      </c>
      <c r="J411" t="s">
        <v>35</v>
      </c>
      <c r="K411" t="s">
        <v>52</v>
      </c>
      <c r="L411">
        <v>79</v>
      </c>
      <c r="M411">
        <v>6.5</v>
      </c>
      <c r="N411">
        <v>6</v>
      </c>
      <c r="O411">
        <v>7</v>
      </c>
      <c r="P411">
        <v>5.0999999999999996</v>
      </c>
      <c r="Q411" t="s">
        <v>42</v>
      </c>
      <c r="R411" t="s">
        <v>35</v>
      </c>
      <c r="S411">
        <v>10</v>
      </c>
      <c r="T411">
        <v>4</v>
      </c>
      <c r="U411">
        <v>1.8</v>
      </c>
      <c r="V411">
        <v>5.2</v>
      </c>
      <c r="W411">
        <v>6.5</v>
      </c>
      <c r="X411">
        <v>8.6999999999999993</v>
      </c>
      <c r="Y411">
        <v>1.7</v>
      </c>
      <c r="Z411">
        <v>5.3</v>
      </c>
      <c r="AA411">
        <v>0</v>
      </c>
      <c r="AB411">
        <v>3.5</v>
      </c>
      <c r="AC411">
        <v>7.8</v>
      </c>
      <c r="AD411" t="s">
        <v>37</v>
      </c>
      <c r="AE411" t="str">
        <f>IF(AND(data[[#This Row],[Age]]&gt;=18,data[[#This Row],[Age]]&lt;=24),"18-24",IF(AND(data[[#This Row],[Age]]&gt;=25,data[[#This Row],[Age]]&lt;=34),"25-34",IF(AND(data[[#This Row],[Age]]&gt;35,data[[#This Row],[Age]]&lt;=44),"35-44",IF(data[[#This Row],[Age]]&gt;44,"45+",IF(data[[#This Row],[Age]]&lt;18,"below 18 ")))))</f>
        <v>18-24</v>
      </c>
    </row>
    <row r="412" spans="1:31" x14ac:dyDescent="0.25">
      <c r="A412" t="s">
        <v>465</v>
      </c>
      <c r="B412">
        <v>37</v>
      </c>
      <c r="C412" t="s">
        <v>47</v>
      </c>
      <c r="D412" t="s">
        <v>39</v>
      </c>
      <c r="E412" t="s">
        <v>58</v>
      </c>
      <c r="F412" t="s">
        <v>48</v>
      </c>
      <c r="G412">
        <v>3.1</v>
      </c>
      <c r="H412">
        <v>2</v>
      </c>
      <c r="I412">
        <v>2</v>
      </c>
      <c r="J412" t="s">
        <v>35</v>
      </c>
      <c r="K412" t="s">
        <v>36</v>
      </c>
      <c r="L412">
        <v>37</v>
      </c>
      <c r="M412">
        <v>3.3</v>
      </c>
      <c r="N412">
        <v>8</v>
      </c>
      <c r="O412">
        <v>4</v>
      </c>
      <c r="P412">
        <v>9.1</v>
      </c>
      <c r="Q412" t="s">
        <v>35</v>
      </c>
      <c r="R412" t="s">
        <v>35</v>
      </c>
      <c r="S412">
        <v>7.2</v>
      </c>
      <c r="T412">
        <v>6.4</v>
      </c>
      <c r="U412">
        <v>7</v>
      </c>
      <c r="V412">
        <v>5.4</v>
      </c>
      <c r="W412">
        <v>8.1999999999999993</v>
      </c>
      <c r="X412">
        <v>5.3</v>
      </c>
      <c r="Y412">
        <v>4.7</v>
      </c>
      <c r="Z412">
        <v>2.9</v>
      </c>
      <c r="AA412">
        <v>2.2999999999999998</v>
      </c>
      <c r="AB412">
        <v>10.3</v>
      </c>
      <c r="AC412">
        <v>7.8</v>
      </c>
      <c r="AD412" t="s">
        <v>37</v>
      </c>
      <c r="AE412" t="str">
        <f>IF(AND(data[[#This Row],[Age]]&gt;=18,data[[#This Row],[Age]]&lt;=24),"18-24",IF(AND(data[[#This Row],[Age]]&gt;=25,data[[#This Row],[Age]]&lt;=34),"25-34",IF(AND(data[[#This Row],[Age]]&gt;35,data[[#This Row],[Age]]&lt;=44),"35-44",IF(data[[#This Row],[Age]]&gt;44,"45+",IF(data[[#This Row],[Age]]&lt;18,"below 18 ")))))</f>
        <v>35-44</v>
      </c>
    </row>
    <row r="413" spans="1:31" x14ac:dyDescent="0.25">
      <c r="A413" t="s">
        <v>466</v>
      </c>
      <c r="B413">
        <v>32</v>
      </c>
      <c r="D413" t="s">
        <v>32</v>
      </c>
      <c r="E413" t="s">
        <v>58</v>
      </c>
      <c r="F413" t="s">
        <v>34</v>
      </c>
      <c r="G413">
        <v>4.3</v>
      </c>
      <c r="H413">
        <v>1</v>
      </c>
      <c r="I413">
        <v>2</v>
      </c>
      <c r="J413" t="s">
        <v>35</v>
      </c>
      <c r="K413" t="s">
        <v>52</v>
      </c>
      <c r="L413">
        <v>74</v>
      </c>
      <c r="M413">
        <v>4.2</v>
      </c>
      <c r="N413">
        <v>4</v>
      </c>
      <c r="O413">
        <v>5.8</v>
      </c>
      <c r="P413">
        <v>3.2</v>
      </c>
      <c r="Q413" t="s">
        <v>42</v>
      </c>
      <c r="R413" t="s">
        <v>35</v>
      </c>
      <c r="S413">
        <v>3.4</v>
      </c>
      <c r="T413">
        <v>7.8</v>
      </c>
      <c r="U413">
        <v>4.7</v>
      </c>
      <c r="V413">
        <v>2.1</v>
      </c>
      <c r="W413">
        <v>7.3</v>
      </c>
      <c r="X413">
        <v>6.2</v>
      </c>
      <c r="Y413">
        <v>6.9</v>
      </c>
      <c r="Z413">
        <v>8.3000000000000007</v>
      </c>
      <c r="AA413">
        <v>6.5</v>
      </c>
      <c r="AB413">
        <v>7.4</v>
      </c>
      <c r="AC413">
        <v>8.1999999999999993</v>
      </c>
      <c r="AD413" t="s">
        <v>37</v>
      </c>
      <c r="AE413" t="str">
        <f>IF(AND(data[[#This Row],[Age]]&gt;=18,data[[#This Row],[Age]]&lt;=24),"18-24",IF(AND(data[[#This Row],[Age]]&gt;=25,data[[#This Row],[Age]]&lt;=34),"25-34",IF(AND(data[[#This Row],[Age]]&gt;35,data[[#This Row],[Age]]&lt;=44),"35-44",IF(data[[#This Row],[Age]]&gt;44,"45+",IF(data[[#This Row],[Age]]&lt;18,"below 18 ")))))</f>
        <v>25-34</v>
      </c>
    </row>
    <row r="414" spans="1:31" x14ac:dyDescent="0.25">
      <c r="A414" t="s">
        <v>467</v>
      </c>
      <c r="B414">
        <v>29</v>
      </c>
      <c r="C414" t="s">
        <v>31</v>
      </c>
      <c r="D414" t="s">
        <v>32</v>
      </c>
      <c r="E414" t="s">
        <v>58</v>
      </c>
      <c r="F414" t="s">
        <v>41</v>
      </c>
      <c r="G414">
        <v>1.9</v>
      </c>
      <c r="H414">
        <v>6</v>
      </c>
      <c r="I414">
        <v>5</v>
      </c>
      <c r="J414" t="s">
        <v>35</v>
      </c>
      <c r="K414" t="s">
        <v>52</v>
      </c>
      <c r="L414">
        <v>72</v>
      </c>
      <c r="M414">
        <v>7.9</v>
      </c>
      <c r="N414">
        <v>4.8</v>
      </c>
      <c r="O414">
        <v>2.9</v>
      </c>
      <c r="P414">
        <v>3.1</v>
      </c>
      <c r="Q414" t="s">
        <v>42</v>
      </c>
      <c r="R414" t="s">
        <v>35</v>
      </c>
      <c r="S414">
        <v>8.3000000000000007</v>
      </c>
      <c r="T414">
        <v>4</v>
      </c>
      <c r="U414">
        <v>6.6</v>
      </c>
      <c r="V414">
        <v>4.2</v>
      </c>
      <c r="W414">
        <v>5.0999999999999996</v>
      </c>
      <c r="X414">
        <v>7.7</v>
      </c>
      <c r="Y414">
        <v>4.5</v>
      </c>
      <c r="Z414">
        <v>5.8</v>
      </c>
      <c r="AA414">
        <v>3.5</v>
      </c>
      <c r="AB414">
        <v>2.8</v>
      </c>
      <c r="AC414">
        <v>7</v>
      </c>
      <c r="AD414" t="s">
        <v>53</v>
      </c>
      <c r="AE414" t="str">
        <f>IF(AND(data[[#This Row],[Age]]&gt;=18,data[[#This Row],[Age]]&lt;=24),"18-24",IF(AND(data[[#This Row],[Age]]&gt;=25,data[[#This Row],[Age]]&lt;=34),"25-34",IF(AND(data[[#This Row],[Age]]&gt;35,data[[#This Row],[Age]]&lt;=44),"35-44",IF(data[[#This Row],[Age]]&gt;44,"45+",IF(data[[#This Row],[Age]]&lt;18,"below 18 ")))))</f>
        <v>25-34</v>
      </c>
    </row>
    <row r="415" spans="1:31" x14ac:dyDescent="0.25">
      <c r="A415" t="s">
        <v>468</v>
      </c>
      <c r="B415">
        <v>24</v>
      </c>
      <c r="C415" t="s">
        <v>47</v>
      </c>
      <c r="D415" t="s">
        <v>39</v>
      </c>
      <c r="E415" t="s">
        <v>33</v>
      </c>
      <c r="F415" t="s">
        <v>59</v>
      </c>
      <c r="G415">
        <v>1.1000000000000001</v>
      </c>
      <c r="H415">
        <v>4</v>
      </c>
      <c r="I415">
        <v>3</v>
      </c>
      <c r="J415" t="s">
        <v>35</v>
      </c>
      <c r="K415" t="s">
        <v>36</v>
      </c>
      <c r="L415">
        <v>77</v>
      </c>
      <c r="M415">
        <v>7.2</v>
      </c>
      <c r="N415">
        <v>3.2</v>
      </c>
      <c r="O415">
        <v>4.8</v>
      </c>
      <c r="P415">
        <v>10</v>
      </c>
      <c r="Q415" t="s">
        <v>42</v>
      </c>
      <c r="R415" t="s">
        <v>42</v>
      </c>
      <c r="S415">
        <v>5.2</v>
      </c>
      <c r="T415">
        <v>3.5</v>
      </c>
      <c r="U415">
        <v>6.4</v>
      </c>
      <c r="V415">
        <v>4.8</v>
      </c>
      <c r="W415">
        <v>3.4</v>
      </c>
      <c r="X415">
        <v>7.1</v>
      </c>
      <c r="Y415">
        <v>4.5</v>
      </c>
      <c r="Z415">
        <v>5.2</v>
      </c>
      <c r="AA415">
        <v>4.0999999999999996</v>
      </c>
      <c r="AB415">
        <v>5.4</v>
      </c>
      <c r="AC415">
        <v>6.3</v>
      </c>
      <c r="AD415" t="s">
        <v>45</v>
      </c>
      <c r="AE415" t="str">
        <f>IF(AND(data[[#This Row],[Age]]&gt;=18,data[[#This Row],[Age]]&lt;=24),"18-24",IF(AND(data[[#This Row],[Age]]&gt;=25,data[[#This Row],[Age]]&lt;=34),"25-34",IF(AND(data[[#This Row],[Age]]&gt;35,data[[#This Row],[Age]]&lt;=44),"35-44",IF(data[[#This Row],[Age]]&gt;44,"45+",IF(data[[#This Row],[Age]]&lt;18,"below 18 ")))))</f>
        <v>18-24</v>
      </c>
    </row>
    <row r="416" spans="1:31" x14ac:dyDescent="0.25">
      <c r="A416" t="s">
        <v>469</v>
      </c>
      <c r="B416">
        <v>18</v>
      </c>
      <c r="D416" t="s">
        <v>32</v>
      </c>
      <c r="E416" t="s">
        <v>58</v>
      </c>
      <c r="F416" t="s">
        <v>51</v>
      </c>
      <c r="G416">
        <v>5.4</v>
      </c>
      <c r="H416">
        <v>1</v>
      </c>
      <c r="I416">
        <v>4</v>
      </c>
      <c r="J416" t="s">
        <v>35</v>
      </c>
      <c r="K416" t="s">
        <v>36</v>
      </c>
      <c r="L416">
        <v>54</v>
      </c>
      <c r="M416">
        <v>6.1</v>
      </c>
      <c r="N416">
        <v>5.0999999999999996</v>
      </c>
      <c r="O416">
        <v>4.0999999999999996</v>
      </c>
      <c r="P416">
        <v>9.1999999999999993</v>
      </c>
      <c r="Q416" t="s">
        <v>35</v>
      </c>
      <c r="R416" t="s">
        <v>35</v>
      </c>
      <c r="S416">
        <v>6.3</v>
      </c>
      <c r="T416">
        <v>3.7</v>
      </c>
      <c r="U416">
        <v>0</v>
      </c>
      <c r="V416">
        <v>6.4</v>
      </c>
      <c r="W416">
        <v>2.8</v>
      </c>
      <c r="X416">
        <v>5.3</v>
      </c>
      <c r="Z416">
        <v>7.6</v>
      </c>
      <c r="AA416">
        <v>3</v>
      </c>
      <c r="AB416">
        <v>0.6</v>
      </c>
      <c r="AC416">
        <v>6.5</v>
      </c>
      <c r="AD416" t="s">
        <v>45</v>
      </c>
      <c r="AE416" t="str">
        <f>IF(AND(data[[#This Row],[Age]]&gt;=18,data[[#This Row],[Age]]&lt;=24),"18-24",IF(AND(data[[#This Row],[Age]]&gt;=25,data[[#This Row],[Age]]&lt;=34),"25-34",IF(AND(data[[#This Row],[Age]]&gt;35,data[[#This Row],[Age]]&lt;=44),"35-44",IF(data[[#This Row],[Age]]&gt;44,"45+",IF(data[[#This Row],[Age]]&lt;18,"below 18 ")))))</f>
        <v>18-24</v>
      </c>
    </row>
    <row r="417" spans="1:31" x14ac:dyDescent="0.25">
      <c r="A417" t="s">
        <v>470</v>
      </c>
      <c r="B417">
        <v>30</v>
      </c>
      <c r="C417" t="s">
        <v>47</v>
      </c>
      <c r="D417" t="s">
        <v>39</v>
      </c>
      <c r="E417" t="s">
        <v>58</v>
      </c>
      <c r="F417" t="s">
        <v>48</v>
      </c>
      <c r="G417">
        <v>5</v>
      </c>
      <c r="H417">
        <v>2</v>
      </c>
      <c r="I417">
        <v>1</v>
      </c>
      <c r="J417" t="s">
        <v>42</v>
      </c>
      <c r="K417" t="s">
        <v>62</v>
      </c>
      <c r="L417">
        <v>5</v>
      </c>
      <c r="M417">
        <v>4.0999999999999996</v>
      </c>
      <c r="N417">
        <v>8.9</v>
      </c>
      <c r="O417">
        <v>6.2</v>
      </c>
      <c r="P417">
        <v>5.7</v>
      </c>
      <c r="Q417" t="s">
        <v>35</v>
      </c>
      <c r="R417" t="s">
        <v>35</v>
      </c>
      <c r="S417">
        <v>6.8</v>
      </c>
      <c r="U417">
        <v>4.5</v>
      </c>
      <c r="V417">
        <v>9.9</v>
      </c>
      <c r="W417">
        <v>7.8</v>
      </c>
      <c r="X417">
        <v>5.9</v>
      </c>
      <c r="Y417">
        <v>1.2</v>
      </c>
      <c r="Z417">
        <v>4.5999999999999996</v>
      </c>
      <c r="AA417">
        <v>3.1</v>
      </c>
      <c r="AB417">
        <v>3.7</v>
      </c>
      <c r="AC417">
        <v>8.1999999999999993</v>
      </c>
      <c r="AD417" t="s">
        <v>37</v>
      </c>
      <c r="AE417" t="str">
        <f>IF(AND(data[[#This Row],[Age]]&gt;=18,data[[#This Row],[Age]]&lt;=24),"18-24",IF(AND(data[[#This Row],[Age]]&gt;=25,data[[#This Row],[Age]]&lt;=34),"25-34",IF(AND(data[[#This Row],[Age]]&gt;35,data[[#This Row],[Age]]&lt;=44),"35-44",IF(data[[#This Row],[Age]]&gt;44,"45+",IF(data[[#This Row],[Age]]&lt;18,"below 18 ")))))</f>
        <v>25-34</v>
      </c>
    </row>
    <row r="418" spans="1:31" x14ac:dyDescent="0.25">
      <c r="A418" t="s">
        <v>471</v>
      </c>
      <c r="B418">
        <v>35</v>
      </c>
      <c r="C418" t="s">
        <v>31</v>
      </c>
      <c r="D418" t="s">
        <v>39</v>
      </c>
      <c r="E418" t="s">
        <v>33</v>
      </c>
      <c r="F418" t="s">
        <v>51</v>
      </c>
      <c r="G418">
        <v>5.5</v>
      </c>
      <c r="H418">
        <v>1</v>
      </c>
      <c r="I418">
        <v>8</v>
      </c>
      <c r="J418" t="s">
        <v>42</v>
      </c>
      <c r="K418" t="s">
        <v>52</v>
      </c>
      <c r="L418">
        <v>118</v>
      </c>
      <c r="M418">
        <v>8</v>
      </c>
      <c r="N418">
        <v>5.7</v>
      </c>
      <c r="O418">
        <v>4.5</v>
      </c>
      <c r="P418">
        <v>7.6</v>
      </c>
      <c r="Q418" t="s">
        <v>35</v>
      </c>
      <c r="R418" t="s">
        <v>42</v>
      </c>
      <c r="S418">
        <v>4.5</v>
      </c>
      <c r="T418">
        <v>0</v>
      </c>
      <c r="U418">
        <v>7.1</v>
      </c>
      <c r="V418">
        <v>5.5</v>
      </c>
      <c r="W418">
        <v>6.4</v>
      </c>
      <c r="X418">
        <v>6.9</v>
      </c>
      <c r="Y418">
        <v>6.7</v>
      </c>
      <c r="Z418">
        <v>3</v>
      </c>
      <c r="AA418">
        <v>7.1</v>
      </c>
      <c r="AB418">
        <v>6.5</v>
      </c>
      <c r="AC418">
        <v>3.5</v>
      </c>
      <c r="AD418" t="s">
        <v>43</v>
      </c>
      <c r="AE418" t="b">
        <f>IF(AND(data[[#This Row],[Age]]&gt;=18,data[[#This Row],[Age]]&lt;=24),"18-24",IF(AND(data[[#This Row],[Age]]&gt;=25,data[[#This Row],[Age]]&lt;=34),"25-34",IF(AND(data[[#This Row],[Age]]&gt;35,data[[#This Row],[Age]]&lt;=44),"35-44",IF(data[[#This Row],[Age]]&gt;44,"45+",IF(data[[#This Row],[Age]]&lt;18,"below 18 ")))))</f>
        <v>0</v>
      </c>
    </row>
    <row r="419" spans="1:31" x14ac:dyDescent="0.25">
      <c r="A419" t="s">
        <v>472</v>
      </c>
      <c r="B419">
        <v>15</v>
      </c>
      <c r="C419" t="s">
        <v>47</v>
      </c>
      <c r="D419" t="s">
        <v>39</v>
      </c>
      <c r="E419" t="s">
        <v>40</v>
      </c>
      <c r="F419" t="s">
        <v>59</v>
      </c>
      <c r="G419">
        <v>6.1</v>
      </c>
      <c r="H419">
        <v>5</v>
      </c>
      <c r="I419">
        <v>5</v>
      </c>
      <c r="J419" t="s">
        <v>42</v>
      </c>
      <c r="K419" t="s">
        <v>36</v>
      </c>
      <c r="L419">
        <v>92</v>
      </c>
      <c r="M419">
        <v>2.9</v>
      </c>
      <c r="N419">
        <v>9.9</v>
      </c>
      <c r="O419">
        <v>2.7</v>
      </c>
      <c r="P419">
        <v>6.6</v>
      </c>
      <c r="R419" t="s">
        <v>35</v>
      </c>
      <c r="S419">
        <v>6.8</v>
      </c>
      <c r="T419">
        <v>3.9</v>
      </c>
      <c r="U419">
        <v>4.5999999999999996</v>
      </c>
      <c r="V419">
        <v>5.5</v>
      </c>
      <c r="W419">
        <v>10</v>
      </c>
      <c r="X419">
        <v>5.9</v>
      </c>
      <c r="Y419">
        <v>3.6</v>
      </c>
      <c r="Z419">
        <v>4.8</v>
      </c>
      <c r="AA419">
        <v>2</v>
      </c>
      <c r="AB419">
        <v>3.1</v>
      </c>
      <c r="AC419">
        <v>6.2</v>
      </c>
      <c r="AD419" t="s">
        <v>53</v>
      </c>
      <c r="AE419" t="str">
        <f>IF(AND(data[[#This Row],[Age]]&gt;=18,data[[#This Row],[Age]]&lt;=24),"18-24",IF(AND(data[[#This Row],[Age]]&gt;=25,data[[#This Row],[Age]]&lt;=34),"25-34",IF(AND(data[[#This Row],[Age]]&gt;35,data[[#This Row],[Age]]&lt;=44),"35-44",IF(data[[#This Row],[Age]]&gt;44,"45+",IF(data[[#This Row],[Age]]&lt;18,"below 18 ")))))</f>
        <v xml:space="preserve">below 18 </v>
      </c>
    </row>
    <row r="420" spans="1:31" x14ac:dyDescent="0.25">
      <c r="A420" t="s">
        <v>473</v>
      </c>
      <c r="B420">
        <v>18</v>
      </c>
      <c r="C420" t="s">
        <v>47</v>
      </c>
      <c r="D420" t="s">
        <v>39</v>
      </c>
      <c r="E420" t="s">
        <v>40</v>
      </c>
      <c r="F420" t="s">
        <v>41</v>
      </c>
      <c r="G420">
        <v>4.5999999999999996</v>
      </c>
      <c r="H420">
        <v>3</v>
      </c>
      <c r="I420">
        <v>4</v>
      </c>
      <c r="J420" t="s">
        <v>42</v>
      </c>
      <c r="K420" t="s">
        <v>52</v>
      </c>
      <c r="L420">
        <v>128</v>
      </c>
      <c r="M420">
        <v>5.2</v>
      </c>
      <c r="N420">
        <v>6.1</v>
      </c>
      <c r="O420">
        <v>4.8</v>
      </c>
      <c r="P420">
        <v>5.3</v>
      </c>
      <c r="Q420" t="s">
        <v>42</v>
      </c>
      <c r="R420" t="s">
        <v>42</v>
      </c>
      <c r="S420">
        <v>1.6</v>
      </c>
      <c r="T420">
        <v>3.8</v>
      </c>
      <c r="U420">
        <v>2.2000000000000002</v>
      </c>
      <c r="V420">
        <v>4.3</v>
      </c>
      <c r="W420">
        <v>6.1</v>
      </c>
      <c r="X420">
        <v>8.5</v>
      </c>
      <c r="Y420">
        <v>7.2</v>
      </c>
      <c r="Z420">
        <v>3.6</v>
      </c>
      <c r="AA420">
        <v>4.2</v>
      </c>
      <c r="AC420">
        <v>5.2</v>
      </c>
      <c r="AD420" t="s">
        <v>43</v>
      </c>
      <c r="AE420" t="str">
        <f>IF(AND(data[[#This Row],[Age]]&gt;=18,data[[#This Row],[Age]]&lt;=24),"18-24",IF(AND(data[[#This Row],[Age]]&gt;=25,data[[#This Row],[Age]]&lt;=34),"25-34",IF(AND(data[[#This Row],[Age]]&gt;35,data[[#This Row],[Age]]&lt;=44),"35-44",IF(data[[#This Row],[Age]]&gt;44,"45+",IF(data[[#This Row],[Age]]&lt;18,"below 18 ")))))</f>
        <v>18-24</v>
      </c>
    </row>
    <row r="421" spans="1:31" x14ac:dyDescent="0.25">
      <c r="A421" t="s">
        <v>474</v>
      </c>
      <c r="B421">
        <v>36</v>
      </c>
      <c r="C421" t="s">
        <v>47</v>
      </c>
      <c r="D421" t="s">
        <v>32</v>
      </c>
      <c r="E421" t="s">
        <v>33</v>
      </c>
      <c r="F421" t="s">
        <v>34</v>
      </c>
      <c r="G421">
        <v>8.1999999999999993</v>
      </c>
      <c r="H421">
        <v>8</v>
      </c>
      <c r="I421">
        <v>5</v>
      </c>
      <c r="J421" t="s">
        <v>35</v>
      </c>
      <c r="K421" t="s">
        <v>52</v>
      </c>
      <c r="L421">
        <v>47</v>
      </c>
      <c r="M421">
        <v>4</v>
      </c>
      <c r="N421">
        <v>5.4</v>
      </c>
      <c r="O421">
        <v>5.5</v>
      </c>
      <c r="P421">
        <v>3</v>
      </c>
      <c r="Q421" t="s">
        <v>35</v>
      </c>
      <c r="R421" t="s">
        <v>35</v>
      </c>
      <c r="S421">
        <v>5.4</v>
      </c>
      <c r="T421">
        <v>7.9</v>
      </c>
      <c r="U421">
        <v>4.5999999999999996</v>
      </c>
      <c r="V421">
        <v>7.3</v>
      </c>
      <c r="W421">
        <v>3.1</v>
      </c>
      <c r="X421">
        <v>7.4</v>
      </c>
      <c r="Y421">
        <v>1.6</v>
      </c>
      <c r="Z421">
        <v>4.2</v>
      </c>
      <c r="AA421">
        <v>5.9</v>
      </c>
      <c r="AB421">
        <v>1.8</v>
      </c>
      <c r="AC421">
        <v>8</v>
      </c>
      <c r="AD421" t="s">
        <v>37</v>
      </c>
      <c r="AE421" t="str">
        <f>IF(AND(data[[#This Row],[Age]]&gt;=18,data[[#This Row],[Age]]&lt;=24),"18-24",IF(AND(data[[#This Row],[Age]]&gt;=25,data[[#This Row],[Age]]&lt;=34),"25-34",IF(AND(data[[#This Row],[Age]]&gt;35,data[[#This Row],[Age]]&lt;=44),"35-44",IF(data[[#This Row],[Age]]&gt;44,"45+",IF(data[[#This Row],[Age]]&lt;18,"below 18 ")))))</f>
        <v>35-44</v>
      </c>
    </row>
    <row r="422" spans="1:31" x14ac:dyDescent="0.25">
      <c r="A422" t="s">
        <v>475</v>
      </c>
      <c r="B422">
        <v>21</v>
      </c>
      <c r="C422" t="s">
        <v>47</v>
      </c>
      <c r="D422" t="s">
        <v>39</v>
      </c>
      <c r="F422" t="s">
        <v>41</v>
      </c>
      <c r="G422">
        <v>4.0999999999999996</v>
      </c>
      <c r="H422">
        <v>5</v>
      </c>
      <c r="I422">
        <v>3</v>
      </c>
      <c r="J422" t="s">
        <v>35</v>
      </c>
      <c r="K422" t="s">
        <v>52</v>
      </c>
      <c r="L422">
        <v>101</v>
      </c>
      <c r="M422">
        <v>2.2999999999999998</v>
      </c>
      <c r="N422">
        <v>5.6</v>
      </c>
      <c r="O422">
        <v>4.2</v>
      </c>
      <c r="P422">
        <v>3.8</v>
      </c>
      <c r="Q422" t="s">
        <v>35</v>
      </c>
      <c r="R422" t="s">
        <v>42</v>
      </c>
      <c r="S422">
        <v>6.6</v>
      </c>
      <c r="T422">
        <v>5.9</v>
      </c>
      <c r="U422">
        <v>3.5</v>
      </c>
      <c r="V422">
        <v>8.1</v>
      </c>
      <c r="W422">
        <v>5.2</v>
      </c>
      <c r="X422">
        <v>6.1</v>
      </c>
      <c r="Y422">
        <v>3.1</v>
      </c>
      <c r="Z422">
        <v>8.4</v>
      </c>
      <c r="AA422">
        <v>4.9000000000000004</v>
      </c>
      <c r="AB422">
        <v>3.6</v>
      </c>
      <c r="AC422">
        <v>7.4</v>
      </c>
      <c r="AD422" t="s">
        <v>37</v>
      </c>
      <c r="AE422" t="str">
        <f>IF(AND(data[[#This Row],[Age]]&gt;=18,data[[#This Row],[Age]]&lt;=24),"18-24",IF(AND(data[[#This Row],[Age]]&gt;=25,data[[#This Row],[Age]]&lt;=34),"25-34",IF(AND(data[[#This Row],[Age]]&gt;35,data[[#This Row],[Age]]&lt;=44),"35-44",IF(data[[#This Row],[Age]]&gt;44,"45+",IF(data[[#This Row],[Age]]&lt;18,"below 18 ")))))</f>
        <v>18-24</v>
      </c>
    </row>
    <row r="423" spans="1:31" x14ac:dyDescent="0.25">
      <c r="A423" t="s">
        <v>476</v>
      </c>
      <c r="B423">
        <v>35</v>
      </c>
      <c r="C423" t="s">
        <v>47</v>
      </c>
      <c r="D423" t="s">
        <v>64</v>
      </c>
      <c r="E423" t="s">
        <v>40</v>
      </c>
      <c r="F423" t="s">
        <v>48</v>
      </c>
      <c r="G423">
        <v>4.4000000000000004</v>
      </c>
      <c r="H423">
        <v>1</v>
      </c>
      <c r="I423">
        <v>7</v>
      </c>
      <c r="J423" t="s">
        <v>42</v>
      </c>
      <c r="K423" t="s">
        <v>52</v>
      </c>
      <c r="L423">
        <v>78</v>
      </c>
      <c r="M423">
        <v>9.8000000000000007</v>
      </c>
      <c r="N423">
        <v>5.0999999999999996</v>
      </c>
      <c r="O423">
        <v>4.4000000000000004</v>
      </c>
      <c r="P423">
        <v>4.7</v>
      </c>
      <c r="Q423" t="s">
        <v>42</v>
      </c>
      <c r="R423" t="s">
        <v>42</v>
      </c>
      <c r="S423">
        <v>9</v>
      </c>
      <c r="T423">
        <v>9.8000000000000007</v>
      </c>
      <c r="U423">
        <v>5</v>
      </c>
      <c r="V423">
        <v>6</v>
      </c>
      <c r="X423">
        <v>6.1</v>
      </c>
      <c r="Y423">
        <v>3.8</v>
      </c>
      <c r="Z423">
        <v>8.3000000000000007</v>
      </c>
      <c r="AA423">
        <v>3.7</v>
      </c>
      <c r="AB423">
        <v>3.8</v>
      </c>
      <c r="AC423">
        <v>6.8</v>
      </c>
      <c r="AD423" t="s">
        <v>53</v>
      </c>
      <c r="AE423" t="b">
        <f>IF(AND(data[[#This Row],[Age]]&gt;=18,data[[#This Row],[Age]]&lt;=24),"18-24",IF(AND(data[[#This Row],[Age]]&gt;=25,data[[#This Row],[Age]]&lt;=34),"25-34",IF(AND(data[[#This Row],[Age]]&gt;35,data[[#This Row],[Age]]&lt;=44),"35-44",IF(data[[#This Row],[Age]]&gt;44,"45+",IF(data[[#This Row],[Age]]&lt;18,"below 18 ")))))</f>
        <v>0</v>
      </c>
    </row>
    <row r="424" spans="1:31" x14ac:dyDescent="0.25">
      <c r="A424" t="s">
        <v>477</v>
      </c>
      <c r="B424">
        <v>15</v>
      </c>
      <c r="C424" t="s">
        <v>47</v>
      </c>
      <c r="D424" t="s">
        <v>39</v>
      </c>
      <c r="E424" t="s">
        <v>33</v>
      </c>
      <c r="F424" t="s">
        <v>51</v>
      </c>
      <c r="G424">
        <v>7.2</v>
      </c>
      <c r="H424">
        <v>7</v>
      </c>
      <c r="I424">
        <v>5</v>
      </c>
      <c r="J424" t="s">
        <v>42</v>
      </c>
      <c r="K424" t="s">
        <v>62</v>
      </c>
      <c r="L424">
        <v>92</v>
      </c>
      <c r="M424">
        <v>2</v>
      </c>
      <c r="N424">
        <v>6.5</v>
      </c>
      <c r="O424">
        <v>0</v>
      </c>
      <c r="P424">
        <v>8.8000000000000007</v>
      </c>
      <c r="Q424" t="s">
        <v>35</v>
      </c>
      <c r="R424" t="s">
        <v>35</v>
      </c>
      <c r="S424">
        <v>4.8</v>
      </c>
      <c r="T424">
        <v>6.7</v>
      </c>
      <c r="U424">
        <v>1.4</v>
      </c>
      <c r="V424">
        <v>5.9</v>
      </c>
      <c r="W424">
        <v>2.6</v>
      </c>
      <c r="X424">
        <v>8.3000000000000007</v>
      </c>
      <c r="Y424">
        <v>3.7</v>
      </c>
      <c r="Z424">
        <v>4.9000000000000004</v>
      </c>
      <c r="AA424">
        <v>3.4</v>
      </c>
      <c r="AB424">
        <v>1.9</v>
      </c>
      <c r="AC424">
        <v>4.9000000000000004</v>
      </c>
      <c r="AD424" t="s">
        <v>53</v>
      </c>
      <c r="AE424" t="str">
        <f>IF(AND(data[[#This Row],[Age]]&gt;=18,data[[#This Row],[Age]]&lt;=24),"18-24",IF(AND(data[[#This Row],[Age]]&gt;=25,data[[#This Row],[Age]]&lt;=34),"25-34",IF(AND(data[[#This Row],[Age]]&gt;35,data[[#This Row],[Age]]&lt;=44),"35-44",IF(data[[#This Row],[Age]]&gt;44,"45+",IF(data[[#This Row],[Age]]&lt;18,"below 18 ")))))</f>
        <v xml:space="preserve">below 18 </v>
      </c>
    </row>
    <row r="425" spans="1:31" x14ac:dyDescent="0.25">
      <c r="A425" t="s">
        <v>478</v>
      </c>
      <c r="B425">
        <v>35</v>
      </c>
      <c r="C425" t="s">
        <v>47</v>
      </c>
      <c r="D425" t="s">
        <v>64</v>
      </c>
      <c r="E425" t="s">
        <v>58</v>
      </c>
      <c r="F425" t="s">
        <v>59</v>
      </c>
      <c r="G425">
        <v>5.3</v>
      </c>
      <c r="H425">
        <v>4</v>
      </c>
      <c r="I425">
        <v>6</v>
      </c>
      <c r="J425" t="s">
        <v>42</v>
      </c>
      <c r="K425" t="s">
        <v>62</v>
      </c>
      <c r="L425">
        <v>15</v>
      </c>
      <c r="M425">
        <v>7.3</v>
      </c>
      <c r="N425">
        <v>7.2</v>
      </c>
      <c r="O425">
        <v>4.8</v>
      </c>
      <c r="P425">
        <v>7.2</v>
      </c>
      <c r="Q425" t="s">
        <v>42</v>
      </c>
      <c r="R425" t="s">
        <v>42</v>
      </c>
      <c r="S425">
        <v>6.7</v>
      </c>
      <c r="T425">
        <v>2.8</v>
      </c>
      <c r="U425">
        <v>4.5999999999999996</v>
      </c>
      <c r="V425">
        <v>6.6</v>
      </c>
      <c r="W425">
        <v>6.9</v>
      </c>
      <c r="X425">
        <v>8.1</v>
      </c>
      <c r="Y425">
        <v>7</v>
      </c>
      <c r="Z425">
        <v>4</v>
      </c>
      <c r="AA425">
        <v>2.7</v>
      </c>
      <c r="AB425">
        <v>1.8</v>
      </c>
      <c r="AC425">
        <v>5.6</v>
      </c>
      <c r="AD425" t="s">
        <v>45</v>
      </c>
      <c r="AE425" t="b">
        <f>IF(AND(data[[#This Row],[Age]]&gt;=18,data[[#This Row],[Age]]&lt;=24),"18-24",IF(AND(data[[#This Row],[Age]]&gt;=25,data[[#This Row],[Age]]&lt;=34),"25-34",IF(AND(data[[#This Row],[Age]]&gt;35,data[[#This Row],[Age]]&lt;=44),"35-44",IF(data[[#This Row],[Age]]&gt;44,"45+",IF(data[[#This Row],[Age]]&lt;18,"below 18 ")))))</f>
        <v>0</v>
      </c>
    </row>
    <row r="426" spans="1:31" x14ac:dyDescent="0.25">
      <c r="A426" t="s">
        <v>479</v>
      </c>
      <c r="B426">
        <v>16</v>
      </c>
      <c r="C426" t="s">
        <v>31</v>
      </c>
      <c r="D426" t="s">
        <v>32</v>
      </c>
      <c r="E426" t="s">
        <v>40</v>
      </c>
      <c r="F426" t="s">
        <v>59</v>
      </c>
      <c r="G426">
        <v>4.2</v>
      </c>
      <c r="H426">
        <v>1</v>
      </c>
      <c r="I426">
        <v>6</v>
      </c>
      <c r="J426" t="s">
        <v>35</v>
      </c>
      <c r="K426" t="s">
        <v>52</v>
      </c>
      <c r="L426">
        <v>35</v>
      </c>
      <c r="M426">
        <v>5.5</v>
      </c>
      <c r="N426">
        <v>4.3</v>
      </c>
      <c r="O426">
        <v>7.3</v>
      </c>
      <c r="P426">
        <v>6.4</v>
      </c>
      <c r="Q426" t="s">
        <v>35</v>
      </c>
      <c r="R426" t="s">
        <v>35</v>
      </c>
      <c r="S426">
        <v>4.7</v>
      </c>
      <c r="T426">
        <v>7.4</v>
      </c>
      <c r="U426">
        <v>6.7</v>
      </c>
      <c r="V426">
        <v>4</v>
      </c>
      <c r="W426">
        <v>5.7</v>
      </c>
      <c r="X426">
        <v>5.2</v>
      </c>
      <c r="Z426">
        <v>5.2</v>
      </c>
      <c r="AA426">
        <v>4.0999999999999996</v>
      </c>
      <c r="AB426">
        <v>3.5</v>
      </c>
      <c r="AC426">
        <v>6.7</v>
      </c>
      <c r="AD426" t="s">
        <v>37</v>
      </c>
      <c r="AE426" t="str">
        <f>IF(AND(data[[#This Row],[Age]]&gt;=18,data[[#This Row],[Age]]&lt;=24),"18-24",IF(AND(data[[#This Row],[Age]]&gt;=25,data[[#This Row],[Age]]&lt;=34),"25-34",IF(AND(data[[#This Row],[Age]]&gt;35,data[[#This Row],[Age]]&lt;=44),"35-44",IF(data[[#This Row],[Age]]&gt;44,"45+",IF(data[[#This Row],[Age]]&lt;18,"below 18 ")))))</f>
        <v xml:space="preserve">below 18 </v>
      </c>
    </row>
    <row r="427" spans="1:31" x14ac:dyDescent="0.25">
      <c r="A427" t="s">
        <v>480</v>
      </c>
      <c r="B427">
        <v>36</v>
      </c>
      <c r="C427" t="s">
        <v>47</v>
      </c>
      <c r="D427" t="s">
        <v>39</v>
      </c>
      <c r="E427" t="s">
        <v>58</v>
      </c>
      <c r="F427" t="s">
        <v>41</v>
      </c>
      <c r="G427">
        <v>4.5</v>
      </c>
      <c r="H427">
        <v>3</v>
      </c>
      <c r="I427">
        <v>5</v>
      </c>
      <c r="J427" t="s">
        <v>42</v>
      </c>
      <c r="K427" t="s">
        <v>52</v>
      </c>
      <c r="L427">
        <v>5</v>
      </c>
      <c r="M427">
        <v>6.9</v>
      </c>
      <c r="N427">
        <v>6.9</v>
      </c>
      <c r="O427">
        <v>2.2000000000000002</v>
      </c>
      <c r="P427">
        <v>2.2000000000000002</v>
      </c>
      <c r="Q427" t="s">
        <v>35</v>
      </c>
      <c r="R427" t="s">
        <v>35</v>
      </c>
      <c r="S427">
        <v>7.2</v>
      </c>
      <c r="T427">
        <v>2.6</v>
      </c>
      <c r="U427">
        <v>4.5999999999999996</v>
      </c>
      <c r="V427">
        <v>4.0999999999999996</v>
      </c>
      <c r="W427">
        <v>4.0999999999999996</v>
      </c>
      <c r="X427">
        <v>7</v>
      </c>
      <c r="Y427">
        <v>4.4000000000000004</v>
      </c>
      <c r="Z427">
        <v>9.3000000000000007</v>
      </c>
      <c r="AA427">
        <v>4.0999999999999996</v>
      </c>
      <c r="AB427">
        <v>0.9</v>
      </c>
      <c r="AC427">
        <v>7.4</v>
      </c>
      <c r="AD427" t="s">
        <v>53</v>
      </c>
      <c r="AE427" t="str">
        <f>IF(AND(data[[#This Row],[Age]]&gt;=18,data[[#This Row],[Age]]&lt;=24),"18-24",IF(AND(data[[#This Row],[Age]]&gt;=25,data[[#This Row],[Age]]&lt;=34),"25-34",IF(AND(data[[#This Row],[Age]]&gt;35,data[[#This Row],[Age]]&lt;=44),"35-44",IF(data[[#This Row],[Age]]&gt;44,"45+",IF(data[[#This Row],[Age]]&lt;18,"below 18 ")))))</f>
        <v>35-44</v>
      </c>
    </row>
    <row r="428" spans="1:31" x14ac:dyDescent="0.25">
      <c r="A428" t="s">
        <v>481</v>
      </c>
      <c r="B428">
        <v>17</v>
      </c>
      <c r="C428" t="s">
        <v>47</v>
      </c>
      <c r="D428" t="s">
        <v>64</v>
      </c>
      <c r="E428" t="s">
        <v>40</v>
      </c>
      <c r="F428" t="s">
        <v>51</v>
      </c>
      <c r="G428">
        <v>2</v>
      </c>
      <c r="H428">
        <v>3</v>
      </c>
      <c r="I428">
        <v>3</v>
      </c>
      <c r="J428" t="s">
        <v>42</v>
      </c>
      <c r="K428" t="s">
        <v>62</v>
      </c>
      <c r="L428">
        <v>121</v>
      </c>
      <c r="M428">
        <v>9.6999999999999993</v>
      </c>
      <c r="N428">
        <v>6.2</v>
      </c>
      <c r="P428">
        <v>9.3000000000000007</v>
      </c>
      <c r="Q428" t="s">
        <v>35</v>
      </c>
      <c r="R428" t="s">
        <v>42</v>
      </c>
      <c r="S428">
        <v>3.1</v>
      </c>
      <c r="T428">
        <v>3.8</v>
      </c>
      <c r="U428">
        <v>0.9</v>
      </c>
      <c r="V428">
        <v>7.4</v>
      </c>
      <c r="W428">
        <v>5.2</v>
      </c>
      <c r="X428">
        <v>8</v>
      </c>
      <c r="Y428">
        <v>5.8</v>
      </c>
      <c r="Z428">
        <v>9</v>
      </c>
      <c r="AA428">
        <v>4.3</v>
      </c>
      <c r="AB428">
        <v>2.2000000000000002</v>
      </c>
      <c r="AC428">
        <v>6.2</v>
      </c>
      <c r="AD428" t="s">
        <v>45</v>
      </c>
      <c r="AE428" t="str">
        <f>IF(AND(data[[#This Row],[Age]]&gt;=18,data[[#This Row],[Age]]&lt;=24),"18-24",IF(AND(data[[#This Row],[Age]]&gt;=25,data[[#This Row],[Age]]&lt;=34),"25-34",IF(AND(data[[#This Row],[Age]]&gt;35,data[[#This Row],[Age]]&lt;=44),"35-44",IF(data[[#This Row],[Age]]&gt;44,"45+",IF(data[[#This Row],[Age]]&lt;18,"below 18 ")))))</f>
        <v xml:space="preserve">below 18 </v>
      </c>
    </row>
    <row r="429" spans="1:31" x14ac:dyDescent="0.25">
      <c r="A429" t="s">
        <v>482</v>
      </c>
      <c r="B429">
        <v>26</v>
      </c>
      <c r="C429" t="s">
        <v>47</v>
      </c>
      <c r="D429" t="s">
        <v>32</v>
      </c>
      <c r="E429" t="s">
        <v>40</v>
      </c>
      <c r="F429" t="s">
        <v>70</v>
      </c>
      <c r="G429">
        <v>5.9</v>
      </c>
      <c r="H429">
        <v>2</v>
      </c>
      <c r="I429">
        <v>3</v>
      </c>
      <c r="J429" t="s">
        <v>35</v>
      </c>
      <c r="K429" t="s">
        <v>62</v>
      </c>
      <c r="L429">
        <v>110</v>
      </c>
      <c r="M429">
        <v>5.3</v>
      </c>
      <c r="N429">
        <v>7.2</v>
      </c>
      <c r="O429">
        <v>2.2999999999999998</v>
      </c>
      <c r="P429">
        <v>8.6999999999999993</v>
      </c>
      <c r="Q429" t="s">
        <v>35</v>
      </c>
      <c r="R429" t="s">
        <v>35</v>
      </c>
      <c r="S429">
        <v>3.3</v>
      </c>
      <c r="T429">
        <v>7.6</v>
      </c>
      <c r="U429">
        <v>6.1</v>
      </c>
      <c r="V429">
        <v>5</v>
      </c>
      <c r="W429">
        <v>4.0999999999999996</v>
      </c>
      <c r="X429">
        <v>5</v>
      </c>
      <c r="Y429">
        <v>4.7</v>
      </c>
      <c r="AA429">
        <v>2.9</v>
      </c>
      <c r="AB429">
        <v>5.7</v>
      </c>
      <c r="AC429">
        <v>8.1999999999999993</v>
      </c>
      <c r="AD429" t="s">
        <v>53</v>
      </c>
      <c r="AE429" t="str">
        <f>IF(AND(data[[#This Row],[Age]]&gt;=18,data[[#This Row],[Age]]&lt;=24),"18-24",IF(AND(data[[#This Row],[Age]]&gt;=25,data[[#This Row],[Age]]&lt;=34),"25-34",IF(AND(data[[#This Row],[Age]]&gt;35,data[[#This Row],[Age]]&lt;=44),"35-44",IF(data[[#This Row],[Age]]&gt;44,"45+",IF(data[[#This Row],[Age]]&lt;18,"below 18 ")))))</f>
        <v>25-34</v>
      </c>
    </row>
    <row r="430" spans="1:31" x14ac:dyDescent="0.25">
      <c r="A430" t="s">
        <v>483</v>
      </c>
      <c r="B430">
        <v>30</v>
      </c>
      <c r="C430" t="s">
        <v>31</v>
      </c>
      <c r="D430" t="s">
        <v>39</v>
      </c>
      <c r="E430" t="s">
        <v>58</v>
      </c>
      <c r="F430" t="s">
        <v>51</v>
      </c>
      <c r="G430">
        <v>4</v>
      </c>
      <c r="H430">
        <v>4</v>
      </c>
      <c r="I430">
        <v>5</v>
      </c>
      <c r="J430" t="s">
        <v>35</v>
      </c>
      <c r="K430" t="s">
        <v>52</v>
      </c>
      <c r="L430">
        <v>38</v>
      </c>
      <c r="M430">
        <v>0.6</v>
      </c>
      <c r="N430">
        <v>4.3</v>
      </c>
      <c r="O430">
        <v>7.8</v>
      </c>
      <c r="P430">
        <v>4.5999999999999996</v>
      </c>
      <c r="Q430" t="s">
        <v>35</v>
      </c>
      <c r="R430" t="s">
        <v>35</v>
      </c>
      <c r="S430">
        <v>5.9</v>
      </c>
      <c r="T430">
        <v>6.9</v>
      </c>
      <c r="U430">
        <v>0</v>
      </c>
      <c r="V430">
        <v>5.3</v>
      </c>
      <c r="W430">
        <v>7.9</v>
      </c>
      <c r="X430">
        <v>6.4</v>
      </c>
      <c r="Y430">
        <v>2</v>
      </c>
      <c r="Z430">
        <v>8.4</v>
      </c>
      <c r="AA430">
        <v>1.3</v>
      </c>
      <c r="AB430">
        <v>0</v>
      </c>
      <c r="AC430">
        <v>9.6</v>
      </c>
      <c r="AD430" t="s">
        <v>37</v>
      </c>
      <c r="AE430" t="str">
        <f>IF(AND(data[[#This Row],[Age]]&gt;=18,data[[#This Row],[Age]]&lt;=24),"18-24",IF(AND(data[[#This Row],[Age]]&gt;=25,data[[#This Row],[Age]]&lt;=34),"25-34",IF(AND(data[[#This Row],[Age]]&gt;35,data[[#This Row],[Age]]&lt;=44),"35-44",IF(data[[#This Row],[Age]]&gt;44,"45+",IF(data[[#This Row],[Age]]&lt;18,"below 18 ")))))</f>
        <v>25-34</v>
      </c>
    </row>
    <row r="431" spans="1:31" x14ac:dyDescent="0.25">
      <c r="A431" t="s">
        <v>484</v>
      </c>
      <c r="B431">
        <v>26</v>
      </c>
      <c r="C431" t="s">
        <v>31</v>
      </c>
      <c r="D431" t="s">
        <v>64</v>
      </c>
      <c r="E431" t="s">
        <v>33</v>
      </c>
      <c r="F431" t="s">
        <v>41</v>
      </c>
      <c r="G431">
        <v>5.4</v>
      </c>
      <c r="H431">
        <v>2</v>
      </c>
      <c r="I431">
        <v>4</v>
      </c>
      <c r="J431" t="s">
        <v>42</v>
      </c>
      <c r="K431" t="s">
        <v>36</v>
      </c>
      <c r="L431">
        <v>31</v>
      </c>
      <c r="M431">
        <v>6.2</v>
      </c>
      <c r="N431">
        <v>4.7</v>
      </c>
      <c r="O431">
        <v>5.3</v>
      </c>
      <c r="P431">
        <v>6.3</v>
      </c>
      <c r="R431" t="s">
        <v>35</v>
      </c>
      <c r="S431">
        <v>6.4</v>
      </c>
      <c r="T431">
        <v>4.8</v>
      </c>
      <c r="U431">
        <v>6</v>
      </c>
      <c r="V431">
        <v>7.4</v>
      </c>
      <c r="W431">
        <v>4.5999999999999996</v>
      </c>
      <c r="X431">
        <v>3</v>
      </c>
      <c r="Y431">
        <v>3.9</v>
      </c>
      <c r="AA431">
        <v>1.7</v>
      </c>
      <c r="AB431">
        <v>3.4</v>
      </c>
      <c r="AC431">
        <v>4.8</v>
      </c>
      <c r="AD431" t="s">
        <v>45</v>
      </c>
      <c r="AE431" t="str">
        <f>IF(AND(data[[#This Row],[Age]]&gt;=18,data[[#This Row],[Age]]&lt;=24),"18-24",IF(AND(data[[#This Row],[Age]]&gt;=25,data[[#This Row],[Age]]&lt;=34),"25-34",IF(AND(data[[#This Row],[Age]]&gt;35,data[[#This Row],[Age]]&lt;=44),"35-44",IF(data[[#This Row],[Age]]&gt;44,"45+",IF(data[[#This Row],[Age]]&lt;18,"below 18 ")))))</f>
        <v>25-34</v>
      </c>
    </row>
    <row r="432" spans="1:31" x14ac:dyDescent="0.25">
      <c r="A432" t="s">
        <v>485</v>
      </c>
      <c r="B432">
        <v>19</v>
      </c>
      <c r="C432" t="s">
        <v>50</v>
      </c>
      <c r="D432" t="s">
        <v>39</v>
      </c>
      <c r="E432" t="s">
        <v>33</v>
      </c>
      <c r="F432" t="s">
        <v>48</v>
      </c>
      <c r="G432">
        <v>7.2</v>
      </c>
      <c r="H432">
        <v>3</v>
      </c>
      <c r="I432">
        <v>5</v>
      </c>
      <c r="J432" t="s">
        <v>35</v>
      </c>
      <c r="K432" t="s">
        <v>36</v>
      </c>
      <c r="L432">
        <v>106</v>
      </c>
      <c r="M432">
        <v>8.5</v>
      </c>
      <c r="N432">
        <v>6.9</v>
      </c>
      <c r="O432">
        <v>8.6</v>
      </c>
      <c r="P432">
        <v>2.8</v>
      </c>
      <c r="Q432" t="s">
        <v>35</v>
      </c>
      <c r="R432" t="s">
        <v>35</v>
      </c>
      <c r="S432">
        <v>7.4</v>
      </c>
      <c r="T432">
        <v>0</v>
      </c>
      <c r="U432">
        <v>2.6</v>
      </c>
      <c r="V432">
        <v>3.4</v>
      </c>
      <c r="W432">
        <v>4</v>
      </c>
      <c r="X432">
        <v>8</v>
      </c>
      <c r="Y432">
        <v>3.5</v>
      </c>
      <c r="Z432">
        <v>7.1</v>
      </c>
      <c r="AA432">
        <v>5</v>
      </c>
      <c r="AB432">
        <v>3.7</v>
      </c>
      <c r="AC432">
        <v>5.5</v>
      </c>
      <c r="AD432" t="s">
        <v>45</v>
      </c>
      <c r="AE432" t="str">
        <f>IF(AND(data[[#This Row],[Age]]&gt;=18,data[[#This Row],[Age]]&lt;=24),"18-24",IF(AND(data[[#This Row],[Age]]&gt;=25,data[[#This Row],[Age]]&lt;=34),"25-34",IF(AND(data[[#This Row],[Age]]&gt;35,data[[#This Row],[Age]]&lt;=44),"35-44",IF(data[[#This Row],[Age]]&gt;44,"45+",IF(data[[#This Row],[Age]]&lt;18,"below 18 ")))))</f>
        <v>18-24</v>
      </c>
    </row>
    <row r="433" spans="1:31" x14ac:dyDescent="0.25">
      <c r="A433" t="s">
        <v>486</v>
      </c>
      <c r="B433">
        <v>23</v>
      </c>
      <c r="C433" t="s">
        <v>47</v>
      </c>
      <c r="D433" t="s">
        <v>32</v>
      </c>
      <c r="E433" t="s">
        <v>58</v>
      </c>
      <c r="F433" t="s">
        <v>41</v>
      </c>
      <c r="G433">
        <v>6.1</v>
      </c>
      <c r="H433">
        <v>4</v>
      </c>
      <c r="I433">
        <v>8</v>
      </c>
      <c r="J433" t="s">
        <v>35</v>
      </c>
      <c r="K433" t="s">
        <v>36</v>
      </c>
      <c r="L433">
        <v>28</v>
      </c>
      <c r="N433">
        <v>3.2</v>
      </c>
      <c r="P433">
        <v>4.8</v>
      </c>
      <c r="Q433" t="s">
        <v>35</v>
      </c>
      <c r="R433" t="s">
        <v>42</v>
      </c>
      <c r="S433">
        <v>5</v>
      </c>
      <c r="T433">
        <v>2.6</v>
      </c>
      <c r="U433">
        <v>2.9</v>
      </c>
      <c r="V433">
        <v>3.7</v>
      </c>
      <c r="W433">
        <v>4.5</v>
      </c>
      <c r="X433">
        <v>6.6</v>
      </c>
      <c r="Y433">
        <v>3.3</v>
      </c>
      <c r="Z433">
        <v>1.1000000000000001</v>
      </c>
      <c r="AA433">
        <v>3.4</v>
      </c>
      <c r="AB433">
        <v>4.8</v>
      </c>
      <c r="AC433">
        <v>6</v>
      </c>
      <c r="AD433" t="s">
        <v>45</v>
      </c>
      <c r="AE433" t="str">
        <f>IF(AND(data[[#This Row],[Age]]&gt;=18,data[[#This Row],[Age]]&lt;=24),"18-24",IF(AND(data[[#This Row],[Age]]&gt;=25,data[[#This Row],[Age]]&lt;=34),"25-34",IF(AND(data[[#This Row],[Age]]&gt;35,data[[#This Row],[Age]]&lt;=44),"35-44",IF(data[[#This Row],[Age]]&gt;44,"45+",IF(data[[#This Row],[Age]]&lt;18,"below 18 ")))))</f>
        <v>18-24</v>
      </c>
    </row>
    <row r="434" spans="1:31" x14ac:dyDescent="0.25">
      <c r="A434" t="s">
        <v>487</v>
      </c>
      <c r="B434">
        <v>28</v>
      </c>
      <c r="C434" t="s">
        <v>31</v>
      </c>
      <c r="D434" t="s">
        <v>32</v>
      </c>
      <c r="E434" t="s">
        <v>58</v>
      </c>
      <c r="F434" t="s">
        <v>59</v>
      </c>
      <c r="G434">
        <v>5</v>
      </c>
      <c r="H434">
        <v>5</v>
      </c>
      <c r="I434">
        <v>7</v>
      </c>
      <c r="J434" t="s">
        <v>35</v>
      </c>
      <c r="K434" t="s">
        <v>52</v>
      </c>
      <c r="L434">
        <v>52</v>
      </c>
      <c r="M434">
        <v>3</v>
      </c>
      <c r="N434">
        <v>9.6999999999999993</v>
      </c>
      <c r="O434">
        <v>2</v>
      </c>
      <c r="P434">
        <v>1.1000000000000001</v>
      </c>
      <c r="Q434" t="s">
        <v>35</v>
      </c>
      <c r="R434" t="s">
        <v>42</v>
      </c>
      <c r="S434">
        <v>1.9</v>
      </c>
      <c r="T434">
        <v>3.2</v>
      </c>
      <c r="V434">
        <v>7.2</v>
      </c>
      <c r="W434">
        <v>4.4000000000000004</v>
      </c>
      <c r="X434">
        <v>5.3</v>
      </c>
      <c r="Y434">
        <v>7</v>
      </c>
      <c r="Z434">
        <v>8.3000000000000007</v>
      </c>
      <c r="AA434">
        <v>5.4</v>
      </c>
      <c r="AB434">
        <v>4.8</v>
      </c>
      <c r="AC434">
        <v>9</v>
      </c>
      <c r="AD434" t="s">
        <v>37</v>
      </c>
      <c r="AE434" t="str">
        <f>IF(AND(data[[#This Row],[Age]]&gt;=18,data[[#This Row],[Age]]&lt;=24),"18-24",IF(AND(data[[#This Row],[Age]]&gt;=25,data[[#This Row],[Age]]&lt;=34),"25-34",IF(AND(data[[#This Row],[Age]]&gt;35,data[[#This Row],[Age]]&lt;=44),"35-44",IF(data[[#This Row],[Age]]&gt;44,"45+",IF(data[[#This Row],[Age]]&lt;18,"below 18 ")))))</f>
        <v>25-34</v>
      </c>
    </row>
    <row r="435" spans="1:31" x14ac:dyDescent="0.25">
      <c r="A435" t="s">
        <v>488</v>
      </c>
      <c r="B435">
        <v>26</v>
      </c>
      <c r="C435" t="s">
        <v>47</v>
      </c>
      <c r="D435" t="s">
        <v>32</v>
      </c>
      <c r="E435" t="s">
        <v>33</v>
      </c>
      <c r="F435" t="s">
        <v>41</v>
      </c>
      <c r="G435">
        <v>5.3</v>
      </c>
      <c r="H435">
        <v>4</v>
      </c>
      <c r="I435">
        <v>1</v>
      </c>
      <c r="J435" t="s">
        <v>42</v>
      </c>
      <c r="K435" t="s">
        <v>62</v>
      </c>
      <c r="L435">
        <v>79</v>
      </c>
      <c r="M435">
        <v>7</v>
      </c>
      <c r="N435">
        <v>3.7</v>
      </c>
      <c r="O435">
        <v>4.4000000000000004</v>
      </c>
      <c r="P435">
        <v>4.5</v>
      </c>
      <c r="Q435" t="s">
        <v>42</v>
      </c>
      <c r="R435" t="s">
        <v>35</v>
      </c>
      <c r="S435">
        <v>7.6</v>
      </c>
      <c r="T435">
        <v>6.2</v>
      </c>
      <c r="U435">
        <v>3</v>
      </c>
      <c r="V435">
        <v>4.5999999999999996</v>
      </c>
      <c r="W435">
        <v>5.5</v>
      </c>
      <c r="X435">
        <v>6.8</v>
      </c>
      <c r="Y435">
        <v>2.9</v>
      </c>
      <c r="Z435">
        <v>5.4</v>
      </c>
      <c r="AA435">
        <v>4.5</v>
      </c>
      <c r="AB435">
        <v>3</v>
      </c>
      <c r="AC435">
        <v>7.2</v>
      </c>
      <c r="AD435" t="s">
        <v>37</v>
      </c>
      <c r="AE435" t="str">
        <f>IF(AND(data[[#This Row],[Age]]&gt;=18,data[[#This Row],[Age]]&lt;=24),"18-24",IF(AND(data[[#This Row],[Age]]&gt;=25,data[[#This Row],[Age]]&lt;=34),"25-34",IF(AND(data[[#This Row],[Age]]&gt;35,data[[#This Row],[Age]]&lt;=44),"35-44",IF(data[[#This Row],[Age]]&gt;44,"45+",IF(data[[#This Row],[Age]]&lt;18,"below 18 ")))))</f>
        <v>25-34</v>
      </c>
    </row>
    <row r="436" spans="1:31" x14ac:dyDescent="0.25">
      <c r="A436" t="s">
        <v>489</v>
      </c>
      <c r="B436">
        <v>44</v>
      </c>
      <c r="C436" t="s">
        <v>47</v>
      </c>
      <c r="D436" t="s">
        <v>32</v>
      </c>
      <c r="E436" t="s">
        <v>33</v>
      </c>
      <c r="F436" t="s">
        <v>34</v>
      </c>
      <c r="G436">
        <v>4.8</v>
      </c>
      <c r="H436">
        <v>3</v>
      </c>
      <c r="I436">
        <v>0</v>
      </c>
      <c r="J436" t="s">
        <v>35</v>
      </c>
      <c r="K436" t="s">
        <v>36</v>
      </c>
      <c r="L436">
        <v>115</v>
      </c>
      <c r="M436">
        <v>7</v>
      </c>
      <c r="N436">
        <v>3.4</v>
      </c>
      <c r="O436">
        <v>3.3</v>
      </c>
      <c r="P436">
        <v>3.8</v>
      </c>
      <c r="Q436" t="s">
        <v>42</v>
      </c>
      <c r="R436" t="s">
        <v>35</v>
      </c>
      <c r="S436">
        <v>4</v>
      </c>
      <c r="T436">
        <v>6</v>
      </c>
      <c r="U436">
        <v>4</v>
      </c>
      <c r="V436">
        <v>5.4</v>
      </c>
      <c r="W436">
        <v>4.7</v>
      </c>
      <c r="X436">
        <v>4.5</v>
      </c>
      <c r="Y436">
        <v>5.7</v>
      </c>
      <c r="Z436">
        <v>7.1</v>
      </c>
      <c r="AA436">
        <v>1</v>
      </c>
      <c r="AB436">
        <v>4.4000000000000004</v>
      </c>
      <c r="AC436">
        <v>6.5</v>
      </c>
      <c r="AD436" t="s">
        <v>37</v>
      </c>
      <c r="AE436" t="str">
        <f>IF(AND(data[[#This Row],[Age]]&gt;=18,data[[#This Row],[Age]]&lt;=24),"18-24",IF(AND(data[[#This Row],[Age]]&gt;=25,data[[#This Row],[Age]]&lt;=34),"25-34",IF(AND(data[[#This Row],[Age]]&gt;35,data[[#This Row],[Age]]&lt;=44),"35-44",IF(data[[#This Row],[Age]]&gt;44,"45+",IF(data[[#This Row],[Age]]&lt;18,"below 18 ")))))</f>
        <v>35-44</v>
      </c>
    </row>
    <row r="437" spans="1:31" x14ac:dyDescent="0.25">
      <c r="A437" t="s">
        <v>490</v>
      </c>
      <c r="B437">
        <v>22</v>
      </c>
      <c r="C437" t="s">
        <v>47</v>
      </c>
      <c r="D437" t="s">
        <v>64</v>
      </c>
      <c r="E437" t="s">
        <v>33</v>
      </c>
      <c r="F437" t="s">
        <v>51</v>
      </c>
      <c r="G437">
        <v>8</v>
      </c>
      <c r="H437">
        <v>3</v>
      </c>
      <c r="I437">
        <v>8</v>
      </c>
      <c r="J437" t="s">
        <v>42</v>
      </c>
      <c r="K437" t="s">
        <v>36</v>
      </c>
      <c r="L437">
        <v>96</v>
      </c>
      <c r="M437">
        <v>4.8</v>
      </c>
      <c r="N437">
        <v>5.5</v>
      </c>
      <c r="O437">
        <v>6.4</v>
      </c>
      <c r="P437">
        <v>7</v>
      </c>
      <c r="Q437" t="s">
        <v>42</v>
      </c>
      <c r="R437" t="s">
        <v>35</v>
      </c>
      <c r="S437">
        <v>7.5</v>
      </c>
      <c r="T437">
        <v>4.9000000000000004</v>
      </c>
      <c r="U437">
        <v>4.5</v>
      </c>
      <c r="V437">
        <v>6.7</v>
      </c>
      <c r="W437">
        <v>5.8</v>
      </c>
      <c r="X437">
        <v>6.3</v>
      </c>
      <c r="Y437">
        <v>5.4</v>
      </c>
      <c r="Z437">
        <v>5</v>
      </c>
      <c r="AA437">
        <v>0</v>
      </c>
      <c r="AB437">
        <v>3.2</v>
      </c>
      <c r="AC437">
        <v>4</v>
      </c>
      <c r="AD437" t="s">
        <v>43</v>
      </c>
      <c r="AE437" t="str">
        <f>IF(AND(data[[#This Row],[Age]]&gt;=18,data[[#This Row],[Age]]&lt;=24),"18-24",IF(AND(data[[#This Row],[Age]]&gt;=25,data[[#This Row],[Age]]&lt;=34),"25-34",IF(AND(data[[#This Row],[Age]]&gt;35,data[[#This Row],[Age]]&lt;=44),"35-44",IF(data[[#This Row],[Age]]&gt;44,"45+",IF(data[[#This Row],[Age]]&lt;18,"below 18 ")))))</f>
        <v>18-24</v>
      </c>
    </row>
    <row r="438" spans="1:31" x14ac:dyDescent="0.25">
      <c r="A438" t="s">
        <v>491</v>
      </c>
      <c r="B438">
        <v>36</v>
      </c>
      <c r="C438" t="s">
        <v>47</v>
      </c>
      <c r="D438" t="s">
        <v>32</v>
      </c>
      <c r="E438" t="s">
        <v>58</v>
      </c>
      <c r="F438" t="s">
        <v>59</v>
      </c>
      <c r="G438">
        <v>0.6</v>
      </c>
      <c r="H438">
        <v>4</v>
      </c>
      <c r="I438">
        <v>8</v>
      </c>
      <c r="J438" t="s">
        <v>42</v>
      </c>
      <c r="K438" t="s">
        <v>36</v>
      </c>
      <c r="L438">
        <v>73</v>
      </c>
      <c r="M438">
        <v>3.4</v>
      </c>
      <c r="N438">
        <v>7.2</v>
      </c>
      <c r="O438">
        <v>4.4000000000000004</v>
      </c>
      <c r="P438">
        <v>6.5</v>
      </c>
      <c r="Q438" t="s">
        <v>42</v>
      </c>
      <c r="R438" t="s">
        <v>35</v>
      </c>
      <c r="S438">
        <v>7.9</v>
      </c>
      <c r="T438">
        <v>2.2000000000000002</v>
      </c>
      <c r="U438">
        <v>5</v>
      </c>
      <c r="V438">
        <v>3.5</v>
      </c>
      <c r="W438">
        <v>5</v>
      </c>
      <c r="X438">
        <v>5.7</v>
      </c>
      <c r="Y438">
        <v>3.3</v>
      </c>
      <c r="Z438">
        <v>8.1999999999999993</v>
      </c>
      <c r="AA438">
        <v>1.7</v>
      </c>
      <c r="AB438">
        <v>0.5</v>
      </c>
      <c r="AC438">
        <v>6.1</v>
      </c>
      <c r="AD438" t="s">
        <v>53</v>
      </c>
      <c r="AE438" t="str">
        <f>IF(AND(data[[#This Row],[Age]]&gt;=18,data[[#This Row],[Age]]&lt;=24),"18-24",IF(AND(data[[#This Row],[Age]]&gt;=25,data[[#This Row],[Age]]&lt;=34),"25-34",IF(AND(data[[#This Row],[Age]]&gt;35,data[[#This Row],[Age]]&lt;=44),"35-44",IF(data[[#This Row],[Age]]&gt;44,"45+",IF(data[[#This Row],[Age]]&lt;18,"below 18 ")))))</f>
        <v>35-44</v>
      </c>
    </row>
    <row r="439" spans="1:31" x14ac:dyDescent="0.25">
      <c r="A439" t="s">
        <v>492</v>
      </c>
      <c r="B439">
        <v>22</v>
      </c>
      <c r="C439" t="s">
        <v>31</v>
      </c>
      <c r="D439" t="s">
        <v>39</v>
      </c>
      <c r="E439" t="s">
        <v>58</v>
      </c>
      <c r="F439" t="s">
        <v>41</v>
      </c>
      <c r="G439">
        <v>3.6</v>
      </c>
      <c r="H439">
        <v>3</v>
      </c>
      <c r="I439">
        <v>1</v>
      </c>
      <c r="J439" t="s">
        <v>42</v>
      </c>
      <c r="K439" t="s">
        <v>52</v>
      </c>
      <c r="L439">
        <v>112</v>
      </c>
      <c r="M439">
        <v>4.9000000000000004</v>
      </c>
      <c r="N439">
        <v>5.5</v>
      </c>
      <c r="P439">
        <v>4.5</v>
      </c>
      <c r="Q439" t="s">
        <v>42</v>
      </c>
      <c r="R439" t="s">
        <v>35</v>
      </c>
      <c r="S439">
        <v>5</v>
      </c>
      <c r="T439">
        <v>0</v>
      </c>
      <c r="U439">
        <v>2.2999999999999998</v>
      </c>
      <c r="V439">
        <v>2.8</v>
      </c>
      <c r="W439">
        <v>6.1</v>
      </c>
      <c r="X439">
        <v>5.4</v>
      </c>
      <c r="Y439">
        <v>5.7</v>
      </c>
      <c r="Z439">
        <v>3.6</v>
      </c>
      <c r="AA439">
        <v>2.7</v>
      </c>
      <c r="AB439">
        <v>3.9</v>
      </c>
      <c r="AC439">
        <v>6.6</v>
      </c>
      <c r="AD439" t="s">
        <v>53</v>
      </c>
      <c r="AE439" t="str">
        <f>IF(AND(data[[#This Row],[Age]]&gt;=18,data[[#This Row],[Age]]&lt;=24),"18-24",IF(AND(data[[#This Row],[Age]]&gt;=25,data[[#This Row],[Age]]&lt;=34),"25-34",IF(AND(data[[#This Row],[Age]]&gt;35,data[[#This Row],[Age]]&lt;=44),"35-44",IF(data[[#This Row],[Age]]&gt;44,"45+",IF(data[[#This Row],[Age]]&lt;18,"below 18 ")))))</f>
        <v>18-24</v>
      </c>
    </row>
    <row r="440" spans="1:31" x14ac:dyDescent="0.25">
      <c r="A440" t="s">
        <v>493</v>
      </c>
      <c r="B440">
        <v>36</v>
      </c>
      <c r="C440" t="s">
        <v>31</v>
      </c>
      <c r="D440" t="s">
        <v>32</v>
      </c>
      <c r="E440" t="s">
        <v>58</v>
      </c>
      <c r="F440" t="s">
        <v>70</v>
      </c>
      <c r="H440">
        <v>1</v>
      </c>
      <c r="I440">
        <v>2</v>
      </c>
      <c r="J440" t="s">
        <v>35</v>
      </c>
      <c r="K440" t="s">
        <v>52</v>
      </c>
      <c r="L440">
        <v>17</v>
      </c>
      <c r="M440">
        <v>6.2</v>
      </c>
      <c r="N440">
        <v>3.3</v>
      </c>
      <c r="O440">
        <v>1.7</v>
      </c>
      <c r="P440">
        <v>4.0999999999999996</v>
      </c>
      <c r="Q440" t="s">
        <v>42</v>
      </c>
      <c r="R440" t="s">
        <v>42</v>
      </c>
      <c r="S440">
        <v>5.6</v>
      </c>
      <c r="T440">
        <v>5</v>
      </c>
      <c r="U440">
        <v>3.4</v>
      </c>
      <c r="V440">
        <v>5.8</v>
      </c>
      <c r="W440">
        <v>8.4</v>
      </c>
      <c r="X440">
        <v>5.0999999999999996</v>
      </c>
      <c r="Y440">
        <v>5.6</v>
      </c>
      <c r="Z440">
        <v>7.4</v>
      </c>
      <c r="AA440">
        <v>5.8</v>
      </c>
      <c r="AB440">
        <v>0</v>
      </c>
      <c r="AC440">
        <v>8.1999999999999993</v>
      </c>
      <c r="AD440" t="s">
        <v>37</v>
      </c>
      <c r="AE440" t="str">
        <f>IF(AND(data[[#This Row],[Age]]&gt;=18,data[[#This Row],[Age]]&lt;=24),"18-24",IF(AND(data[[#This Row],[Age]]&gt;=25,data[[#This Row],[Age]]&lt;=34),"25-34",IF(AND(data[[#This Row],[Age]]&gt;35,data[[#This Row],[Age]]&lt;=44),"35-44",IF(data[[#This Row],[Age]]&gt;44,"45+",IF(data[[#This Row],[Age]]&lt;18,"below 18 ")))))</f>
        <v>35-44</v>
      </c>
    </row>
    <row r="441" spans="1:31" x14ac:dyDescent="0.25">
      <c r="A441" t="s">
        <v>494</v>
      </c>
      <c r="B441">
        <v>34</v>
      </c>
      <c r="C441" t="s">
        <v>31</v>
      </c>
      <c r="D441" t="s">
        <v>32</v>
      </c>
      <c r="E441" t="s">
        <v>40</v>
      </c>
      <c r="F441" t="s">
        <v>41</v>
      </c>
      <c r="G441">
        <v>5.4</v>
      </c>
      <c r="H441">
        <v>2</v>
      </c>
      <c r="I441">
        <v>2</v>
      </c>
      <c r="J441" t="s">
        <v>42</v>
      </c>
      <c r="K441" t="s">
        <v>52</v>
      </c>
      <c r="L441">
        <v>7</v>
      </c>
      <c r="M441">
        <v>6.2</v>
      </c>
      <c r="N441">
        <v>6.8</v>
      </c>
      <c r="O441">
        <v>5.4</v>
      </c>
      <c r="P441">
        <v>7.7</v>
      </c>
      <c r="Q441" t="s">
        <v>42</v>
      </c>
      <c r="R441" t="s">
        <v>35</v>
      </c>
      <c r="S441">
        <v>4.4000000000000004</v>
      </c>
      <c r="T441">
        <v>1.3</v>
      </c>
      <c r="U441">
        <v>7.9</v>
      </c>
      <c r="V441">
        <v>10</v>
      </c>
      <c r="W441">
        <v>7.5</v>
      </c>
      <c r="X441">
        <v>6.1</v>
      </c>
      <c r="Y441">
        <v>6.7</v>
      </c>
      <c r="Z441">
        <v>6.5</v>
      </c>
      <c r="AA441">
        <v>4.3</v>
      </c>
      <c r="AB441">
        <v>3.3</v>
      </c>
      <c r="AC441">
        <v>6.6</v>
      </c>
      <c r="AD441" t="s">
        <v>53</v>
      </c>
      <c r="AE441" t="str">
        <f>IF(AND(data[[#This Row],[Age]]&gt;=18,data[[#This Row],[Age]]&lt;=24),"18-24",IF(AND(data[[#This Row],[Age]]&gt;=25,data[[#This Row],[Age]]&lt;=34),"25-34",IF(AND(data[[#This Row],[Age]]&gt;35,data[[#This Row],[Age]]&lt;=44),"35-44",IF(data[[#This Row],[Age]]&gt;44,"45+",IF(data[[#This Row],[Age]]&lt;18,"below 18 ")))))</f>
        <v>25-34</v>
      </c>
    </row>
    <row r="442" spans="1:31" x14ac:dyDescent="0.25">
      <c r="A442" t="s">
        <v>495</v>
      </c>
      <c r="B442">
        <v>22</v>
      </c>
      <c r="C442" t="s">
        <v>31</v>
      </c>
      <c r="D442" t="s">
        <v>39</v>
      </c>
      <c r="E442" t="s">
        <v>33</v>
      </c>
      <c r="F442" t="s">
        <v>34</v>
      </c>
      <c r="G442">
        <v>4.0999999999999996</v>
      </c>
      <c r="H442">
        <v>5</v>
      </c>
      <c r="I442">
        <v>6</v>
      </c>
      <c r="J442" t="s">
        <v>42</v>
      </c>
      <c r="K442" t="s">
        <v>62</v>
      </c>
      <c r="L442">
        <v>5</v>
      </c>
      <c r="M442">
        <v>6.3</v>
      </c>
      <c r="N442">
        <v>3.8</v>
      </c>
      <c r="O442">
        <v>1.9</v>
      </c>
      <c r="P442">
        <v>2.2999999999999998</v>
      </c>
      <c r="Q442" t="s">
        <v>35</v>
      </c>
      <c r="R442" t="s">
        <v>35</v>
      </c>
      <c r="S442">
        <v>7.9</v>
      </c>
      <c r="U442">
        <v>10</v>
      </c>
      <c r="V442">
        <v>4.2</v>
      </c>
      <c r="W442">
        <v>4</v>
      </c>
      <c r="X442">
        <v>6.8</v>
      </c>
      <c r="Y442">
        <v>6.5</v>
      </c>
      <c r="Z442">
        <v>7</v>
      </c>
      <c r="AA442">
        <v>1.9</v>
      </c>
      <c r="AB442">
        <v>3.1</v>
      </c>
      <c r="AC442">
        <v>7.4</v>
      </c>
      <c r="AD442" t="s">
        <v>37</v>
      </c>
      <c r="AE442" t="str">
        <f>IF(AND(data[[#This Row],[Age]]&gt;=18,data[[#This Row],[Age]]&lt;=24),"18-24",IF(AND(data[[#This Row],[Age]]&gt;=25,data[[#This Row],[Age]]&lt;=34),"25-34",IF(AND(data[[#This Row],[Age]]&gt;35,data[[#This Row],[Age]]&lt;=44),"35-44",IF(data[[#This Row],[Age]]&gt;44,"45+",IF(data[[#This Row],[Age]]&lt;18,"below 18 ")))))</f>
        <v>18-24</v>
      </c>
    </row>
    <row r="443" spans="1:31" x14ac:dyDescent="0.25">
      <c r="A443" t="s">
        <v>496</v>
      </c>
      <c r="B443">
        <v>37</v>
      </c>
      <c r="C443" t="s">
        <v>31</v>
      </c>
      <c r="D443" t="s">
        <v>32</v>
      </c>
      <c r="E443" t="s">
        <v>33</v>
      </c>
      <c r="F443" t="s">
        <v>51</v>
      </c>
      <c r="G443">
        <v>4.7</v>
      </c>
      <c r="H443">
        <v>4</v>
      </c>
      <c r="I443">
        <v>4</v>
      </c>
      <c r="J443" t="s">
        <v>35</v>
      </c>
      <c r="K443" t="s">
        <v>52</v>
      </c>
      <c r="L443">
        <v>5</v>
      </c>
      <c r="M443">
        <v>7.8</v>
      </c>
      <c r="N443">
        <v>6.2</v>
      </c>
      <c r="O443">
        <v>0</v>
      </c>
      <c r="P443">
        <v>3.8</v>
      </c>
      <c r="Q443" t="s">
        <v>42</v>
      </c>
      <c r="R443" t="s">
        <v>42</v>
      </c>
      <c r="S443">
        <v>6</v>
      </c>
      <c r="T443">
        <v>6.5</v>
      </c>
      <c r="U443">
        <v>4.5999999999999996</v>
      </c>
      <c r="V443">
        <v>2.8</v>
      </c>
      <c r="W443">
        <v>6</v>
      </c>
      <c r="X443">
        <v>5</v>
      </c>
      <c r="Y443">
        <v>6</v>
      </c>
      <c r="Z443">
        <v>4.2</v>
      </c>
      <c r="AA443">
        <v>1.6</v>
      </c>
      <c r="AB443">
        <v>3.5</v>
      </c>
      <c r="AC443">
        <v>7.5</v>
      </c>
      <c r="AD443" t="s">
        <v>37</v>
      </c>
      <c r="AE443" t="str">
        <f>IF(AND(data[[#This Row],[Age]]&gt;=18,data[[#This Row],[Age]]&lt;=24),"18-24",IF(AND(data[[#This Row],[Age]]&gt;=25,data[[#This Row],[Age]]&lt;=34),"25-34",IF(AND(data[[#This Row],[Age]]&gt;35,data[[#This Row],[Age]]&lt;=44),"35-44",IF(data[[#This Row],[Age]]&gt;44,"45+",IF(data[[#This Row],[Age]]&lt;18,"below 18 ")))))</f>
        <v>35-44</v>
      </c>
    </row>
    <row r="444" spans="1:31" x14ac:dyDescent="0.25">
      <c r="A444" t="s">
        <v>497</v>
      </c>
      <c r="B444">
        <v>28</v>
      </c>
      <c r="C444" t="s">
        <v>47</v>
      </c>
      <c r="D444" t="s">
        <v>32</v>
      </c>
      <c r="E444" t="s">
        <v>58</v>
      </c>
      <c r="F444" t="s">
        <v>70</v>
      </c>
      <c r="G444">
        <v>8.5</v>
      </c>
      <c r="H444">
        <v>3</v>
      </c>
      <c r="I444">
        <v>3</v>
      </c>
      <c r="J444" t="s">
        <v>35</v>
      </c>
      <c r="K444" t="s">
        <v>36</v>
      </c>
      <c r="L444">
        <v>133</v>
      </c>
      <c r="M444">
        <v>4.5999999999999996</v>
      </c>
      <c r="N444">
        <v>5.6</v>
      </c>
      <c r="O444">
        <v>2.4</v>
      </c>
      <c r="P444">
        <v>6.5</v>
      </c>
      <c r="Q444" t="s">
        <v>35</v>
      </c>
      <c r="R444" t="s">
        <v>35</v>
      </c>
      <c r="S444">
        <v>3</v>
      </c>
      <c r="T444">
        <v>1.1000000000000001</v>
      </c>
      <c r="U444">
        <v>1.2</v>
      </c>
      <c r="W444">
        <v>5.4</v>
      </c>
      <c r="X444">
        <v>3.4</v>
      </c>
      <c r="Y444">
        <v>4.7</v>
      </c>
      <c r="Z444">
        <v>5.3</v>
      </c>
      <c r="AA444">
        <v>5.5</v>
      </c>
      <c r="AB444">
        <v>4.4000000000000004</v>
      </c>
      <c r="AC444">
        <v>6.6</v>
      </c>
      <c r="AD444" t="s">
        <v>53</v>
      </c>
      <c r="AE444" t="str">
        <f>IF(AND(data[[#This Row],[Age]]&gt;=18,data[[#This Row],[Age]]&lt;=24),"18-24",IF(AND(data[[#This Row],[Age]]&gt;=25,data[[#This Row],[Age]]&lt;=34),"25-34",IF(AND(data[[#This Row],[Age]]&gt;35,data[[#This Row],[Age]]&lt;=44),"35-44",IF(data[[#This Row],[Age]]&gt;44,"45+",IF(data[[#This Row],[Age]]&lt;18,"below 18 ")))))</f>
        <v>25-34</v>
      </c>
    </row>
    <row r="445" spans="1:31" x14ac:dyDescent="0.25">
      <c r="A445" t="s">
        <v>498</v>
      </c>
      <c r="B445">
        <v>33</v>
      </c>
      <c r="C445" t="s">
        <v>47</v>
      </c>
      <c r="D445" t="s">
        <v>32</v>
      </c>
      <c r="E445" t="s">
        <v>40</v>
      </c>
      <c r="F445" t="s">
        <v>59</v>
      </c>
      <c r="G445">
        <v>5.0999999999999996</v>
      </c>
      <c r="H445">
        <v>2</v>
      </c>
      <c r="I445">
        <v>8</v>
      </c>
      <c r="J445" t="s">
        <v>42</v>
      </c>
      <c r="K445" t="s">
        <v>52</v>
      </c>
      <c r="L445">
        <v>95</v>
      </c>
      <c r="M445">
        <v>3.9</v>
      </c>
      <c r="N445">
        <v>1.7</v>
      </c>
      <c r="O445">
        <v>0.2</v>
      </c>
      <c r="P445">
        <v>5.5</v>
      </c>
      <c r="Q445" t="s">
        <v>35</v>
      </c>
      <c r="R445" t="s">
        <v>35</v>
      </c>
      <c r="S445">
        <v>10</v>
      </c>
      <c r="T445">
        <v>5.5</v>
      </c>
      <c r="U445">
        <v>5.0999999999999996</v>
      </c>
      <c r="V445">
        <v>6.5</v>
      </c>
      <c r="W445">
        <v>5</v>
      </c>
      <c r="X445">
        <v>7.6</v>
      </c>
      <c r="Y445">
        <v>1.8</v>
      </c>
      <c r="Z445">
        <v>3.7</v>
      </c>
      <c r="AA445">
        <v>2.5</v>
      </c>
      <c r="AB445">
        <v>1.7</v>
      </c>
      <c r="AC445">
        <v>7.9</v>
      </c>
      <c r="AD445" t="s">
        <v>37</v>
      </c>
      <c r="AE445" t="str">
        <f>IF(AND(data[[#This Row],[Age]]&gt;=18,data[[#This Row],[Age]]&lt;=24),"18-24",IF(AND(data[[#This Row],[Age]]&gt;=25,data[[#This Row],[Age]]&lt;=34),"25-34",IF(AND(data[[#This Row],[Age]]&gt;35,data[[#This Row],[Age]]&lt;=44),"35-44",IF(data[[#This Row],[Age]]&gt;44,"45+",IF(data[[#This Row],[Age]]&lt;18,"below 18 ")))))</f>
        <v>25-34</v>
      </c>
    </row>
    <row r="446" spans="1:31" x14ac:dyDescent="0.25">
      <c r="A446" t="s">
        <v>499</v>
      </c>
      <c r="B446">
        <v>18</v>
      </c>
      <c r="C446" t="s">
        <v>47</v>
      </c>
      <c r="D446" t="s">
        <v>39</v>
      </c>
      <c r="E446" t="s">
        <v>40</v>
      </c>
      <c r="F446" t="s">
        <v>51</v>
      </c>
      <c r="G446">
        <v>6.3</v>
      </c>
      <c r="H446">
        <v>4</v>
      </c>
      <c r="I446">
        <v>2</v>
      </c>
      <c r="J446" t="s">
        <v>35</v>
      </c>
      <c r="K446" t="s">
        <v>36</v>
      </c>
      <c r="L446">
        <v>120</v>
      </c>
      <c r="M446">
        <v>4.5</v>
      </c>
      <c r="N446">
        <v>3.5</v>
      </c>
      <c r="O446">
        <v>4.5999999999999996</v>
      </c>
      <c r="P446">
        <v>5</v>
      </c>
      <c r="Q446" t="s">
        <v>42</v>
      </c>
      <c r="R446" t="s">
        <v>35</v>
      </c>
      <c r="S446">
        <v>3.6</v>
      </c>
      <c r="T446">
        <v>5.3</v>
      </c>
      <c r="U446">
        <v>6.4</v>
      </c>
      <c r="V446">
        <v>3</v>
      </c>
      <c r="W446">
        <v>4.7</v>
      </c>
      <c r="X446">
        <v>5</v>
      </c>
      <c r="Y446">
        <v>2.8</v>
      </c>
      <c r="Z446">
        <v>3.4</v>
      </c>
      <c r="AA446">
        <v>3.6</v>
      </c>
      <c r="AB446">
        <v>0.8</v>
      </c>
      <c r="AC446">
        <v>6.3</v>
      </c>
      <c r="AD446" t="s">
        <v>53</v>
      </c>
      <c r="AE446" t="str">
        <f>IF(AND(data[[#This Row],[Age]]&gt;=18,data[[#This Row],[Age]]&lt;=24),"18-24",IF(AND(data[[#This Row],[Age]]&gt;=25,data[[#This Row],[Age]]&lt;=34),"25-34",IF(AND(data[[#This Row],[Age]]&gt;35,data[[#This Row],[Age]]&lt;=44),"35-44",IF(data[[#This Row],[Age]]&gt;44,"45+",IF(data[[#This Row],[Age]]&lt;18,"below 18 ")))))</f>
        <v>18-24</v>
      </c>
    </row>
    <row r="447" spans="1:31" x14ac:dyDescent="0.25">
      <c r="A447" t="s">
        <v>500</v>
      </c>
      <c r="B447">
        <v>32</v>
      </c>
      <c r="C447" t="s">
        <v>50</v>
      </c>
      <c r="D447" t="s">
        <v>32</v>
      </c>
      <c r="E447" t="s">
        <v>40</v>
      </c>
      <c r="F447" t="s">
        <v>51</v>
      </c>
      <c r="G447">
        <v>3.7</v>
      </c>
      <c r="H447">
        <v>6</v>
      </c>
      <c r="I447">
        <v>4</v>
      </c>
      <c r="J447" t="s">
        <v>42</v>
      </c>
      <c r="K447" t="s">
        <v>62</v>
      </c>
      <c r="L447">
        <v>5</v>
      </c>
      <c r="M447">
        <v>3.8</v>
      </c>
      <c r="N447">
        <v>4.4000000000000004</v>
      </c>
      <c r="O447">
        <v>6.3</v>
      </c>
      <c r="P447">
        <v>4.5999999999999996</v>
      </c>
      <c r="Q447" t="s">
        <v>35</v>
      </c>
      <c r="R447" t="s">
        <v>35</v>
      </c>
      <c r="S447">
        <v>5.5</v>
      </c>
      <c r="T447">
        <v>6.6</v>
      </c>
      <c r="U447">
        <v>3.4</v>
      </c>
      <c r="V447">
        <v>4</v>
      </c>
      <c r="W447">
        <v>5.2</v>
      </c>
      <c r="X447">
        <v>6.8</v>
      </c>
      <c r="Y447">
        <v>2.1</v>
      </c>
      <c r="Z447">
        <v>5.3</v>
      </c>
      <c r="AB447">
        <v>1.8</v>
      </c>
      <c r="AC447">
        <v>8.4</v>
      </c>
      <c r="AD447" t="s">
        <v>37</v>
      </c>
      <c r="AE447" t="str">
        <f>IF(AND(data[[#This Row],[Age]]&gt;=18,data[[#This Row],[Age]]&lt;=24),"18-24",IF(AND(data[[#This Row],[Age]]&gt;=25,data[[#This Row],[Age]]&lt;=34),"25-34",IF(AND(data[[#This Row],[Age]]&gt;35,data[[#This Row],[Age]]&lt;=44),"35-44",IF(data[[#This Row],[Age]]&gt;44,"45+",IF(data[[#This Row],[Age]]&lt;18,"below 18 ")))))</f>
        <v>25-34</v>
      </c>
    </row>
    <row r="448" spans="1:31" x14ac:dyDescent="0.25">
      <c r="A448" t="s">
        <v>501</v>
      </c>
      <c r="B448">
        <v>16</v>
      </c>
      <c r="C448" t="s">
        <v>31</v>
      </c>
      <c r="D448" t="s">
        <v>32</v>
      </c>
      <c r="E448" t="s">
        <v>58</v>
      </c>
      <c r="F448" t="s">
        <v>51</v>
      </c>
      <c r="G448">
        <v>3.1</v>
      </c>
      <c r="H448">
        <v>7</v>
      </c>
      <c r="I448">
        <v>5</v>
      </c>
      <c r="J448" t="s">
        <v>35</v>
      </c>
      <c r="K448" t="s">
        <v>52</v>
      </c>
      <c r="L448">
        <v>103</v>
      </c>
      <c r="M448">
        <v>3.7</v>
      </c>
      <c r="N448">
        <v>7.1</v>
      </c>
      <c r="O448">
        <v>6.8</v>
      </c>
      <c r="P448">
        <v>4.9000000000000004</v>
      </c>
      <c r="Q448" t="s">
        <v>42</v>
      </c>
      <c r="R448" t="s">
        <v>35</v>
      </c>
      <c r="S448">
        <v>3.5</v>
      </c>
      <c r="T448">
        <v>8.8000000000000007</v>
      </c>
      <c r="U448">
        <v>5.3</v>
      </c>
      <c r="V448">
        <v>3.1</v>
      </c>
      <c r="W448">
        <v>7.1</v>
      </c>
      <c r="X448">
        <v>6.8</v>
      </c>
      <c r="Y448">
        <v>3.7</v>
      </c>
      <c r="Z448">
        <v>3.8</v>
      </c>
      <c r="AA448">
        <v>3.5</v>
      </c>
      <c r="AB448">
        <v>5.7</v>
      </c>
      <c r="AC448">
        <v>7.3</v>
      </c>
      <c r="AD448" t="s">
        <v>37</v>
      </c>
      <c r="AE448" t="str">
        <f>IF(AND(data[[#This Row],[Age]]&gt;=18,data[[#This Row],[Age]]&lt;=24),"18-24",IF(AND(data[[#This Row],[Age]]&gt;=25,data[[#This Row],[Age]]&lt;=34),"25-34",IF(AND(data[[#This Row],[Age]]&gt;35,data[[#This Row],[Age]]&lt;=44),"35-44",IF(data[[#This Row],[Age]]&gt;44,"45+",IF(data[[#This Row],[Age]]&lt;18,"below 18 ")))))</f>
        <v xml:space="preserve">below 18 </v>
      </c>
    </row>
    <row r="449" spans="1:31" x14ac:dyDescent="0.25">
      <c r="A449" t="s">
        <v>502</v>
      </c>
      <c r="B449">
        <v>23</v>
      </c>
      <c r="C449" t="s">
        <v>31</v>
      </c>
      <c r="D449" t="s">
        <v>32</v>
      </c>
      <c r="F449" t="s">
        <v>41</v>
      </c>
      <c r="G449">
        <v>2.4</v>
      </c>
      <c r="H449">
        <v>1</v>
      </c>
      <c r="I449">
        <v>3</v>
      </c>
      <c r="J449" t="s">
        <v>35</v>
      </c>
      <c r="K449" t="s">
        <v>62</v>
      </c>
      <c r="L449">
        <v>56</v>
      </c>
      <c r="M449">
        <v>5.9</v>
      </c>
      <c r="N449">
        <v>4</v>
      </c>
      <c r="O449">
        <v>5.2</v>
      </c>
      <c r="P449">
        <v>5.3</v>
      </c>
      <c r="Q449" t="s">
        <v>35</v>
      </c>
      <c r="R449" t="s">
        <v>42</v>
      </c>
      <c r="S449">
        <v>7.3</v>
      </c>
      <c r="T449">
        <v>6.5</v>
      </c>
      <c r="U449">
        <v>4.8</v>
      </c>
      <c r="V449">
        <v>6.5</v>
      </c>
      <c r="W449">
        <v>6.6</v>
      </c>
      <c r="X449">
        <v>7.3</v>
      </c>
      <c r="Y449">
        <v>3.7</v>
      </c>
      <c r="Z449">
        <v>2.2999999999999998</v>
      </c>
      <c r="AA449">
        <v>2.2000000000000002</v>
      </c>
      <c r="AB449">
        <v>1</v>
      </c>
      <c r="AC449">
        <v>7.4</v>
      </c>
      <c r="AD449" t="s">
        <v>37</v>
      </c>
      <c r="AE449" t="str">
        <f>IF(AND(data[[#This Row],[Age]]&gt;=18,data[[#This Row],[Age]]&lt;=24),"18-24",IF(AND(data[[#This Row],[Age]]&gt;=25,data[[#This Row],[Age]]&lt;=34),"25-34",IF(AND(data[[#This Row],[Age]]&gt;35,data[[#This Row],[Age]]&lt;=44),"35-44",IF(data[[#This Row],[Age]]&gt;44,"45+",IF(data[[#This Row],[Age]]&lt;18,"below 18 ")))))</f>
        <v>18-24</v>
      </c>
    </row>
    <row r="450" spans="1:31" x14ac:dyDescent="0.25">
      <c r="A450" t="s">
        <v>503</v>
      </c>
      <c r="B450">
        <v>35</v>
      </c>
      <c r="C450" t="s">
        <v>47</v>
      </c>
      <c r="D450" t="s">
        <v>64</v>
      </c>
      <c r="E450" t="s">
        <v>33</v>
      </c>
      <c r="F450" t="s">
        <v>51</v>
      </c>
      <c r="G450">
        <v>7.5</v>
      </c>
      <c r="H450">
        <v>4</v>
      </c>
      <c r="I450">
        <v>7</v>
      </c>
      <c r="J450" t="s">
        <v>35</v>
      </c>
      <c r="K450" t="s">
        <v>52</v>
      </c>
      <c r="L450">
        <v>5</v>
      </c>
      <c r="M450">
        <v>3.6</v>
      </c>
      <c r="N450">
        <v>4.5999999999999996</v>
      </c>
      <c r="O450">
        <v>1.9</v>
      </c>
      <c r="P450">
        <v>6.9</v>
      </c>
      <c r="Q450" t="s">
        <v>42</v>
      </c>
      <c r="R450" t="s">
        <v>35</v>
      </c>
      <c r="S450">
        <v>6.8</v>
      </c>
      <c r="T450">
        <v>6.9</v>
      </c>
      <c r="U450">
        <v>3.9</v>
      </c>
      <c r="V450">
        <v>6.3</v>
      </c>
      <c r="W450">
        <v>6</v>
      </c>
      <c r="X450">
        <v>4.7</v>
      </c>
      <c r="Y450">
        <v>5.5</v>
      </c>
      <c r="Z450">
        <v>9.6999999999999993</v>
      </c>
      <c r="AA450">
        <v>5.6</v>
      </c>
      <c r="AB450">
        <v>1.8</v>
      </c>
      <c r="AC450">
        <v>7.7</v>
      </c>
      <c r="AD450" t="s">
        <v>37</v>
      </c>
      <c r="AE450" t="b">
        <f>IF(AND(data[[#This Row],[Age]]&gt;=18,data[[#This Row],[Age]]&lt;=24),"18-24",IF(AND(data[[#This Row],[Age]]&gt;=25,data[[#This Row],[Age]]&lt;=34),"25-34",IF(AND(data[[#This Row],[Age]]&gt;35,data[[#This Row],[Age]]&lt;=44),"35-44",IF(data[[#This Row],[Age]]&gt;44,"45+",IF(data[[#This Row],[Age]]&lt;18,"below 18 ")))))</f>
        <v>0</v>
      </c>
    </row>
    <row r="451" spans="1:31" x14ac:dyDescent="0.25">
      <c r="A451" t="s">
        <v>504</v>
      </c>
      <c r="B451">
        <v>30</v>
      </c>
      <c r="C451" t="s">
        <v>47</v>
      </c>
      <c r="D451" t="s">
        <v>39</v>
      </c>
      <c r="E451" t="s">
        <v>33</v>
      </c>
      <c r="F451" t="s">
        <v>41</v>
      </c>
      <c r="G451">
        <v>2.2000000000000002</v>
      </c>
      <c r="H451">
        <v>4</v>
      </c>
      <c r="I451">
        <v>3</v>
      </c>
      <c r="J451" t="s">
        <v>35</v>
      </c>
      <c r="K451" t="s">
        <v>36</v>
      </c>
      <c r="L451">
        <v>21</v>
      </c>
      <c r="M451">
        <v>5.3</v>
      </c>
      <c r="N451">
        <v>4.4000000000000004</v>
      </c>
      <c r="O451">
        <v>3.2</v>
      </c>
      <c r="P451">
        <v>6.1</v>
      </c>
      <c r="Q451" t="s">
        <v>42</v>
      </c>
      <c r="R451" t="s">
        <v>35</v>
      </c>
      <c r="S451">
        <v>2</v>
      </c>
      <c r="T451">
        <v>2.4</v>
      </c>
      <c r="U451">
        <v>4.3</v>
      </c>
      <c r="V451">
        <v>3.9</v>
      </c>
      <c r="W451">
        <v>4.9000000000000004</v>
      </c>
      <c r="X451">
        <v>6.9</v>
      </c>
      <c r="Z451">
        <v>6</v>
      </c>
      <c r="AA451">
        <v>2.4</v>
      </c>
      <c r="AB451">
        <v>2</v>
      </c>
      <c r="AC451">
        <v>8.1</v>
      </c>
      <c r="AD451" t="s">
        <v>37</v>
      </c>
      <c r="AE451" t="str">
        <f>IF(AND(data[[#This Row],[Age]]&gt;=18,data[[#This Row],[Age]]&lt;=24),"18-24",IF(AND(data[[#This Row],[Age]]&gt;=25,data[[#This Row],[Age]]&lt;=34),"25-34",IF(AND(data[[#This Row],[Age]]&gt;35,data[[#This Row],[Age]]&lt;=44),"35-44",IF(data[[#This Row],[Age]]&gt;44,"45+",IF(data[[#This Row],[Age]]&lt;18,"below 18 ")))))</f>
        <v>25-34</v>
      </c>
    </row>
    <row r="452" spans="1:31" x14ac:dyDescent="0.25">
      <c r="A452" t="s">
        <v>505</v>
      </c>
      <c r="B452">
        <v>25</v>
      </c>
      <c r="C452" t="s">
        <v>31</v>
      </c>
      <c r="D452" t="s">
        <v>39</v>
      </c>
      <c r="E452" t="s">
        <v>58</v>
      </c>
      <c r="F452" t="s">
        <v>41</v>
      </c>
      <c r="G452">
        <v>3.5</v>
      </c>
      <c r="H452">
        <v>5</v>
      </c>
      <c r="I452">
        <v>5</v>
      </c>
      <c r="J452" t="s">
        <v>42</v>
      </c>
      <c r="K452" t="s">
        <v>62</v>
      </c>
      <c r="L452">
        <v>72</v>
      </c>
      <c r="M452">
        <v>0.3</v>
      </c>
      <c r="N452">
        <v>5.8</v>
      </c>
      <c r="O452">
        <v>1.7</v>
      </c>
      <c r="P452">
        <v>3</v>
      </c>
      <c r="R452" t="s">
        <v>35</v>
      </c>
      <c r="S452">
        <v>6.8</v>
      </c>
      <c r="T452">
        <v>8.1</v>
      </c>
      <c r="U452">
        <v>7</v>
      </c>
      <c r="V452">
        <v>10</v>
      </c>
      <c r="X452">
        <v>4.8</v>
      </c>
      <c r="Y452">
        <v>5.5</v>
      </c>
      <c r="Z452">
        <v>2.8</v>
      </c>
      <c r="AB452">
        <v>3.8</v>
      </c>
      <c r="AC452">
        <v>8.4</v>
      </c>
      <c r="AD452" t="s">
        <v>37</v>
      </c>
      <c r="AE452" t="str">
        <f>IF(AND(data[[#This Row],[Age]]&gt;=18,data[[#This Row],[Age]]&lt;=24),"18-24",IF(AND(data[[#This Row],[Age]]&gt;=25,data[[#This Row],[Age]]&lt;=34),"25-34",IF(AND(data[[#This Row],[Age]]&gt;35,data[[#This Row],[Age]]&lt;=44),"35-44",IF(data[[#This Row],[Age]]&gt;44,"45+",IF(data[[#This Row],[Age]]&lt;18,"below 18 ")))))</f>
        <v>25-34</v>
      </c>
    </row>
    <row r="453" spans="1:31" x14ac:dyDescent="0.25">
      <c r="A453" t="s">
        <v>506</v>
      </c>
      <c r="B453">
        <v>33</v>
      </c>
      <c r="C453" t="s">
        <v>50</v>
      </c>
      <c r="D453" t="s">
        <v>39</v>
      </c>
      <c r="E453" t="s">
        <v>58</v>
      </c>
      <c r="F453" t="s">
        <v>59</v>
      </c>
      <c r="G453">
        <v>9.3000000000000007</v>
      </c>
      <c r="H453">
        <v>1</v>
      </c>
      <c r="I453">
        <v>2</v>
      </c>
      <c r="J453" t="s">
        <v>35</v>
      </c>
      <c r="K453" t="s">
        <v>36</v>
      </c>
      <c r="L453">
        <v>33</v>
      </c>
      <c r="M453">
        <v>9.1999999999999993</v>
      </c>
      <c r="N453">
        <v>2</v>
      </c>
      <c r="O453">
        <v>3.8</v>
      </c>
      <c r="P453">
        <v>6.2</v>
      </c>
      <c r="Q453" t="s">
        <v>35</v>
      </c>
      <c r="R453" t="s">
        <v>42</v>
      </c>
      <c r="S453">
        <v>8.6999999999999993</v>
      </c>
      <c r="T453">
        <v>3.9</v>
      </c>
      <c r="U453">
        <v>2.6</v>
      </c>
      <c r="V453">
        <v>0.5</v>
      </c>
      <c r="W453">
        <v>2</v>
      </c>
      <c r="X453">
        <v>6.1</v>
      </c>
      <c r="Y453">
        <v>1.5</v>
      </c>
      <c r="Z453">
        <v>3.7</v>
      </c>
      <c r="AA453">
        <v>5</v>
      </c>
      <c r="AB453">
        <v>0</v>
      </c>
      <c r="AC453">
        <v>4.5999999999999996</v>
      </c>
      <c r="AD453" t="s">
        <v>43</v>
      </c>
      <c r="AE453" t="str">
        <f>IF(AND(data[[#This Row],[Age]]&gt;=18,data[[#This Row],[Age]]&lt;=24),"18-24",IF(AND(data[[#This Row],[Age]]&gt;=25,data[[#This Row],[Age]]&lt;=34),"25-34",IF(AND(data[[#This Row],[Age]]&gt;35,data[[#This Row],[Age]]&lt;=44),"35-44",IF(data[[#This Row],[Age]]&gt;44,"45+",IF(data[[#This Row],[Age]]&lt;18,"below 18 ")))))</f>
        <v>25-34</v>
      </c>
    </row>
    <row r="454" spans="1:31" x14ac:dyDescent="0.25">
      <c r="A454" t="s">
        <v>507</v>
      </c>
      <c r="B454">
        <v>42</v>
      </c>
      <c r="C454" t="s">
        <v>47</v>
      </c>
      <c r="D454" t="s">
        <v>64</v>
      </c>
      <c r="E454" t="s">
        <v>40</v>
      </c>
      <c r="F454" t="s">
        <v>41</v>
      </c>
      <c r="G454">
        <v>5.3</v>
      </c>
      <c r="H454">
        <v>5</v>
      </c>
      <c r="I454">
        <v>5</v>
      </c>
      <c r="J454" t="s">
        <v>42</v>
      </c>
      <c r="K454" t="s">
        <v>52</v>
      </c>
      <c r="L454">
        <v>71</v>
      </c>
      <c r="M454">
        <v>6.6</v>
      </c>
      <c r="N454">
        <v>5.4</v>
      </c>
      <c r="O454">
        <v>9.3000000000000007</v>
      </c>
      <c r="P454">
        <v>7.3</v>
      </c>
      <c r="Q454" t="s">
        <v>35</v>
      </c>
      <c r="R454" t="s">
        <v>42</v>
      </c>
      <c r="S454">
        <v>4.3</v>
      </c>
      <c r="T454">
        <v>3.9</v>
      </c>
      <c r="U454">
        <v>4.5</v>
      </c>
      <c r="V454">
        <v>6</v>
      </c>
      <c r="W454">
        <v>6.3</v>
      </c>
      <c r="X454">
        <v>8.5</v>
      </c>
      <c r="Y454">
        <v>5.4</v>
      </c>
      <c r="Z454">
        <v>7.1</v>
      </c>
      <c r="AA454">
        <v>5.0999999999999996</v>
      </c>
      <c r="AB454">
        <v>1.5</v>
      </c>
      <c r="AC454">
        <v>4.5999999999999996</v>
      </c>
      <c r="AD454" t="s">
        <v>43</v>
      </c>
      <c r="AE454" t="str">
        <f>IF(AND(data[[#This Row],[Age]]&gt;=18,data[[#This Row],[Age]]&lt;=24),"18-24",IF(AND(data[[#This Row],[Age]]&gt;=25,data[[#This Row],[Age]]&lt;=34),"25-34",IF(AND(data[[#This Row],[Age]]&gt;35,data[[#This Row],[Age]]&lt;=44),"35-44",IF(data[[#This Row],[Age]]&gt;44,"45+",IF(data[[#This Row],[Age]]&lt;18,"below 18 ")))))</f>
        <v>35-44</v>
      </c>
    </row>
    <row r="455" spans="1:31" x14ac:dyDescent="0.25">
      <c r="A455" t="s">
        <v>508</v>
      </c>
      <c r="B455">
        <v>42</v>
      </c>
      <c r="C455" t="s">
        <v>47</v>
      </c>
      <c r="D455" t="s">
        <v>64</v>
      </c>
      <c r="E455" t="s">
        <v>40</v>
      </c>
      <c r="F455" t="s">
        <v>59</v>
      </c>
      <c r="G455">
        <v>4.5999999999999996</v>
      </c>
      <c r="H455">
        <v>4</v>
      </c>
      <c r="I455">
        <v>5</v>
      </c>
      <c r="J455" t="s">
        <v>42</v>
      </c>
      <c r="K455" t="s">
        <v>62</v>
      </c>
      <c r="L455">
        <v>38</v>
      </c>
      <c r="M455">
        <v>5.0999999999999996</v>
      </c>
      <c r="N455">
        <v>5.4</v>
      </c>
      <c r="O455">
        <v>0</v>
      </c>
      <c r="P455">
        <v>3.9</v>
      </c>
      <c r="Q455" t="s">
        <v>35</v>
      </c>
      <c r="R455" t="s">
        <v>42</v>
      </c>
      <c r="S455">
        <v>3.3</v>
      </c>
      <c r="T455">
        <v>5.2</v>
      </c>
      <c r="U455">
        <v>5.2</v>
      </c>
      <c r="V455">
        <v>3.8</v>
      </c>
      <c r="W455">
        <v>9.4</v>
      </c>
      <c r="X455">
        <v>6.3</v>
      </c>
      <c r="Y455">
        <v>6.3</v>
      </c>
      <c r="Z455">
        <v>6.2</v>
      </c>
      <c r="AA455">
        <v>4.3</v>
      </c>
      <c r="AB455">
        <v>3.7</v>
      </c>
      <c r="AC455">
        <v>8</v>
      </c>
      <c r="AD455" t="s">
        <v>37</v>
      </c>
      <c r="AE455" t="str">
        <f>IF(AND(data[[#This Row],[Age]]&gt;=18,data[[#This Row],[Age]]&lt;=24),"18-24",IF(AND(data[[#This Row],[Age]]&gt;=25,data[[#This Row],[Age]]&lt;=34),"25-34",IF(AND(data[[#This Row],[Age]]&gt;35,data[[#This Row],[Age]]&lt;=44),"35-44",IF(data[[#This Row],[Age]]&gt;44,"45+",IF(data[[#This Row],[Age]]&lt;18,"below 18 ")))))</f>
        <v>35-44</v>
      </c>
    </row>
    <row r="456" spans="1:31" x14ac:dyDescent="0.25">
      <c r="A456" t="s">
        <v>509</v>
      </c>
      <c r="B456">
        <v>32</v>
      </c>
      <c r="C456" t="s">
        <v>31</v>
      </c>
      <c r="D456" t="s">
        <v>39</v>
      </c>
      <c r="E456" t="s">
        <v>33</v>
      </c>
      <c r="F456" t="s">
        <v>41</v>
      </c>
      <c r="G456">
        <v>4</v>
      </c>
      <c r="H456">
        <v>3</v>
      </c>
      <c r="I456">
        <v>5</v>
      </c>
      <c r="J456" t="s">
        <v>35</v>
      </c>
      <c r="K456" t="s">
        <v>62</v>
      </c>
      <c r="L456">
        <v>38</v>
      </c>
      <c r="M456">
        <v>4.8</v>
      </c>
      <c r="N456">
        <v>2.6</v>
      </c>
      <c r="O456">
        <v>2.1</v>
      </c>
      <c r="P456">
        <v>3.4</v>
      </c>
      <c r="Q456" t="s">
        <v>42</v>
      </c>
      <c r="R456" t="s">
        <v>42</v>
      </c>
      <c r="S456">
        <v>4.5</v>
      </c>
      <c r="T456">
        <v>0.4</v>
      </c>
      <c r="U456">
        <v>4.5</v>
      </c>
      <c r="W456">
        <v>7.4</v>
      </c>
      <c r="X456">
        <v>8.1999999999999993</v>
      </c>
      <c r="Y456">
        <v>3.8</v>
      </c>
      <c r="Z456">
        <v>4.5999999999999996</v>
      </c>
      <c r="AA456">
        <v>3.9</v>
      </c>
      <c r="AB456">
        <v>2.2999999999999998</v>
      </c>
      <c r="AC456">
        <v>10</v>
      </c>
      <c r="AD456" t="s">
        <v>37</v>
      </c>
      <c r="AE456" t="str">
        <f>IF(AND(data[[#This Row],[Age]]&gt;=18,data[[#This Row],[Age]]&lt;=24),"18-24",IF(AND(data[[#This Row],[Age]]&gt;=25,data[[#This Row],[Age]]&lt;=34),"25-34",IF(AND(data[[#This Row],[Age]]&gt;35,data[[#This Row],[Age]]&lt;=44),"35-44",IF(data[[#This Row],[Age]]&gt;44,"45+",IF(data[[#This Row],[Age]]&lt;18,"below 18 ")))))</f>
        <v>25-34</v>
      </c>
    </row>
    <row r="457" spans="1:31" x14ac:dyDescent="0.25">
      <c r="A457" t="s">
        <v>510</v>
      </c>
      <c r="B457">
        <v>41</v>
      </c>
      <c r="C457" t="s">
        <v>47</v>
      </c>
      <c r="D457" t="s">
        <v>64</v>
      </c>
      <c r="E457" t="s">
        <v>58</v>
      </c>
      <c r="F457" t="s">
        <v>59</v>
      </c>
      <c r="G457">
        <v>2.1</v>
      </c>
      <c r="H457">
        <v>4</v>
      </c>
      <c r="I457">
        <v>4</v>
      </c>
      <c r="J457" t="s">
        <v>42</v>
      </c>
      <c r="K457" t="s">
        <v>52</v>
      </c>
      <c r="L457">
        <v>23</v>
      </c>
      <c r="M457">
        <v>4.9000000000000004</v>
      </c>
      <c r="N457">
        <v>2.2000000000000002</v>
      </c>
      <c r="O457">
        <v>7.2</v>
      </c>
      <c r="P457">
        <v>7</v>
      </c>
      <c r="Q457" t="s">
        <v>42</v>
      </c>
      <c r="R457" t="s">
        <v>35</v>
      </c>
      <c r="S457">
        <v>6.7</v>
      </c>
      <c r="T457">
        <v>6.5</v>
      </c>
      <c r="U457">
        <v>2.8</v>
      </c>
      <c r="V457">
        <v>3.2</v>
      </c>
      <c r="W457">
        <v>7.4</v>
      </c>
      <c r="X457">
        <v>4.5999999999999996</v>
      </c>
      <c r="Y457">
        <v>7.6</v>
      </c>
      <c r="Z457">
        <v>7.6</v>
      </c>
      <c r="AA457">
        <v>2.6</v>
      </c>
      <c r="AB457">
        <v>2.7</v>
      </c>
      <c r="AC457">
        <v>7.6</v>
      </c>
      <c r="AD457" t="s">
        <v>37</v>
      </c>
      <c r="AE457" t="str">
        <f>IF(AND(data[[#This Row],[Age]]&gt;=18,data[[#This Row],[Age]]&lt;=24),"18-24",IF(AND(data[[#This Row],[Age]]&gt;=25,data[[#This Row],[Age]]&lt;=34),"25-34",IF(AND(data[[#This Row],[Age]]&gt;35,data[[#This Row],[Age]]&lt;=44),"35-44",IF(data[[#This Row],[Age]]&gt;44,"45+",IF(data[[#This Row],[Age]]&lt;18,"below 18 ")))))</f>
        <v>35-44</v>
      </c>
    </row>
    <row r="458" spans="1:31" x14ac:dyDescent="0.25">
      <c r="A458" t="s">
        <v>511</v>
      </c>
      <c r="B458">
        <v>22</v>
      </c>
      <c r="C458" t="s">
        <v>31</v>
      </c>
      <c r="D458" t="s">
        <v>32</v>
      </c>
      <c r="F458" t="s">
        <v>34</v>
      </c>
      <c r="G458">
        <v>5.3</v>
      </c>
      <c r="H458">
        <v>1</v>
      </c>
      <c r="I458">
        <v>1</v>
      </c>
      <c r="J458" t="s">
        <v>35</v>
      </c>
      <c r="K458" t="s">
        <v>52</v>
      </c>
      <c r="L458">
        <v>53</v>
      </c>
      <c r="M458">
        <v>7.1</v>
      </c>
      <c r="N458">
        <v>3.3</v>
      </c>
      <c r="P458">
        <v>5.4</v>
      </c>
      <c r="Q458" t="s">
        <v>42</v>
      </c>
      <c r="R458" t="s">
        <v>42</v>
      </c>
      <c r="S458">
        <v>3</v>
      </c>
      <c r="T458">
        <v>7.1</v>
      </c>
      <c r="U458">
        <v>5.4</v>
      </c>
      <c r="V458">
        <v>2.2000000000000002</v>
      </c>
      <c r="W458">
        <v>2.7</v>
      </c>
      <c r="X458">
        <v>7.5</v>
      </c>
      <c r="Y458">
        <v>10</v>
      </c>
      <c r="Z458">
        <v>6.9</v>
      </c>
      <c r="AA458">
        <v>1.4</v>
      </c>
      <c r="AB458">
        <v>4.4000000000000004</v>
      </c>
      <c r="AC458">
        <v>6.8</v>
      </c>
      <c r="AD458" t="s">
        <v>53</v>
      </c>
      <c r="AE458" t="str">
        <f>IF(AND(data[[#This Row],[Age]]&gt;=18,data[[#This Row],[Age]]&lt;=24),"18-24",IF(AND(data[[#This Row],[Age]]&gt;=25,data[[#This Row],[Age]]&lt;=34),"25-34",IF(AND(data[[#This Row],[Age]]&gt;35,data[[#This Row],[Age]]&lt;=44),"35-44",IF(data[[#This Row],[Age]]&gt;44,"45+",IF(data[[#This Row],[Age]]&lt;18,"below 18 ")))))</f>
        <v>18-24</v>
      </c>
    </row>
    <row r="459" spans="1:31" x14ac:dyDescent="0.25">
      <c r="A459" t="s">
        <v>512</v>
      </c>
      <c r="B459">
        <v>15</v>
      </c>
      <c r="C459" t="s">
        <v>31</v>
      </c>
      <c r="D459" t="s">
        <v>57</v>
      </c>
      <c r="E459" t="s">
        <v>33</v>
      </c>
      <c r="F459" t="s">
        <v>41</v>
      </c>
      <c r="G459">
        <v>6.6</v>
      </c>
      <c r="H459">
        <v>2</v>
      </c>
      <c r="I459">
        <v>3</v>
      </c>
      <c r="J459" t="s">
        <v>42</v>
      </c>
      <c r="K459" t="s">
        <v>62</v>
      </c>
      <c r="L459">
        <v>19</v>
      </c>
      <c r="M459">
        <v>7.6</v>
      </c>
      <c r="N459">
        <v>6.8</v>
      </c>
      <c r="O459">
        <v>2.8</v>
      </c>
      <c r="P459">
        <v>6.9</v>
      </c>
      <c r="Q459" t="s">
        <v>42</v>
      </c>
      <c r="R459" t="s">
        <v>42</v>
      </c>
      <c r="S459">
        <v>6.6</v>
      </c>
      <c r="T459">
        <v>2.9</v>
      </c>
      <c r="U459">
        <v>2.4</v>
      </c>
      <c r="V459">
        <v>3.7</v>
      </c>
      <c r="W459">
        <v>5.6</v>
      </c>
      <c r="X459">
        <v>6</v>
      </c>
      <c r="Y459">
        <v>4.9000000000000004</v>
      </c>
      <c r="Z459">
        <v>6.8</v>
      </c>
      <c r="AA459">
        <v>3.1</v>
      </c>
      <c r="AB459">
        <v>1.4</v>
      </c>
      <c r="AC459">
        <v>5.5</v>
      </c>
      <c r="AD459" t="s">
        <v>45</v>
      </c>
      <c r="AE459" t="str">
        <f>IF(AND(data[[#This Row],[Age]]&gt;=18,data[[#This Row],[Age]]&lt;=24),"18-24",IF(AND(data[[#This Row],[Age]]&gt;=25,data[[#This Row],[Age]]&lt;=34),"25-34",IF(AND(data[[#This Row],[Age]]&gt;35,data[[#This Row],[Age]]&lt;=44),"35-44",IF(data[[#This Row],[Age]]&gt;44,"45+",IF(data[[#This Row],[Age]]&lt;18,"below 18 ")))))</f>
        <v xml:space="preserve">below 18 </v>
      </c>
    </row>
    <row r="460" spans="1:31" x14ac:dyDescent="0.25">
      <c r="A460" t="s">
        <v>513</v>
      </c>
      <c r="B460">
        <v>23</v>
      </c>
      <c r="C460" t="s">
        <v>47</v>
      </c>
      <c r="D460" t="s">
        <v>32</v>
      </c>
      <c r="E460" t="s">
        <v>33</v>
      </c>
      <c r="F460" t="s">
        <v>70</v>
      </c>
      <c r="G460">
        <v>2.7</v>
      </c>
      <c r="H460">
        <v>2</v>
      </c>
      <c r="I460">
        <v>0</v>
      </c>
      <c r="J460" t="s">
        <v>35</v>
      </c>
      <c r="K460" t="s">
        <v>52</v>
      </c>
      <c r="L460">
        <v>64</v>
      </c>
      <c r="M460">
        <v>3.1</v>
      </c>
      <c r="N460">
        <v>6.3</v>
      </c>
      <c r="O460">
        <v>3</v>
      </c>
      <c r="P460">
        <v>4</v>
      </c>
      <c r="Q460" t="s">
        <v>42</v>
      </c>
      <c r="R460" t="s">
        <v>42</v>
      </c>
      <c r="S460">
        <v>2</v>
      </c>
      <c r="T460">
        <v>5.5</v>
      </c>
      <c r="U460">
        <v>5.9</v>
      </c>
      <c r="V460">
        <v>7.4</v>
      </c>
      <c r="W460">
        <v>4.5</v>
      </c>
      <c r="X460">
        <v>7.3</v>
      </c>
      <c r="Y460">
        <v>4.4000000000000004</v>
      </c>
      <c r="Z460">
        <v>3.4</v>
      </c>
      <c r="AA460">
        <v>0</v>
      </c>
      <c r="AB460">
        <v>0.2</v>
      </c>
      <c r="AC460">
        <v>7.8</v>
      </c>
      <c r="AD460" t="s">
        <v>37</v>
      </c>
      <c r="AE460" t="str">
        <f>IF(AND(data[[#This Row],[Age]]&gt;=18,data[[#This Row],[Age]]&lt;=24),"18-24",IF(AND(data[[#This Row],[Age]]&gt;=25,data[[#This Row],[Age]]&lt;=34),"25-34",IF(AND(data[[#This Row],[Age]]&gt;35,data[[#This Row],[Age]]&lt;=44),"35-44",IF(data[[#This Row],[Age]]&gt;44,"45+",IF(data[[#This Row],[Age]]&lt;18,"below 18 ")))))</f>
        <v>18-24</v>
      </c>
    </row>
    <row r="461" spans="1:31" x14ac:dyDescent="0.25">
      <c r="A461" t="s">
        <v>514</v>
      </c>
      <c r="B461">
        <v>28</v>
      </c>
      <c r="C461" t="s">
        <v>47</v>
      </c>
      <c r="D461" t="s">
        <v>64</v>
      </c>
      <c r="E461" t="s">
        <v>58</v>
      </c>
      <c r="F461" t="s">
        <v>34</v>
      </c>
      <c r="G461">
        <v>3.5</v>
      </c>
      <c r="H461">
        <v>6</v>
      </c>
      <c r="I461">
        <v>4</v>
      </c>
      <c r="J461" t="s">
        <v>42</v>
      </c>
      <c r="K461" t="s">
        <v>52</v>
      </c>
      <c r="L461">
        <v>93</v>
      </c>
      <c r="M461">
        <v>10</v>
      </c>
      <c r="N461">
        <v>5</v>
      </c>
      <c r="O461">
        <v>7.2</v>
      </c>
      <c r="P461">
        <v>5.2</v>
      </c>
      <c r="Q461" t="s">
        <v>42</v>
      </c>
      <c r="R461" t="s">
        <v>42</v>
      </c>
      <c r="S461">
        <v>4.2</v>
      </c>
      <c r="T461">
        <v>1.3</v>
      </c>
      <c r="U461">
        <v>4.0999999999999996</v>
      </c>
      <c r="V461">
        <v>4.2</v>
      </c>
      <c r="W461">
        <v>5.0999999999999996</v>
      </c>
      <c r="X461">
        <v>8.3000000000000007</v>
      </c>
      <c r="Y461">
        <v>2.2000000000000002</v>
      </c>
      <c r="Z461">
        <v>1.5</v>
      </c>
      <c r="AA461">
        <v>5.0999999999999996</v>
      </c>
      <c r="AB461">
        <v>3.3</v>
      </c>
      <c r="AC461">
        <v>4.4000000000000004</v>
      </c>
      <c r="AD461" t="s">
        <v>43</v>
      </c>
      <c r="AE461" t="str">
        <f>IF(AND(data[[#This Row],[Age]]&gt;=18,data[[#This Row],[Age]]&lt;=24),"18-24",IF(AND(data[[#This Row],[Age]]&gt;=25,data[[#This Row],[Age]]&lt;=34),"25-34",IF(AND(data[[#This Row],[Age]]&gt;35,data[[#This Row],[Age]]&lt;=44),"35-44",IF(data[[#This Row],[Age]]&gt;44,"45+",IF(data[[#This Row],[Age]]&lt;18,"below 18 ")))))</f>
        <v>25-34</v>
      </c>
    </row>
    <row r="462" spans="1:31" x14ac:dyDescent="0.25">
      <c r="A462" t="s">
        <v>515</v>
      </c>
      <c r="B462">
        <v>39</v>
      </c>
      <c r="C462" t="s">
        <v>47</v>
      </c>
      <c r="D462" t="s">
        <v>32</v>
      </c>
      <c r="E462" t="s">
        <v>58</v>
      </c>
      <c r="F462" t="s">
        <v>34</v>
      </c>
      <c r="G462">
        <v>8</v>
      </c>
      <c r="H462">
        <v>5</v>
      </c>
      <c r="I462">
        <v>4</v>
      </c>
      <c r="K462" t="s">
        <v>52</v>
      </c>
      <c r="L462">
        <v>49</v>
      </c>
      <c r="M462">
        <v>6.8</v>
      </c>
      <c r="N462">
        <v>4.8</v>
      </c>
      <c r="O462">
        <v>7.5</v>
      </c>
      <c r="P462">
        <v>7.2</v>
      </c>
      <c r="Q462" t="s">
        <v>35</v>
      </c>
      <c r="R462" t="s">
        <v>42</v>
      </c>
      <c r="S462">
        <v>6.8</v>
      </c>
      <c r="T462">
        <v>6.7</v>
      </c>
      <c r="U462">
        <v>5.9</v>
      </c>
      <c r="V462">
        <v>1.2</v>
      </c>
      <c r="W462">
        <v>2.4</v>
      </c>
      <c r="X462">
        <v>6.9</v>
      </c>
      <c r="Y462">
        <v>7.9</v>
      </c>
      <c r="Z462">
        <v>6.7</v>
      </c>
      <c r="AA462">
        <v>3.6</v>
      </c>
      <c r="AB462">
        <v>3.3</v>
      </c>
      <c r="AC462">
        <v>5.5</v>
      </c>
      <c r="AD462" t="s">
        <v>43</v>
      </c>
      <c r="AE462" t="str">
        <f>IF(AND(data[[#This Row],[Age]]&gt;=18,data[[#This Row],[Age]]&lt;=24),"18-24",IF(AND(data[[#This Row],[Age]]&gt;=25,data[[#This Row],[Age]]&lt;=34),"25-34",IF(AND(data[[#This Row],[Age]]&gt;35,data[[#This Row],[Age]]&lt;=44),"35-44",IF(data[[#This Row],[Age]]&gt;44,"45+",IF(data[[#This Row],[Age]]&lt;18,"below 18 ")))))</f>
        <v>35-44</v>
      </c>
    </row>
    <row r="463" spans="1:31" x14ac:dyDescent="0.25">
      <c r="A463" t="s">
        <v>516</v>
      </c>
      <c r="B463">
        <v>27</v>
      </c>
      <c r="C463" t="s">
        <v>31</v>
      </c>
      <c r="D463" t="s">
        <v>39</v>
      </c>
      <c r="E463" t="s">
        <v>33</v>
      </c>
      <c r="F463" t="s">
        <v>41</v>
      </c>
      <c r="G463">
        <v>3.8</v>
      </c>
      <c r="H463">
        <v>6</v>
      </c>
      <c r="I463">
        <v>2</v>
      </c>
      <c r="J463" t="s">
        <v>42</v>
      </c>
      <c r="K463" t="s">
        <v>62</v>
      </c>
      <c r="L463">
        <v>90</v>
      </c>
      <c r="N463">
        <v>5.5</v>
      </c>
      <c r="O463">
        <v>4.3</v>
      </c>
      <c r="P463">
        <v>3.3</v>
      </c>
      <c r="Q463" t="s">
        <v>42</v>
      </c>
      <c r="R463" t="s">
        <v>35</v>
      </c>
      <c r="S463">
        <v>3.5</v>
      </c>
      <c r="T463">
        <v>3.9</v>
      </c>
      <c r="U463">
        <v>5.7</v>
      </c>
      <c r="V463">
        <v>6.8</v>
      </c>
      <c r="W463">
        <v>5.9</v>
      </c>
      <c r="X463">
        <v>6.4</v>
      </c>
      <c r="Y463">
        <v>6.8</v>
      </c>
      <c r="Z463">
        <v>7.4</v>
      </c>
      <c r="AA463">
        <v>1.4</v>
      </c>
      <c r="AB463">
        <v>3.5</v>
      </c>
      <c r="AC463">
        <v>6.4</v>
      </c>
      <c r="AD463" t="s">
        <v>53</v>
      </c>
      <c r="AE463" t="str">
        <f>IF(AND(data[[#This Row],[Age]]&gt;=18,data[[#This Row],[Age]]&lt;=24),"18-24",IF(AND(data[[#This Row],[Age]]&gt;=25,data[[#This Row],[Age]]&lt;=34),"25-34",IF(AND(data[[#This Row],[Age]]&gt;35,data[[#This Row],[Age]]&lt;=44),"35-44",IF(data[[#This Row],[Age]]&gt;44,"45+",IF(data[[#This Row],[Age]]&lt;18,"below 18 ")))))</f>
        <v>25-34</v>
      </c>
    </row>
    <row r="464" spans="1:31" x14ac:dyDescent="0.25">
      <c r="A464" t="s">
        <v>517</v>
      </c>
      <c r="B464">
        <v>32</v>
      </c>
      <c r="C464" t="s">
        <v>31</v>
      </c>
      <c r="D464" t="s">
        <v>64</v>
      </c>
      <c r="E464" t="s">
        <v>33</v>
      </c>
      <c r="F464" t="s">
        <v>41</v>
      </c>
      <c r="G464">
        <v>6.1</v>
      </c>
      <c r="H464">
        <v>4</v>
      </c>
      <c r="I464">
        <v>4</v>
      </c>
      <c r="J464" t="s">
        <v>42</v>
      </c>
      <c r="K464" t="s">
        <v>36</v>
      </c>
      <c r="L464">
        <v>20</v>
      </c>
      <c r="M464">
        <v>8.1999999999999993</v>
      </c>
      <c r="N464">
        <v>2.8</v>
      </c>
      <c r="O464">
        <v>4.9000000000000004</v>
      </c>
      <c r="P464">
        <v>4.7</v>
      </c>
      <c r="Q464" t="s">
        <v>42</v>
      </c>
      <c r="R464" t="s">
        <v>42</v>
      </c>
      <c r="S464">
        <v>8</v>
      </c>
      <c r="T464">
        <v>7.8</v>
      </c>
      <c r="U464">
        <v>4</v>
      </c>
      <c r="V464">
        <v>5.4</v>
      </c>
      <c r="W464">
        <v>4.5999999999999996</v>
      </c>
      <c r="X464">
        <v>5.6</v>
      </c>
      <c r="Y464">
        <v>5.2</v>
      </c>
      <c r="Z464">
        <v>1.4</v>
      </c>
      <c r="AA464">
        <v>2.7</v>
      </c>
      <c r="AB464">
        <v>3.5</v>
      </c>
      <c r="AC464">
        <v>4.2</v>
      </c>
      <c r="AD464" t="s">
        <v>43</v>
      </c>
      <c r="AE464" t="str">
        <f>IF(AND(data[[#This Row],[Age]]&gt;=18,data[[#This Row],[Age]]&lt;=24),"18-24",IF(AND(data[[#This Row],[Age]]&gt;=25,data[[#This Row],[Age]]&lt;=34),"25-34",IF(AND(data[[#This Row],[Age]]&gt;35,data[[#This Row],[Age]]&lt;=44),"35-44",IF(data[[#This Row],[Age]]&gt;44,"45+",IF(data[[#This Row],[Age]]&lt;18,"below 18 ")))))</f>
        <v>25-34</v>
      </c>
    </row>
    <row r="465" spans="1:31" x14ac:dyDescent="0.25">
      <c r="A465" t="s">
        <v>518</v>
      </c>
      <c r="B465">
        <v>17</v>
      </c>
      <c r="C465" t="s">
        <v>50</v>
      </c>
      <c r="D465" t="s">
        <v>39</v>
      </c>
      <c r="E465" t="s">
        <v>58</v>
      </c>
      <c r="F465" t="s">
        <v>51</v>
      </c>
      <c r="G465">
        <v>9.3000000000000007</v>
      </c>
      <c r="H465">
        <v>3</v>
      </c>
      <c r="I465">
        <v>5</v>
      </c>
      <c r="J465" t="s">
        <v>42</v>
      </c>
      <c r="K465" t="s">
        <v>36</v>
      </c>
      <c r="L465">
        <v>5</v>
      </c>
      <c r="M465">
        <v>7.8</v>
      </c>
      <c r="N465">
        <v>3.4</v>
      </c>
      <c r="O465">
        <v>7.1</v>
      </c>
      <c r="P465">
        <v>1.9</v>
      </c>
      <c r="Q465" t="s">
        <v>42</v>
      </c>
      <c r="R465" t="s">
        <v>35</v>
      </c>
      <c r="S465">
        <v>6.8</v>
      </c>
      <c r="T465">
        <v>3.3</v>
      </c>
      <c r="U465">
        <v>5.9</v>
      </c>
      <c r="V465">
        <v>5.8</v>
      </c>
      <c r="W465">
        <v>7.7</v>
      </c>
      <c r="Z465">
        <v>0</v>
      </c>
      <c r="AA465">
        <v>0</v>
      </c>
      <c r="AB465">
        <v>4.4000000000000004</v>
      </c>
      <c r="AC465">
        <v>6.1</v>
      </c>
      <c r="AD465" t="s">
        <v>45</v>
      </c>
      <c r="AE465" t="str">
        <f>IF(AND(data[[#This Row],[Age]]&gt;=18,data[[#This Row],[Age]]&lt;=24),"18-24",IF(AND(data[[#This Row],[Age]]&gt;=25,data[[#This Row],[Age]]&lt;=34),"25-34",IF(AND(data[[#This Row],[Age]]&gt;35,data[[#This Row],[Age]]&lt;=44),"35-44",IF(data[[#This Row],[Age]]&gt;44,"45+",IF(data[[#This Row],[Age]]&lt;18,"below 18 ")))))</f>
        <v xml:space="preserve">below 18 </v>
      </c>
    </row>
    <row r="466" spans="1:31" x14ac:dyDescent="0.25">
      <c r="A466" t="s">
        <v>519</v>
      </c>
      <c r="B466">
        <v>18</v>
      </c>
      <c r="C466" t="s">
        <v>50</v>
      </c>
      <c r="D466" t="s">
        <v>64</v>
      </c>
      <c r="E466" t="s">
        <v>58</v>
      </c>
      <c r="F466" t="s">
        <v>48</v>
      </c>
      <c r="G466">
        <v>2.7</v>
      </c>
      <c r="H466">
        <v>5</v>
      </c>
      <c r="I466">
        <v>2</v>
      </c>
      <c r="J466" t="s">
        <v>42</v>
      </c>
      <c r="K466" t="s">
        <v>52</v>
      </c>
      <c r="L466">
        <v>102</v>
      </c>
      <c r="M466">
        <v>4.4000000000000004</v>
      </c>
      <c r="N466">
        <v>4.4000000000000004</v>
      </c>
      <c r="O466">
        <v>2.5</v>
      </c>
      <c r="P466">
        <v>4.7</v>
      </c>
      <c r="Q466" t="s">
        <v>42</v>
      </c>
      <c r="R466" t="s">
        <v>35</v>
      </c>
      <c r="S466">
        <v>6.7</v>
      </c>
      <c r="T466">
        <v>3.1</v>
      </c>
      <c r="U466">
        <v>6.7</v>
      </c>
      <c r="V466">
        <v>1.4</v>
      </c>
      <c r="W466">
        <v>5</v>
      </c>
      <c r="X466">
        <v>7.1</v>
      </c>
      <c r="Y466">
        <v>4</v>
      </c>
      <c r="Z466">
        <v>4.4000000000000004</v>
      </c>
      <c r="AA466">
        <v>0.7</v>
      </c>
      <c r="AB466">
        <v>3.7</v>
      </c>
      <c r="AC466">
        <v>7.3</v>
      </c>
      <c r="AD466" t="s">
        <v>37</v>
      </c>
      <c r="AE466" t="str">
        <f>IF(AND(data[[#This Row],[Age]]&gt;=18,data[[#This Row],[Age]]&lt;=24),"18-24",IF(AND(data[[#This Row],[Age]]&gt;=25,data[[#This Row],[Age]]&lt;=34),"25-34",IF(AND(data[[#This Row],[Age]]&gt;35,data[[#This Row],[Age]]&lt;=44),"35-44",IF(data[[#This Row],[Age]]&gt;44,"45+",IF(data[[#This Row],[Age]]&lt;18,"below 18 ")))))</f>
        <v>18-24</v>
      </c>
    </row>
    <row r="467" spans="1:31" x14ac:dyDescent="0.25">
      <c r="A467" t="s">
        <v>520</v>
      </c>
      <c r="B467">
        <v>43</v>
      </c>
      <c r="C467" t="s">
        <v>47</v>
      </c>
      <c r="D467" t="s">
        <v>32</v>
      </c>
      <c r="E467" t="s">
        <v>40</v>
      </c>
      <c r="F467" t="s">
        <v>51</v>
      </c>
      <c r="G467">
        <v>4.4000000000000004</v>
      </c>
      <c r="H467">
        <v>7</v>
      </c>
      <c r="I467">
        <v>7</v>
      </c>
      <c r="J467" t="s">
        <v>42</v>
      </c>
      <c r="K467" t="s">
        <v>36</v>
      </c>
      <c r="L467">
        <v>53</v>
      </c>
      <c r="M467">
        <v>6.8</v>
      </c>
      <c r="N467">
        <v>3.6</v>
      </c>
      <c r="O467">
        <v>4.4000000000000004</v>
      </c>
      <c r="P467">
        <v>5</v>
      </c>
      <c r="Q467" t="s">
        <v>35</v>
      </c>
      <c r="R467" t="s">
        <v>35</v>
      </c>
      <c r="S467">
        <v>2.1</v>
      </c>
      <c r="T467">
        <v>5.2</v>
      </c>
      <c r="U467">
        <v>4.4000000000000004</v>
      </c>
      <c r="V467">
        <v>5.8</v>
      </c>
      <c r="W467">
        <v>6.2</v>
      </c>
      <c r="X467">
        <v>9.1999999999999993</v>
      </c>
      <c r="Y467">
        <v>3.4</v>
      </c>
      <c r="Z467">
        <v>6.1</v>
      </c>
      <c r="AA467">
        <v>3</v>
      </c>
      <c r="AB467">
        <v>1.2</v>
      </c>
      <c r="AC467">
        <v>5.5</v>
      </c>
      <c r="AD467" t="s">
        <v>53</v>
      </c>
      <c r="AE467" t="str">
        <f>IF(AND(data[[#This Row],[Age]]&gt;=18,data[[#This Row],[Age]]&lt;=24),"18-24",IF(AND(data[[#This Row],[Age]]&gt;=25,data[[#This Row],[Age]]&lt;=34),"25-34",IF(AND(data[[#This Row],[Age]]&gt;35,data[[#This Row],[Age]]&lt;=44),"35-44",IF(data[[#This Row],[Age]]&gt;44,"45+",IF(data[[#This Row],[Age]]&lt;18,"below 18 ")))))</f>
        <v>35-44</v>
      </c>
    </row>
    <row r="468" spans="1:31" x14ac:dyDescent="0.25">
      <c r="A468" t="s">
        <v>521</v>
      </c>
      <c r="B468">
        <v>15</v>
      </c>
      <c r="C468" t="s">
        <v>31</v>
      </c>
      <c r="D468" t="s">
        <v>39</v>
      </c>
      <c r="E468" t="s">
        <v>33</v>
      </c>
      <c r="F468" t="s">
        <v>59</v>
      </c>
      <c r="G468">
        <v>2.6</v>
      </c>
      <c r="H468">
        <v>2</v>
      </c>
      <c r="I468">
        <v>6</v>
      </c>
      <c r="J468" t="s">
        <v>42</v>
      </c>
      <c r="K468" t="s">
        <v>52</v>
      </c>
      <c r="L468">
        <v>61</v>
      </c>
      <c r="M468">
        <v>6.5</v>
      </c>
      <c r="N468">
        <v>5.9</v>
      </c>
      <c r="O468">
        <v>9.3000000000000007</v>
      </c>
      <c r="P468">
        <v>7.4</v>
      </c>
      <c r="Q468" t="s">
        <v>42</v>
      </c>
      <c r="R468" t="s">
        <v>35</v>
      </c>
      <c r="S468">
        <v>4.5</v>
      </c>
      <c r="U468">
        <v>5.5</v>
      </c>
      <c r="V468">
        <v>3.8</v>
      </c>
      <c r="W468">
        <v>3.9</v>
      </c>
      <c r="X468">
        <v>4.4000000000000004</v>
      </c>
      <c r="Y468">
        <v>4.5999999999999996</v>
      </c>
      <c r="Z468">
        <v>3</v>
      </c>
      <c r="AA468">
        <v>3.4</v>
      </c>
      <c r="AB468">
        <v>2.2000000000000002</v>
      </c>
      <c r="AC468">
        <v>6.3</v>
      </c>
      <c r="AD468" t="s">
        <v>45</v>
      </c>
      <c r="AE468" t="str">
        <f>IF(AND(data[[#This Row],[Age]]&gt;=18,data[[#This Row],[Age]]&lt;=24),"18-24",IF(AND(data[[#This Row],[Age]]&gt;=25,data[[#This Row],[Age]]&lt;=34),"25-34",IF(AND(data[[#This Row],[Age]]&gt;35,data[[#This Row],[Age]]&lt;=44),"35-44",IF(data[[#This Row],[Age]]&gt;44,"45+",IF(data[[#This Row],[Age]]&lt;18,"below 18 ")))))</f>
        <v xml:space="preserve">below 18 </v>
      </c>
    </row>
    <row r="469" spans="1:31" x14ac:dyDescent="0.25">
      <c r="A469" t="s">
        <v>522</v>
      </c>
      <c r="B469">
        <v>41</v>
      </c>
      <c r="C469" t="s">
        <v>31</v>
      </c>
      <c r="D469" t="s">
        <v>32</v>
      </c>
      <c r="E469" t="s">
        <v>58</v>
      </c>
      <c r="F469" t="s">
        <v>41</v>
      </c>
      <c r="G469">
        <v>0.5</v>
      </c>
      <c r="H469">
        <v>3</v>
      </c>
      <c r="I469">
        <v>1</v>
      </c>
      <c r="J469" t="s">
        <v>42</v>
      </c>
      <c r="K469" t="s">
        <v>62</v>
      </c>
      <c r="L469">
        <v>63</v>
      </c>
      <c r="M469">
        <v>5.2</v>
      </c>
      <c r="N469">
        <v>7.1</v>
      </c>
      <c r="O469">
        <v>8.8000000000000007</v>
      </c>
      <c r="P469">
        <v>4.0999999999999996</v>
      </c>
      <c r="Q469" t="s">
        <v>42</v>
      </c>
      <c r="R469" t="s">
        <v>42</v>
      </c>
      <c r="S469">
        <v>4.5</v>
      </c>
      <c r="U469">
        <v>7</v>
      </c>
      <c r="V469">
        <v>4.4000000000000004</v>
      </c>
      <c r="W469">
        <v>5.2</v>
      </c>
      <c r="X469">
        <v>5.2</v>
      </c>
      <c r="Y469">
        <v>2.2999999999999998</v>
      </c>
      <c r="Z469">
        <v>2.6</v>
      </c>
      <c r="AA469">
        <v>0.7</v>
      </c>
      <c r="AB469">
        <v>2.9</v>
      </c>
      <c r="AC469">
        <v>6.2</v>
      </c>
      <c r="AD469" t="s">
        <v>45</v>
      </c>
      <c r="AE469" t="str">
        <f>IF(AND(data[[#This Row],[Age]]&gt;=18,data[[#This Row],[Age]]&lt;=24),"18-24",IF(AND(data[[#This Row],[Age]]&gt;=25,data[[#This Row],[Age]]&lt;=34),"25-34",IF(AND(data[[#This Row],[Age]]&gt;35,data[[#This Row],[Age]]&lt;=44),"35-44",IF(data[[#This Row],[Age]]&gt;44,"45+",IF(data[[#This Row],[Age]]&lt;18,"below 18 ")))))</f>
        <v>35-44</v>
      </c>
    </row>
    <row r="470" spans="1:31" x14ac:dyDescent="0.25">
      <c r="A470" t="s">
        <v>523</v>
      </c>
      <c r="B470">
        <v>32</v>
      </c>
      <c r="C470" t="s">
        <v>31</v>
      </c>
      <c r="D470" t="s">
        <v>64</v>
      </c>
      <c r="E470" t="s">
        <v>58</v>
      </c>
      <c r="F470" t="s">
        <v>48</v>
      </c>
      <c r="G470">
        <v>7.2</v>
      </c>
      <c r="H470">
        <v>3</v>
      </c>
      <c r="I470">
        <v>5</v>
      </c>
      <c r="J470" t="s">
        <v>42</v>
      </c>
      <c r="K470" t="s">
        <v>62</v>
      </c>
      <c r="L470">
        <v>5</v>
      </c>
      <c r="M470">
        <v>5.2</v>
      </c>
      <c r="N470">
        <v>4.7</v>
      </c>
      <c r="O470">
        <v>6.2</v>
      </c>
      <c r="P470">
        <v>7.1</v>
      </c>
      <c r="Q470" t="s">
        <v>42</v>
      </c>
      <c r="R470" t="s">
        <v>42</v>
      </c>
      <c r="S470">
        <v>8.6</v>
      </c>
      <c r="T470">
        <v>1.4</v>
      </c>
      <c r="U470">
        <v>4.8</v>
      </c>
      <c r="V470">
        <v>5.9</v>
      </c>
      <c r="W470">
        <v>6.5</v>
      </c>
      <c r="X470">
        <v>5.4</v>
      </c>
      <c r="Y470">
        <v>2.8</v>
      </c>
      <c r="Z470">
        <v>8.3000000000000007</v>
      </c>
      <c r="AA470">
        <v>3.4</v>
      </c>
      <c r="AB470">
        <v>1.6</v>
      </c>
      <c r="AC470">
        <v>6.4</v>
      </c>
      <c r="AD470" t="s">
        <v>45</v>
      </c>
      <c r="AE470" t="str">
        <f>IF(AND(data[[#This Row],[Age]]&gt;=18,data[[#This Row],[Age]]&lt;=24),"18-24",IF(AND(data[[#This Row],[Age]]&gt;=25,data[[#This Row],[Age]]&lt;=34),"25-34",IF(AND(data[[#This Row],[Age]]&gt;35,data[[#This Row],[Age]]&lt;=44),"35-44",IF(data[[#This Row],[Age]]&gt;44,"45+",IF(data[[#This Row],[Age]]&lt;18,"below 18 ")))))</f>
        <v>25-34</v>
      </c>
    </row>
    <row r="471" spans="1:31" x14ac:dyDescent="0.25">
      <c r="A471" t="s">
        <v>524</v>
      </c>
      <c r="B471">
        <v>26</v>
      </c>
      <c r="C471" t="s">
        <v>47</v>
      </c>
      <c r="D471" t="s">
        <v>39</v>
      </c>
      <c r="E471" t="s">
        <v>33</v>
      </c>
      <c r="F471" t="s">
        <v>48</v>
      </c>
      <c r="G471">
        <v>5.8</v>
      </c>
      <c r="H471">
        <v>3</v>
      </c>
      <c r="I471">
        <v>3</v>
      </c>
      <c r="J471" t="s">
        <v>35</v>
      </c>
      <c r="K471" t="s">
        <v>36</v>
      </c>
      <c r="L471">
        <v>54</v>
      </c>
      <c r="M471">
        <v>6</v>
      </c>
      <c r="N471">
        <v>4.5</v>
      </c>
      <c r="O471">
        <v>9.9</v>
      </c>
      <c r="P471">
        <v>8</v>
      </c>
      <c r="Q471" t="s">
        <v>35</v>
      </c>
      <c r="R471" t="s">
        <v>35</v>
      </c>
      <c r="S471">
        <v>2.8</v>
      </c>
      <c r="T471">
        <v>4.3</v>
      </c>
      <c r="U471">
        <v>3.3</v>
      </c>
      <c r="V471">
        <v>6.3</v>
      </c>
      <c r="W471">
        <v>8.8000000000000007</v>
      </c>
      <c r="X471">
        <v>5.6</v>
      </c>
      <c r="Y471">
        <v>5.3</v>
      </c>
      <c r="Z471">
        <v>4.7</v>
      </c>
      <c r="AA471">
        <v>2.9</v>
      </c>
      <c r="AB471">
        <v>1.4</v>
      </c>
      <c r="AC471">
        <v>6.4</v>
      </c>
      <c r="AD471" t="s">
        <v>53</v>
      </c>
      <c r="AE471" t="str">
        <f>IF(AND(data[[#This Row],[Age]]&gt;=18,data[[#This Row],[Age]]&lt;=24),"18-24",IF(AND(data[[#This Row],[Age]]&gt;=25,data[[#This Row],[Age]]&lt;=34),"25-34",IF(AND(data[[#This Row],[Age]]&gt;35,data[[#This Row],[Age]]&lt;=44),"35-44",IF(data[[#This Row],[Age]]&gt;44,"45+",IF(data[[#This Row],[Age]]&lt;18,"below 18 ")))))</f>
        <v>25-34</v>
      </c>
    </row>
    <row r="472" spans="1:31" x14ac:dyDescent="0.25">
      <c r="A472" t="s">
        <v>525</v>
      </c>
      <c r="B472">
        <v>16</v>
      </c>
      <c r="C472" t="s">
        <v>31</v>
      </c>
      <c r="D472" t="s">
        <v>39</v>
      </c>
      <c r="E472" t="s">
        <v>58</v>
      </c>
      <c r="F472" t="s">
        <v>41</v>
      </c>
      <c r="G472">
        <v>3.9</v>
      </c>
      <c r="H472">
        <v>2</v>
      </c>
      <c r="I472">
        <v>2</v>
      </c>
      <c r="J472" t="s">
        <v>42</v>
      </c>
      <c r="K472" t="s">
        <v>62</v>
      </c>
      <c r="L472">
        <v>14</v>
      </c>
      <c r="M472">
        <v>7.7</v>
      </c>
      <c r="N472">
        <v>7.6</v>
      </c>
      <c r="O472">
        <v>10</v>
      </c>
      <c r="P472">
        <v>6.3</v>
      </c>
      <c r="Q472" t="s">
        <v>35</v>
      </c>
      <c r="R472" t="s">
        <v>42</v>
      </c>
      <c r="S472">
        <v>2.8</v>
      </c>
      <c r="T472">
        <v>3.1</v>
      </c>
      <c r="U472">
        <v>5.6</v>
      </c>
      <c r="W472">
        <v>6.3</v>
      </c>
      <c r="X472">
        <v>6.8</v>
      </c>
      <c r="Y472">
        <v>4.0999999999999996</v>
      </c>
      <c r="Z472">
        <v>4.5999999999999996</v>
      </c>
      <c r="AA472">
        <v>1.7</v>
      </c>
      <c r="AB472">
        <v>0</v>
      </c>
      <c r="AC472">
        <v>6.3</v>
      </c>
      <c r="AD472" t="s">
        <v>45</v>
      </c>
      <c r="AE472" t="str">
        <f>IF(AND(data[[#This Row],[Age]]&gt;=18,data[[#This Row],[Age]]&lt;=24),"18-24",IF(AND(data[[#This Row],[Age]]&gt;=25,data[[#This Row],[Age]]&lt;=34),"25-34",IF(AND(data[[#This Row],[Age]]&gt;35,data[[#This Row],[Age]]&lt;=44),"35-44",IF(data[[#This Row],[Age]]&gt;44,"45+",IF(data[[#This Row],[Age]]&lt;18,"below 18 ")))))</f>
        <v xml:space="preserve">below 18 </v>
      </c>
    </row>
    <row r="473" spans="1:31" x14ac:dyDescent="0.25">
      <c r="A473" t="s">
        <v>526</v>
      </c>
      <c r="B473">
        <v>20</v>
      </c>
      <c r="C473" t="s">
        <v>31</v>
      </c>
      <c r="D473" t="s">
        <v>64</v>
      </c>
      <c r="E473" t="s">
        <v>40</v>
      </c>
      <c r="F473" t="s">
        <v>34</v>
      </c>
      <c r="G473">
        <v>5.5</v>
      </c>
      <c r="H473">
        <v>5</v>
      </c>
      <c r="I473">
        <v>2</v>
      </c>
      <c r="J473" t="s">
        <v>42</v>
      </c>
      <c r="K473" t="s">
        <v>62</v>
      </c>
      <c r="L473">
        <v>117</v>
      </c>
      <c r="M473">
        <v>4.9000000000000004</v>
      </c>
      <c r="N473">
        <v>8.1999999999999993</v>
      </c>
      <c r="O473">
        <v>5.2</v>
      </c>
      <c r="P473">
        <v>3.4</v>
      </c>
      <c r="Q473" t="s">
        <v>35</v>
      </c>
      <c r="R473" t="s">
        <v>35</v>
      </c>
      <c r="S473">
        <v>3.4</v>
      </c>
      <c r="T473">
        <v>3.5</v>
      </c>
      <c r="U473">
        <v>3.8</v>
      </c>
      <c r="V473">
        <v>3.3</v>
      </c>
      <c r="W473">
        <v>5.0999999999999996</v>
      </c>
      <c r="Y473">
        <v>5.2</v>
      </c>
      <c r="Z473">
        <v>7.8</v>
      </c>
      <c r="AA473">
        <v>6.6</v>
      </c>
      <c r="AB473">
        <v>2.4</v>
      </c>
      <c r="AC473">
        <v>7.6</v>
      </c>
      <c r="AD473" t="s">
        <v>37</v>
      </c>
      <c r="AE473" t="str">
        <f>IF(AND(data[[#This Row],[Age]]&gt;=18,data[[#This Row],[Age]]&lt;=24),"18-24",IF(AND(data[[#This Row],[Age]]&gt;=25,data[[#This Row],[Age]]&lt;=34),"25-34",IF(AND(data[[#This Row],[Age]]&gt;35,data[[#This Row],[Age]]&lt;=44),"35-44",IF(data[[#This Row],[Age]]&gt;44,"45+",IF(data[[#This Row],[Age]]&lt;18,"below 18 ")))))</f>
        <v>18-24</v>
      </c>
    </row>
    <row r="474" spans="1:31" x14ac:dyDescent="0.25">
      <c r="A474" t="s">
        <v>527</v>
      </c>
      <c r="B474">
        <v>20</v>
      </c>
      <c r="C474" t="s">
        <v>31</v>
      </c>
      <c r="D474" t="s">
        <v>39</v>
      </c>
      <c r="E474" t="s">
        <v>33</v>
      </c>
      <c r="F474" t="s">
        <v>34</v>
      </c>
      <c r="G474">
        <v>3.3</v>
      </c>
      <c r="H474">
        <v>4</v>
      </c>
      <c r="I474">
        <v>5</v>
      </c>
      <c r="J474" t="s">
        <v>35</v>
      </c>
      <c r="K474" t="s">
        <v>52</v>
      </c>
      <c r="L474">
        <v>51</v>
      </c>
      <c r="M474">
        <v>6.6</v>
      </c>
      <c r="N474">
        <v>5.7</v>
      </c>
      <c r="O474">
        <v>6.7</v>
      </c>
      <c r="P474">
        <v>7.5</v>
      </c>
      <c r="Q474" t="s">
        <v>42</v>
      </c>
      <c r="R474" t="s">
        <v>35</v>
      </c>
      <c r="S474">
        <v>8.1</v>
      </c>
      <c r="T474">
        <v>5.0999999999999996</v>
      </c>
      <c r="U474">
        <v>4.8</v>
      </c>
      <c r="V474">
        <v>7.6</v>
      </c>
      <c r="W474">
        <v>5.6</v>
      </c>
      <c r="X474">
        <v>7.2</v>
      </c>
      <c r="Y474">
        <v>2</v>
      </c>
      <c r="Z474">
        <v>6.7</v>
      </c>
      <c r="AA474">
        <v>3.8</v>
      </c>
      <c r="AB474">
        <v>0</v>
      </c>
      <c r="AC474">
        <v>6.6</v>
      </c>
      <c r="AD474" t="s">
        <v>53</v>
      </c>
      <c r="AE474" t="str">
        <f>IF(AND(data[[#This Row],[Age]]&gt;=18,data[[#This Row],[Age]]&lt;=24),"18-24",IF(AND(data[[#This Row],[Age]]&gt;=25,data[[#This Row],[Age]]&lt;=34),"25-34",IF(AND(data[[#This Row],[Age]]&gt;35,data[[#This Row],[Age]]&lt;=44),"35-44",IF(data[[#This Row],[Age]]&gt;44,"45+",IF(data[[#This Row],[Age]]&lt;18,"below 18 ")))))</f>
        <v>18-24</v>
      </c>
    </row>
    <row r="475" spans="1:31" x14ac:dyDescent="0.25">
      <c r="A475" t="s">
        <v>528</v>
      </c>
      <c r="B475">
        <v>37</v>
      </c>
      <c r="C475" t="s">
        <v>47</v>
      </c>
      <c r="D475" t="s">
        <v>39</v>
      </c>
      <c r="E475" t="s">
        <v>58</v>
      </c>
      <c r="F475" t="s">
        <v>48</v>
      </c>
      <c r="G475">
        <v>1.5</v>
      </c>
      <c r="H475">
        <v>5</v>
      </c>
      <c r="I475">
        <v>9</v>
      </c>
      <c r="J475" t="s">
        <v>35</v>
      </c>
      <c r="K475" t="s">
        <v>52</v>
      </c>
      <c r="L475">
        <v>6</v>
      </c>
      <c r="M475">
        <v>6.3</v>
      </c>
      <c r="N475">
        <v>2.2000000000000002</v>
      </c>
      <c r="O475">
        <v>8</v>
      </c>
      <c r="P475">
        <v>7.3</v>
      </c>
      <c r="Q475" t="s">
        <v>35</v>
      </c>
      <c r="R475" t="s">
        <v>35</v>
      </c>
      <c r="T475">
        <v>3.4</v>
      </c>
      <c r="U475">
        <v>3</v>
      </c>
      <c r="V475">
        <v>6.5</v>
      </c>
      <c r="W475">
        <v>6.5</v>
      </c>
      <c r="X475">
        <v>6.5</v>
      </c>
      <c r="Y475">
        <v>3</v>
      </c>
      <c r="Z475">
        <v>7.7</v>
      </c>
      <c r="AA475">
        <v>0</v>
      </c>
      <c r="AB475">
        <v>3.1</v>
      </c>
      <c r="AC475">
        <v>9.1999999999999993</v>
      </c>
      <c r="AD475" t="s">
        <v>37</v>
      </c>
      <c r="AE475" t="str">
        <f>IF(AND(data[[#This Row],[Age]]&gt;=18,data[[#This Row],[Age]]&lt;=24),"18-24",IF(AND(data[[#This Row],[Age]]&gt;=25,data[[#This Row],[Age]]&lt;=34),"25-34",IF(AND(data[[#This Row],[Age]]&gt;35,data[[#This Row],[Age]]&lt;=44),"35-44",IF(data[[#This Row],[Age]]&gt;44,"45+",IF(data[[#This Row],[Age]]&lt;18,"below 18 ")))))</f>
        <v>35-44</v>
      </c>
    </row>
    <row r="476" spans="1:31" x14ac:dyDescent="0.25">
      <c r="A476" t="s">
        <v>529</v>
      </c>
      <c r="B476">
        <v>31</v>
      </c>
      <c r="C476" t="s">
        <v>47</v>
      </c>
      <c r="E476" t="s">
        <v>58</v>
      </c>
      <c r="F476" t="s">
        <v>41</v>
      </c>
      <c r="G476">
        <v>3.2</v>
      </c>
      <c r="H476">
        <v>3</v>
      </c>
      <c r="I476">
        <v>3</v>
      </c>
      <c r="J476" t="s">
        <v>42</v>
      </c>
      <c r="K476" t="s">
        <v>62</v>
      </c>
      <c r="L476">
        <v>109</v>
      </c>
      <c r="M476">
        <v>4.0999999999999996</v>
      </c>
      <c r="N476">
        <v>6.5</v>
      </c>
      <c r="O476">
        <v>5.8</v>
      </c>
      <c r="P476">
        <v>4.3</v>
      </c>
      <c r="Q476" t="s">
        <v>42</v>
      </c>
      <c r="R476" t="s">
        <v>42</v>
      </c>
      <c r="S476">
        <v>3.5</v>
      </c>
      <c r="T476">
        <v>1.7</v>
      </c>
      <c r="U476">
        <v>2.2000000000000002</v>
      </c>
      <c r="V476">
        <v>7.1</v>
      </c>
      <c r="W476">
        <v>5.3</v>
      </c>
      <c r="X476">
        <v>6.5</v>
      </c>
      <c r="Y476">
        <v>3.7</v>
      </c>
      <c r="Z476">
        <v>4.2</v>
      </c>
      <c r="AA476">
        <v>6</v>
      </c>
      <c r="AB476">
        <v>3</v>
      </c>
      <c r="AC476">
        <v>6.2</v>
      </c>
      <c r="AD476" t="s">
        <v>53</v>
      </c>
      <c r="AE476" t="str">
        <f>IF(AND(data[[#This Row],[Age]]&gt;=18,data[[#This Row],[Age]]&lt;=24),"18-24",IF(AND(data[[#This Row],[Age]]&gt;=25,data[[#This Row],[Age]]&lt;=34),"25-34",IF(AND(data[[#This Row],[Age]]&gt;35,data[[#This Row],[Age]]&lt;=44),"35-44",IF(data[[#This Row],[Age]]&gt;44,"45+",IF(data[[#This Row],[Age]]&lt;18,"below 18 ")))))</f>
        <v>25-34</v>
      </c>
    </row>
    <row r="477" spans="1:31" x14ac:dyDescent="0.25">
      <c r="A477" t="s">
        <v>530</v>
      </c>
      <c r="B477">
        <v>24</v>
      </c>
      <c r="C477" t="s">
        <v>47</v>
      </c>
      <c r="D477" t="s">
        <v>32</v>
      </c>
      <c r="E477" t="s">
        <v>40</v>
      </c>
      <c r="F477" t="s">
        <v>51</v>
      </c>
      <c r="G477">
        <v>2.9</v>
      </c>
      <c r="H477">
        <v>3</v>
      </c>
      <c r="I477">
        <v>3</v>
      </c>
      <c r="J477" t="s">
        <v>35</v>
      </c>
      <c r="K477" t="s">
        <v>36</v>
      </c>
      <c r="L477">
        <v>53</v>
      </c>
      <c r="M477">
        <v>6.4</v>
      </c>
      <c r="N477">
        <v>10</v>
      </c>
      <c r="O477">
        <v>4.8</v>
      </c>
      <c r="P477">
        <v>6.1</v>
      </c>
      <c r="Q477" t="s">
        <v>42</v>
      </c>
      <c r="R477" t="s">
        <v>35</v>
      </c>
      <c r="S477">
        <v>0.2</v>
      </c>
      <c r="T477">
        <v>0.6</v>
      </c>
      <c r="V477">
        <v>4.3</v>
      </c>
      <c r="W477">
        <v>7.8</v>
      </c>
      <c r="X477">
        <v>5.4</v>
      </c>
      <c r="Y477">
        <v>5.8</v>
      </c>
      <c r="Z477">
        <v>5.3</v>
      </c>
      <c r="AA477">
        <v>0.5</v>
      </c>
      <c r="AB477">
        <v>1</v>
      </c>
      <c r="AC477">
        <v>7</v>
      </c>
      <c r="AD477" t="s">
        <v>53</v>
      </c>
      <c r="AE477" t="str">
        <f>IF(AND(data[[#This Row],[Age]]&gt;=18,data[[#This Row],[Age]]&lt;=24),"18-24",IF(AND(data[[#This Row],[Age]]&gt;=25,data[[#This Row],[Age]]&lt;=34),"25-34",IF(AND(data[[#This Row],[Age]]&gt;35,data[[#This Row],[Age]]&lt;=44),"35-44",IF(data[[#This Row],[Age]]&gt;44,"45+",IF(data[[#This Row],[Age]]&lt;18,"below 18 ")))))</f>
        <v>18-24</v>
      </c>
    </row>
    <row r="478" spans="1:31" x14ac:dyDescent="0.25">
      <c r="A478" t="s">
        <v>531</v>
      </c>
      <c r="B478">
        <v>42</v>
      </c>
      <c r="C478" t="s">
        <v>31</v>
      </c>
      <c r="D478" t="s">
        <v>57</v>
      </c>
      <c r="E478" t="s">
        <v>58</v>
      </c>
      <c r="F478" t="s">
        <v>41</v>
      </c>
      <c r="G478">
        <v>2.4</v>
      </c>
      <c r="H478">
        <v>3</v>
      </c>
      <c r="I478">
        <v>0</v>
      </c>
      <c r="J478" t="s">
        <v>35</v>
      </c>
      <c r="K478" t="s">
        <v>62</v>
      </c>
      <c r="L478">
        <v>48</v>
      </c>
      <c r="M478">
        <v>7.6</v>
      </c>
      <c r="N478">
        <v>5.0999999999999996</v>
      </c>
      <c r="O478">
        <v>6.2</v>
      </c>
      <c r="P478">
        <v>7.7</v>
      </c>
      <c r="Q478" t="s">
        <v>42</v>
      </c>
      <c r="R478" t="s">
        <v>42</v>
      </c>
      <c r="S478">
        <v>6.6</v>
      </c>
      <c r="T478">
        <v>4</v>
      </c>
      <c r="U478">
        <v>3.7</v>
      </c>
      <c r="V478">
        <v>6.5</v>
      </c>
      <c r="W478">
        <v>2.1</v>
      </c>
      <c r="X478">
        <v>4.8</v>
      </c>
      <c r="Y478">
        <v>6.7</v>
      </c>
      <c r="Z478">
        <v>6.4</v>
      </c>
      <c r="AA478">
        <v>3.8</v>
      </c>
      <c r="AB478">
        <v>2</v>
      </c>
      <c r="AC478">
        <v>6.6</v>
      </c>
      <c r="AD478" t="s">
        <v>45</v>
      </c>
      <c r="AE478" t="str">
        <f>IF(AND(data[[#This Row],[Age]]&gt;=18,data[[#This Row],[Age]]&lt;=24),"18-24",IF(AND(data[[#This Row],[Age]]&gt;=25,data[[#This Row],[Age]]&lt;=34),"25-34",IF(AND(data[[#This Row],[Age]]&gt;35,data[[#This Row],[Age]]&lt;=44),"35-44",IF(data[[#This Row],[Age]]&gt;44,"45+",IF(data[[#This Row],[Age]]&lt;18,"below 18 ")))))</f>
        <v>35-44</v>
      </c>
    </row>
    <row r="479" spans="1:31" x14ac:dyDescent="0.25">
      <c r="A479" t="s">
        <v>532</v>
      </c>
      <c r="B479">
        <v>34</v>
      </c>
      <c r="C479" t="s">
        <v>31</v>
      </c>
      <c r="D479" t="s">
        <v>39</v>
      </c>
      <c r="E479" t="s">
        <v>33</v>
      </c>
      <c r="F479" t="s">
        <v>41</v>
      </c>
      <c r="G479">
        <v>6.7</v>
      </c>
      <c r="H479">
        <v>5</v>
      </c>
      <c r="I479">
        <v>4</v>
      </c>
      <c r="J479" t="s">
        <v>42</v>
      </c>
      <c r="K479" t="s">
        <v>52</v>
      </c>
      <c r="L479">
        <v>40</v>
      </c>
      <c r="M479">
        <v>5.9</v>
      </c>
      <c r="N479">
        <v>3.9</v>
      </c>
      <c r="O479">
        <v>1.8</v>
      </c>
      <c r="P479">
        <v>5</v>
      </c>
      <c r="Q479" t="s">
        <v>42</v>
      </c>
      <c r="R479" t="s">
        <v>42</v>
      </c>
      <c r="S479">
        <v>5.5</v>
      </c>
      <c r="T479">
        <v>6</v>
      </c>
      <c r="U479">
        <v>4.5999999999999996</v>
      </c>
      <c r="V479">
        <v>9.3000000000000007</v>
      </c>
      <c r="W479">
        <v>2</v>
      </c>
      <c r="X479">
        <v>7.3</v>
      </c>
      <c r="Y479">
        <v>4.2</v>
      </c>
      <c r="Z479">
        <v>6.5</v>
      </c>
      <c r="AA479">
        <v>4.4000000000000004</v>
      </c>
      <c r="AB479">
        <v>2.6</v>
      </c>
      <c r="AC479">
        <v>5.6</v>
      </c>
      <c r="AD479" t="s">
        <v>45</v>
      </c>
      <c r="AE479" t="str">
        <f>IF(AND(data[[#This Row],[Age]]&gt;=18,data[[#This Row],[Age]]&lt;=24),"18-24",IF(AND(data[[#This Row],[Age]]&gt;=25,data[[#This Row],[Age]]&lt;=34),"25-34",IF(AND(data[[#This Row],[Age]]&gt;35,data[[#This Row],[Age]]&lt;=44),"35-44",IF(data[[#This Row],[Age]]&gt;44,"45+",IF(data[[#This Row],[Age]]&lt;18,"below 18 ")))))</f>
        <v>25-34</v>
      </c>
    </row>
    <row r="480" spans="1:31" x14ac:dyDescent="0.25">
      <c r="A480" t="s">
        <v>533</v>
      </c>
      <c r="B480">
        <v>26</v>
      </c>
      <c r="C480" t="s">
        <v>47</v>
      </c>
      <c r="D480" t="s">
        <v>39</v>
      </c>
      <c r="E480" t="s">
        <v>40</v>
      </c>
      <c r="F480" t="s">
        <v>51</v>
      </c>
      <c r="G480">
        <v>2.7</v>
      </c>
      <c r="H480">
        <v>2</v>
      </c>
      <c r="I480">
        <v>2</v>
      </c>
      <c r="J480" t="s">
        <v>42</v>
      </c>
      <c r="K480" t="s">
        <v>62</v>
      </c>
      <c r="L480">
        <v>100</v>
      </c>
      <c r="M480">
        <v>1.6</v>
      </c>
      <c r="N480">
        <v>3.8</v>
      </c>
      <c r="O480">
        <v>5.7</v>
      </c>
      <c r="P480">
        <v>4.9000000000000004</v>
      </c>
      <c r="Q480" t="s">
        <v>42</v>
      </c>
      <c r="R480" t="s">
        <v>42</v>
      </c>
      <c r="S480">
        <v>4.5999999999999996</v>
      </c>
      <c r="T480">
        <v>5.7</v>
      </c>
      <c r="U480">
        <v>3.5</v>
      </c>
      <c r="V480">
        <v>2.5</v>
      </c>
      <c r="W480">
        <v>2.8</v>
      </c>
      <c r="X480">
        <v>6.5</v>
      </c>
      <c r="Y480">
        <v>7.1</v>
      </c>
      <c r="Z480">
        <v>5.0999999999999996</v>
      </c>
      <c r="AA480">
        <v>2.4</v>
      </c>
      <c r="AB480">
        <v>2.2000000000000002</v>
      </c>
      <c r="AC480">
        <v>6.9</v>
      </c>
      <c r="AD480" t="s">
        <v>53</v>
      </c>
      <c r="AE480" t="str">
        <f>IF(AND(data[[#This Row],[Age]]&gt;=18,data[[#This Row],[Age]]&lt;=24),"18-24",IF(AND(data[[#This Row],[Age]]&gt;=25,data[[#This Row],[Age]]&lt;=34),"25-34",IF(AND(data[[#This Row],[Age]]&gt;35,data[[#This Row],[Age]]&lt;=44),"35-44",IF(data[[#This Row],[Age]]&gt;44,"45+",IF(data[[#This Row],[Age]]&lt;18,"below 18 ")))))</f>
        <v>25-34</v>
      </c>
    </row>
    <row r="481" spans="1:31" x14ac:dyDescent="0.25">
      <c r="A481" t="s">
        <v>534</v>
      </c>
      <c r="B481">
        <v>33</v>
      </c>
      <c r="C481" t="s">
        <v>31</v>
      </c>
      <c r="D481" t="s">
        <v>57</v>
      </c>
      <c r="E481" t="s">
        <v>58</v>
      </c>
      <c r="F481" t="s">
        <v>34</v>
      </c>
      <c r="G481">
        <v>2.2000000000000002</v>
      </c>
      <c r="H481">
        <v>4</v>
      </c>
      <c r="I481">
        <v>5</v>
      </c>
      <c r="J481" t="s">
        <v>35</v>
      </c>
      <c r="K481" t="s">
        <v>36</v>
      </c>
      <c r="L481">
        <v>5</v>
      </c>
      <c r="M481">
        <v>3.3</v>
      </c>
      <c r="N481">
        <v>3.3</v>
      </c>
      <c r="O481">
        <v>5.6</v>
      </c>
      <c r="P481">
        <v>5.2</v>
      </c>
      <c r="Q481" t="s">
        <v>42</v>
      </c>
      <c r="R481" t="s">
        <v>42</v>
      </c>
      <c r="S481">
        <v>4.3</v>
      </c>
      <c r="T481">
        <v>5</v>
      </c>
      <c r="U481">
        <v>1.2</v>
      </c>
      <c r="V481">
        <v>8</v>
      </c>
      <c r="W481">
        <v>3.5</v>
      </c>
      <c r="X481">
        <v>7.3</v>
      </c>
      <c r="Y481">
        <v>4.7</v>
      </c>
      <c r="Z481">
        <v>2</v>
      </c>
      <c r="AA481">
        <v>3.8</v>
      </c>
      <c r="AB481">
        <v>3.6</v>
      </c>
      <c r="AC481">
        <v>7.8</v>
      </c>
      <c r="AD481" t="s">
        <v>37</v>
      </c>
      <c r="AE481" t="str">
        <f>IF(AND(data[[#This Row],[Age]]&gt;=18,data[[#This Row],[Age]]&lt;=24),"18-24",IF(AND(data[[#This Row],[Age]]&gt;=25,data[[#This Row],[Age]]&lt;=34),"25-34",IF(AND(data[[#This Row],[Age]]&gt;35,data[[#This Row],[Age]]&lt;=44),"35-44",IF(data[[#This Row],[Age]]&gt;44,"45+",IF(data[[#This Row],[Age]]&lt;18,"below 18 ")))))</f>
        <v>25-34</v>
      </c>
    </row>
    <row r="482" spans="1:31" x14ac:dyDescent="0.25">
      <c r="A482" t="s">
        <v>535</v>
      </c>
      <c r="B482">
        <v>35</v>
      </c>
      <c r="C482" t="s">
        <v>47</v>
      </c>
      <c r="D482" t="s">
        <v>32</v>
      </c>
      <c r="E482" t="s">
        <v>40</v>
      </c>
      <c r="F482" t="s">
        <v>59</v>
      </c>
      <c r="G482">
        <v>4.9000000000000004</v>
      </c>
      <c r="H482">
        <v>4</v>
      </c>
      <c r="I482">
        <v>4</v>
      </c>
      <c r="J482" t="s">
        <v>42</v>
      </c>
      <c r="K482" t="s">
        <v>36</v>
      </c>
      <c r="L482">
        <v>144</v>
      </c>
      <c r="M482">
        <v>2.9</v>
      </c>
      <c r="N482">
        <v>5.7</v>
      </c>
      <c r="O482">
        <v>1.4</v>
      </c>
      <c r="P482">
        <v>3.9</v>
      </c>
      <c r="Q482" t="s">
        <v>42</v>
      </c>
      <c r="R482" t="s">
        <v>35</v>
      </c>
      <c r="S482">
        <v>5.8</v>
      </c>
      <c r="T482">
        <v>3.2</v>
      </c>
      <c r="U482">
        <v>3.9</v>
      </c>
      <c r="V482">
        <v>5</v>
      </c>
      <c r="W482">
        <v>5.0999999999999996</v>
      </c>
      <c r="X482">
        <v>8.4</v>
      </c>
      <c r="Y482">
        <v>4.3</v>
      </c>
      <c r="Z482">
        <v>9.4</v>
      </c>
      <c r="AA482">
        <v>2.2000000000000002</v>
      </c>
      <c r="AB482">
        <v>3.2</v>
      </c>
      <c r="AC482">
        <v>7.1</v>
      </c>
      <c r="AD482" t="s">
        <v>37</v>
      </c>
      <c r="AE482" t="b">
        <f>IF(AND(data[[#This Row],[Age]]&gt;=18,data[[#This Row],[Age]]&lt;=24),"18-24",IF(AND(data[[#This Row],[Age]]&gt;=25,data[[#This Row],[Age]]&lt;=34),"25-34",IF(AND(data[[#This Row],[Age]]&gt;35,data[[#This Row],[Age]]&lt;=44),"35-44",IF(data[[#This Row],[Age]]&gt;44,"45+",IF(data[[#This Row],[Age]]&lt;18,"below 18 ")))))</f>
        <v>0</v>
      </c>
    </row>
    <row r="483" spans="1:31" x14ac:dyDescent="0.25">
      <c r="A483" t="s">
        <v>536</v>
      </c>
      <c r="B483">
        <v>17</v>
      </c>
      <c r="C483" t="s">
        <v>47</v>
      </c>
      <c r="D483" t="s">
        <v>64</v>
      </c>
      <c r="E483" t="s">
        <v>58</v>
      </c>
      <c r="F483" t="s">
        <v>41</v>
      </c>
      <c r="G483">
        <v>5.5</v>
      </c>
      <c r="H483">
        <v>3</v>
      </c>
      <c r="I483">
        <v>2</v>
      </c>
      <c r="J483" t="s">
        <v>42</v>
      </c>
      <c r="K483" t="s">
        <v>52</v>
      </c>
      <c r="L483">
        <v>49</v>
      </c>
      <c r="M483">
        <v>6.7</v>
      </c>
      <c r="N483">
        <v>5</v>
      </c>
      <c r="O483">
        <v>7.1</v>
      </c>
      <c r="P483">
        <v>4.5</v>
      </c>
      <c r="Q483" t="s">
        <v>42</v>
      </c>
      <c r="R483" t="s">
        <v>42</v>
      </c>
      <c r="S483">
        <v>3.9</v>
      </c>
      <c r="T483">
        <v>9.6</v>
      </c>
      <c r="U483">
        <v>4.7</v>
      </c>
      <c r="V483">
        <v>4.9000000000000004</v>
      </c>
      <c r="W483">
        <v>7.6</v>
      </c>
      <c r="X483">
        <v>5.6</v>
      </c>
      <c r="Y483">
        <v>3.2</v>
      </c>
      <c r="Z483">
        <v>5.8</v>
      </c>
      <c r="AA483">
        <v>1.8</v>
      </c>
      <c r="AB483">
        <v>3.9</v>
      </c>
      <c r="AC483">
        <v>5.3</v>
      </c>
      <c r="AD483" t="s">
        <v>45</v>
      </c>
      <c r="AE483" t="str">
        <f>IF(AND(data[[#This Row],[Age]]&gt;=18,data[[#This Row],[Age]]&lt;=24),"18-24",IF(AND(data[[#This Row],[Age]]&gt;=25,data[[#This Row],[Age]]&lt;=34),"25-34",IF(AND(data[[#This Row],[Age]]&gt;35,data[[#This Row],[Age]]&lt;=44),"35-44",IF(data[[#This Row],[Age]]&gt;44,"45+",IF(data[[#This Row],[Age]]&lt;18,"below 18 ")))))</f>
        <v xml:space="preserve">below 18 </v>
      </c>
    </row>
    <row r="484" spans="1:31" x14ac:dyDescent="0.25">
      <c r="A484" t="s">
        <v>537</v>
      </c>
      <c r="B484">
        <v>30</v>
      </c>
      <c r="C484" t="s">
        <v>31</v>
      </c>
      <c r="D484" t="s">
        <v>39</v>
      </c>
      <c r="E484" t="s">
        <v>40</v>
      </c>
      <c r="F484" t="s">
        <v>59</v>
      </c>
      <c r="G484">
        <v>8</v>
      </c>
      <c r="H484">
        <v>1</v>
      </c>
      <c r="I484">
        <v>5</v>
      </c>
      <c r="J484" t="s">
        <v>35</v>
      </c>
      <c r="K484" t="s">
        <v>52</v>
      </c>
      <c r="L484">
        <v>122</v>
      </c>
      <c r="M484">
        <v>1.6</v>
      </c>
      <c r="N484">
        <v>9</v>
      </c>
      <c r="O484">
        <v>3.9</v>
      </c>
      <c r="P484">
        <v>4.4000000000000004</v>
      </c>
      <c r="Q484" t="s">
        <v>35</v>
      </c>
      <c r="R484" t="s">
        <v>42</v>
      </c>
      <c r="S484">
        <v>3.8</v>
      </c>
      <c r="T484">
        <v>0.8</v>
      </c>
      <c r="U484">
        <v>5</v>
      </c>
      <c r="V484">
        <v>4.5999999999999996</v>
      </c>
      <c r="W484">
        <v>8.8000000000000007</v>
      </c>
      <c r="X484">
        <v>6.3</v>
      </c>
      <c r="Y484">
        <v>7.2</v>
      </c>
      <c r="AB484">
        <v>2.2000000000000002</v>
      </c>
      <c r="AC484">
        <v>5.0999999999999996</v>
      </c>
      <c r="AD484" t="s">
        <v>53</v>
      </c>
      <c r="AE484" t="str">
        <f>IF(AND(data[[#This Row],[Age]]&gt;=18,data[[#This Row],[Age]]&lt;=24),"18-24",IF(AND(data[[#This Row],[Age]]&gt;=25,data[[#This Row],[Age]]&lt;=34),"25-34",IF(AND(data[[#This Row],[Age]]&gt;35,data[[#This Row],[Age]]&lt;=44),"35-44",IF(data[[#This Row],[Age]]&gt;44,"45+",IF(data[[#This Row],[Age]]&lt;18,"below 18 ")))))</f>
        <v>25-34</v>
      </c>
    </row>
    <row r="485" spans="1:31" x14ac:dyDescent="0.25">
      <c r="A485" t="s">
        <v>538</v>
      </c>
      <c r="B485">
        <v>23</v>
      </c>
      <c r="C485" t="s">
        <v>31</v>
      </c>
      <c r="D485" t="s">
        <v>39</v>
      </c>
      <c r="E485" t="s">
        <v>33</v>
      </c>
      <c r="F485" t="s">
        <v>51</v>
      </c>
      <c r="G485">
        <v>5.0999999999999996</v>
      </c>
      <c r="H485">
        <v>2</v>
      </c>
      <c r="I485">
        <v>3</v>
      </c>
      <c r="J485" t="s">
        <v>35</v>
      </c>
      <c r="K485" t="s">
        <v>52</v>
      </c>
      <c r="L485">
        <v>5</v>
      </c>
      <c r="M485">
        <v>7</v>
      </c>
      <c r="N485">
        <v>3.1</v>
      </c>
      <c r="O485">
        <v>7.2</v>
      </c>
      <c r="P485">
        <v>7</v>
      </c>
      <c r="Q485" t="s">
        <v>35</v>
      </c>
      <c r="R485" t="s">
        <v>35</v>
      </c>
      <c r="S485">
        <v>6.3</v>
      </c>
      <c r="T485">
        <v>7</v>
      </c>
      <c r="U485">
        <v>5.3</v>
      </c>
      <c r="V485">
        <v>5.3</v>
      </c>
      <c r="W485">
        <v>8.1999999999999993</v>
      </c>
      <c r="Y485">
        <v>4.3</v>
      </c>
      <c r="Z485">
        <v>8.6</v>
      </c>
      <c r="AA485">
        <v>0</v>
      </c>
      <c r="AB485">
        <v>5.4</v>
      </c>
      <c r="AC485">
        <v>8</v>
      </c>
      <c r="AD485" t="s">
        <v>37</v>
      </c>
      <c r="AE485" t="str">
        <f>IF(AND(data[[#This Row],[Age]]&gt;=18,data[[#This Row],[Age]]&lt;=24),"18-24",IF(AND(data[[#This Row],[Age]]&gt;=25,data[[#This Row],[Age]]&lt;=34),"25-34",IF(AND(data[[#This Row],[Age]]&gt;35,data[[#This Row],[Age]]&lt;=44),"35-44",IF(data[[#This Row],[Age]]&gt;44,"45+",IF(data[[#This Row],[Age]]&lt;18,"below 18 ")))))</f>
        <v>18-24</v>
      </c>
    </row>
    <row r="486" spans="1:31" x14ac:dyDescent="0.25">
      <c r="A486" t="s">
        <v>539</v>
      </c>
      <c r="B486">
        <v>41</v>
      </c>
      <c r="C486" t="s">
        <v>47</v>
      </c>
      <c r="D486" t="s">
        <v>64</v>
      </c>
      <c r="E486" t="s">
        <v>33</v>
      </c>
      <c r="F486" t="s">
        <v>48</v>
      </c>
      <c r="G486">
        <v>1.6</v>
      </c>
      <c r="H486">
        <v>1</v>
      </c>
      <c r="I486">
        <v>2</v>
      </c>
      <c r="J486" t="s">
        <v>42</v>
      </c>
      <c r="K486" t="s">
        <v>52</v>
      </c>
      <c r="L486">
        <v>88</v>
      </c>
      <c r="M486">
        <v>6.9</v>
      </c>
      <c r="N486">
        <v>1.7</v>
      </c>
      <c r="O486">
        <v>2.8</v>
      </c>
      <c r="P486">
        <v>5.0999999999999996</v>
      </c>
      <c r="Q486" t="s">
        <v>42</v>
      </c>
      <c r="R486" t="s">
        <v>35</v>
      </c>
      <c r="S486">
        <v>5.6</v>
      </c>
      <c r="T486">
        <v>2.4</v>
      </c>
      <c r="U486">
        <v>5.8</v>
      </c>
      <c r="V486">
        <v>7.3</v>
      </c>
      <c r="W486">
        <v>7</v>
      </c>
      <c r="X486">
        <v>4.8</v>
      </c>
      <c r="Y486">
        <v>0</v>
      </c>
      <c r="Z486">
        <v>6.7</v>
      </c>
      <c r="AA486">
        <v>0</v>
      </c>
      <c r="AB486">
        <v>4.4000000000000004</v>
      </c>
      <c r="AC486">
        <v>8.9</v>
      </c>
      <c r="AD486" t="s">
        <v>37</v>
      </c>
      <c r="AE486" t="str">
        <f>IF(AND(data[[#This Row],[Age]]&gt;=18,data[[#This Row],[Age]]&lt;=24),"18-24",IF(AND(data[[#This Row],[Age]]&gt;=25,data[[#This Row],[Age]]&lt;=34),"25-34",IF(AND(data[[#This Row],[Age]]&gt;35,data[[#This Row],[Age]]&lt;=44),"35-44",IF(data[[#This Row],[Age]]&gt;44,"45+",IF(data[[#This Row],[Age]]&lt;18,"below 18 ")))))</f>
        <v>35-44</v>
      </c>
    </row>
    <row r="487" spans="1:31" x14ac:dyDescent="0.25">
      <c r="A487" t="s">
        <v>540</v>
      </c>
      <c r="B487">
        <v>35</v>
      </c>
      <c r="D487" t="s">
        <v>39</v>
      </c>
      <c r="E487" t="s">
        <v>40</v>
      </c>
      <c r="F487" t="s">
        <v>41</v>
      </c>
      <c r="G487">
        <v>2.6</v>
      </c>
      <c r="H487">
        <v>2</v>
      </c>
      <c r="I487">
        <v>3</v>
      </c>
      <c r="J487" t="s">
        <v>35</v>
      </c>
      <c r="K487" t="s">
        <v>52</v>
      </c>
      <c r="L487">
        <v>69</v>
      </c>
      <c r="M487">
        <v>7.9</v>
      </c>
      <c r="N487">
        <v>3.3</v>
      </c>
      <c r="O487">
        <v>8.3000000000000007</v>
      </c>
      <c r="P487">
        <v>3.1</v>
      </c>
      <c r="Q487" t="s">
        <v>42</v>
      </c>
      <c r="R487" t="s">
        <v>42</v>
      </c>
      <c r="S487">
        <v>6.6</v>
      </c>
      <c r="T487">
        <v>1.4</v>
      </c>
      <c r="U487">
        <v>6</v>
      </c>
      <c r="V487">
        <v>4.5999999999999996</v>
      </c>
      <c r="W487">
        <v>7.1</v>
      </c>
      <c r="X487">
        <v>8.3000000000000007</v>
      </c>
      <c r="Y487">
        <v>3.2</v>
      </c>
      <c r="AA487">
        <v>0.9</v>
      </c>
      <c r="AB487">
        <v>4</v>
      </c>
      <c r="AC487">
        <v>7</v>
      </c>
      <c r="AD487" t="s">
        <v>53</v>
      </c>
      <c r="AE487" t="b">
        <f>IF(AND(data[[#This Row],[Age]]&gt;=18,data[[#This Row],[Age]]&lt;=24),"18-24",IF(AND(data[[#This Row],[Age]]&gt;=25,data[[#This Row],[Age]]&lt;=34),"25-34",IF(AND(data[[#This Row],[Age]]&gt;35,data[[#This Row],[Age]]&lt;=44),"35-44",IF(data[[#This Row],[Age]]&gt;44,"45+",IF(data[[#This Row],[Age]]&lt;18,"below 18 ")))))</f>
        <v>0</v>
      </c>
    </row>
    <row r="488" spans="1:31" x14ac:dyDescent="0.25">
      <c r="A488" t="s">
        <v>541</v>
      </c>
      <c r="B488">
        <v>40</v>
      </c>
      <c r="C488" t="s">
        <v>50</v>
      </c>
      <c r="D488" t="s">
        <v>39</v>
      </c>
      <c r="E488" t="s">
        <v>40</v>
      </c>
      <c r="F488" t="s">
        <v>48</v>
      </c>
      <c r="G488">
        <v>6.5</v>
      </c>
      <c r="H488">
        <v>5</v>
      </c>
      <c r="I488">
        <v>3</v>
      </c>
      <c r="J488" t="s">
        <v>35</v>
      </c>
      <c r="K488" t="s">
        <v>36</v>
      </c>
      <c r="L488">
        <v>53</v>
      </c>
      <c r="M488">
        <v>7.1</v>
      </c>
      <c r="N488">
        <v>8</v>
      </c>
      <c r="O488">
        <v>1.9</v>
      </c>
      <c r="P488">
        <v>5.4</v>
      </c>
      <c r="Q488" t="s">
        <v>42</v>
      </c>
      <c r="R488" t="s">
        <v>42</v>
      </c>
      <c r="S488">
        <v>3.5</v>
      </c>
      <c r="T488">
        <v>8</v>
      </c>
      <c r="U488">
        <v>4.4000000000000004</v>
      </c>
      <c r="V488">
        <v>6.2</v>
      </c>
      <c r="W488">
        <v>5.0999999999999996</v>
      </c>
      <c r="X488">
        <v>6.2</v>
      </c>
      <c r="Y488">
        <v>7.3</v>
      </c>
      <c r="Z488">
        <v>2.6</v>
      </c>
      <c r="AA488">
        <v>5.5</v>
      </c>
      <c r="AB488">
        <v>3.2</v>
      </c>
      <c r="AC488">
        <v>5.9</v>
      </c>
      <c r="AD488" t="s">
        <v>45</v>
      </c>
      <c r="AE488" t="str">
        <f>IF(AND(data[[#This Row],[Age]]&gt;=18,data[[#This Row],[Age]]&lt;=24),"18-24",IF(AND(data[[#This Row],[Age]]&gt;=25,data[[#This Row],[Age]]&lt;=34),"25-34",IF(AND(data[[#This Row],[Age]]&gt;35,data[[#This Row],[Age]]&lt;=44),"35-44",IF(data[[#This Row],[Age]]&gt;44,"45+",IF(data[[#This Row],[Age]]&lt;18,"below 18 ")))))</f>
        <v>35-44</v>
      </c>
    </row>
    <row r="489" spans="1:31" x14ac:dyDescent="0.25">
      <c r="A489" t="s">
        <v>542</v>
      </c>
      <c r="B489">
        <v>31</v>
      </c>
      <c r="C489" t="s">
        <v>31</v>
      </c>
      <c r="D489" t="s">
        <v>39</v>
      </c>
      <c r="E489" t="s">
        <v>58</v>
      </c>
      <c r="F489" t="s">
        <v>41</v>
      </c>
      <c r="G489">
        <v>3.1</v>
      </c>
      <c r="H489">
        <v>3</v>
      </c>
      <c r="I489">
        <v>4</v>
      </c>
      <c r="J489" t="s">
        <v>35</v>
      </c>
      <c r="K489" t="s">
        <v>52</v>
      </c>
      <c r="L489">
        <v>82</v>
      </c>
      <c r="M489">
        <v>8.9</v>
      </c>
      <c r="N489">
        <v>9.1</v>
      </c>
      <c r="O489">
        <v>5.7</v>
      </c>
      <c r="P489">
        <v>2.7</v>
      </c>
      <c r="Q489" t="s">
        <v>35</v>
      </c>
      <c r="R489" t="s">
        <v>35</v>
      </c>
      <c r="S489">
        <v>7.4</v>
      </c>
      <c r="T489">
        <v>4.5</v>
      </c>
      <c r="U489">
        <v>5.5</v>
      </c>
      <c r="V489">
        <v>5.4</v>
      </c>
      <c r="W489">
        <v>6.3</v>
      </c>
      <c r="Y489">
        <v>5.4</v>
      </c>
      <c r="Z489">
        <v>9.5</v>
      </c>
      <c r="AA489">
        <v>0.9</v>
      </c>
      <c r="AB489">
        <v>0</v>
      </c>
      <c r="AC489">
        <v>7</v>
      </c>
      <c r="AD489" t="s">
        <v>53</v>
      </c>
      <c r="AE489" t="str">
        <f>IF(AND(data[[#This Row],[Age]]&gt;=18,data[[#This Row],[Age]]&lt;=24),"18-24",IF(AND(data[[#This Row],[Age]]&gt;=25,data[[#This Row],[Age]]&lt;=34),"25-34",IF(AND(data[[#This Row],[Age]]&gt;35,data[[#This Row],[Age]]&lt;=44),"35-44",IF(data[[#This Row],[Age]]&gt;44,"45+",IF(data[[#This Row],[Age]]&lt;18,"below 18 ")))))</f>
        <v>25-34</v>
      </c>
    </row>
    <row r="490" spans="1:31" x14ac:dyDescent="0.25">
      <c r="A490" t="s">
        <v>543</v>
      </c>
      <c r="B490">
        <v>25</v>
      </c>
      <c r="C490" t="s">
        <v>31</v>
      </c>
      <c r="D490" t="s">
        <v>39</v>
      </c>
      <c r="E490" t="s">
        <v>58</v>
      </c>
      <c r="F490" t="s">
        <v>51</v>
      </c>
      <c r="G490">
        <v>5.5</v>
      </c>
      <c r="H490">
        <v>3</v>
      </c>
      <c r="I490">
        <v>2</v>
      </c>
      <c r="J490" t="s">
        <v>42</v>
      </c>
      <c r="K490" t="s">
        <v>36</v>
      </c>
      <c r="L490">
        <v>26</v>
      </c>
      <c r="M490">
        <v>6.4</v>
      </c>
      <c r="N490">
        <v>6.9</v>
      </c>
      <c r="O490">
        <v>4.2</v>
      </c>
      <c r="P490">
        <v>5.9</v>
      </c>
      <c r="Q490" t="s">
        <v>35</v>
      </c>
      <c r="R490" t="s">
        <v>42</v>
      </c>
      <c r="S490">
        <v>4.0999999999999996</v>
      </c>
      <c r="T490">
        <v>3.5</v>
      </c>
      <c r="U490">
        <v>3.6</v>
      </c>
      <c r="V490">
        <v>5</v>
      </c>
      <c r="Y490">
        <v>4.5</v>
      </c>
      <c r="Z490">
        <v>8</v>
      </c>
      <c r="AA490">
        <v>2.2000000000000002</v>
      </c>
      <c r="AB490">
        <v>5.0999999999999996</v>
      </c>
      <c r="AC490">
        <v>5.7</v>
      </c>
      <c r="AD490" t="s">
        <v>45</v>
      </c>
      <c r="AE490" t="str">
        <f>IF(AND(data[[#This Row],[Age]]&gt;=18,data[[#This Row],[Age]]&lt;=24),"18-24",IF(AND(data[[#This Row],[Age]]&gt;=25,data[[#This Row],[Age]]&lt;=34),"25-34",IF(AND(data[[#This Row],[Age]]&gt;35,data[[#This Row],[Age]]&lt;=44),"35-44",IF(data[[#This Row],[Age]]&gt;44,"45+",IF(data[[#This Row],[Age]]&lt;18,"below 18 ")))))</f>
        <v>25-34</v>
      </c>
    </row>
    <row r="491" spans="1:31" x14ac:dyDescent="0.25">
      <c r="A491" t="s">
        <v>544</v>
      </c>
      <c r="B491">
        <v>15</v>
      </c>
      <c r="C491" t="s">
        <v>47</v>
      </c>
      <c r="D491" t="s">
        <v>39</v>
      </c>
      <c r="E491" t="s">
        <v>40</v>
      </c>
      <c r="F491" t="s">
        <v>41</v>
      </c>
      <c r="G491">
        <v>8.4</v>
      </c>
      <c r="H491">
        <v>3</v>
      </c>
      <c r="I491">
        <v>2</v>
      </c>
      <c r="J491" t="s">
        <v>42</v>
      </c>
      <c r="K491" t="s">
        <v>52</v>
      </c>
      <c r="L491">
        <v>55</v>
      </c>
      <c r="M491">
        <v>3.4</v>
      </c>
      <c r="N491">
        <v>5</v>
      </c>
      <c r="O491">
        <v>4.4000000000000004</v>
      </c>
      <c r="P491">
        <v>9</v>
      </c>
      <c r="Q491" t="s">
        <v>35</v>
      </c>
      <c r="R491" t="s">
        <v>35</v>
      </c>
      <c r="T491">
        <v>6.2</v>
      </c>
      <c r="U491">
        <v>5.7</v>
      </c>
      <c r="V491">
        <v>8.3000000000000007</v>
      </c>
      <c r="W491">
        <v>8.5</v>
      </c>
      <c r="X491">
        <v>7.5</v>
      </c>
      <c r="Z491">
        <v>6.1</v>
      </c>
      <c r="AA491">
        <v>3.9</v>
      </c>
      <c r="AB491">
        <v>3.1</v>
      </c>
      <c r="AC491">
        <v>6.1</v>
      </c>
      <c r="AD491" t="s">
        <v>45</v>
      </c>
      <c r="AE491" t="str">
        <f>IF(AND(data[[#This Row],[Age]]&gt;=18,data[[#This Row],[Age]]&lt;=24),"18-24",IF(AND(data[[#This Row],[Age]]&gt;=25,data[[#This Row],[Age]]&lt;=34),"25-34",IF(AND(data[[#This Row],[Age]]&gt;35,data[[#This Row],[Age]]&lt;=44),"35-44",IF(data[[#This Row],[Age]]&gt;44,"45+",IF(data[[#This Row],[Age]]&lt;18,"below 18 ")))))</f>
        <v xml:space="preserve">below 18 </v>
      </c>
    </row>
    <row r="492" spans="1:31" x14ac:dyDescent="0.25">
      <c r="A492" t="s">
        <v>545</v>
      </c>
      <c r="B492">
        <v>41</v>
      </c>
      <c r="C492" t="s">
        <v>31</v>
      </c>
      <c r="E492" t="s">
        <v>58</v>
      </c>
      <c r="F492" t="s">
        <v>51</v>
      </c>
      <c r="G492">
        <v>1.4</v>
      </c>
      <c r="H492">
        <v>5</v>
      </c>
      <c r="I492">
        <v>2</v>
      </c>
      <c r="K492" t="s">
        <v>52</v>
      </c>
      <c r="L492">
        <v>79</v>
      </c>
      <c r="M492">
        <v>5.4</v>
      </c>
      <c r="N492">
        <v>7.2</v>
      </c>
      <c r="O492">
        <v>4.0999999999999996</v>
      </c>
      <c r="P492">
        <v>6.8</v>
      </c>
      <c r="Q492" t="s">
        <v>35</v>
      </c>
      <c r="R492" t="s">
        <v>35</v>
      </c>
      <c r="S492">
        <v>5.8</v>
      </c>
      <c r="T492">
        <v>3.3</v>
      </c>
      <c r="U492">
        <v>7.2</v>
      </c>
      <c r="W492">
        <v>5.2</v>
      </c>
      <c r="X492">
        <v>6.1</v>
      </c>
      <c r="Y492">
        <v>5.7</v>
      </c>
      <c r="Z492">
        <v>3.7</v>
      </c>
      <c r="AA492">
        <v>3</v>
      </c>
      <c r="AB492">
        <v>0</v>
      </c>
      <c r="AC492">
        <v>6</v>
      </c>
      <c r="AD492" t="s">
        <v>45</v>
      </c>
      <c r="AE492" t="str">
        <f>IF(AND(data[[#This Row],[Age]]&gt;=18,data[[#This Row],[Age]]&lt;=24),"18-24",IF(AND(data[[#This Row],[Age]]&gt;=25,data[[#This Row],[Age]]&lt;=34),"25-34",IF(AND(data[[#This Row],[Age]]&gt;35,data[[#This Row],[Age]]&lt;=44),"35-44",IF(data[[#This Row],[Age]]&gt;44,"45+",IF(data[[#This Row],[Age]]&lt;18,"below 18 ")))))</f>
        <v>35-44</v>
      </c>
    </row>
    <row r="493" spans="1:31" x14ac:dyDescent="0.25">
      <c r="A493" t="s">
        <v>546</v>
      </c>
      <c r="B493">
        <v>28</v>
      </c>
      <c r="C493" t="s">
        <v>50</v>
      </c>
      <c r="D493" t="s">
        <v>39</v>
      </c>
      <c r="E493" t="s">
        <v>33</v>
      </c>
      <c r="F493" t="s">
        <v>41</v>
      </c>
      <c r="G493">
        <v>1.4</v>
      </c>
      <c r="H493">
        <v>4</v>
      </c>
      <c r="I493">
        <v>4</v>
      </c>
      <c r="J493" t="s">
        <v>35</v>
      </c>
      <c r="K493" t="s">
        <v>62</v>
      </c>
      <c r="L493">
        <v>54</v>
      </c>
      <c r="M493">
        <v>9.1</v>
      </c>
      <c r="N493">
        <v>5</v>
      </c>
      <c r="O493">
        <v>3.6</v>
      </c>
      <c r="P493">
        <v>6.5</v>
      </c>
      <c r="R493" t="s">
        <v>42</v>
      </c>
      <c r="S493">
        <v>7.8</v>
      </c>
      <c r="T493">
        <v>3</v>
      </c>
      <c r="U493">
        <v>6.7</v>
      </c>
      <c r="V493">
        <v>4.5999999999999996</v>
      </c>
      <c r="W493">
        <v>7</v>
      </c>
      <c r="X493">
        <v>8.1</v>
      </c>
      <c r="Y493">
        <v>4.9000000000000004</v>
      </c>
      <c r="Z493">
        <v>6.7</v>
      </c>
      <c r="AA493">
        <v>2.6</v>
      </c>
      <c r="AB493">
        <v>4.8</v>
      </c>
      <c r="AC493">
        <v>7</v>
      </c>
      <c r="AD493" t="s">
        <v>53</v>
      </c>
      <c r="AE493" t="str">
        <f>IF(AND(data[[#This Row],[Age]]&gt;=18,data[[#This Row],[Age]]&lt;=24),"18-24",IF(AND(data[[#This Row],[Age]]&gt;=25,data[[#This Row],[Age]]&lt;=34),"25-34",IF(AND(data[[#This Row],[Age]]&gt;35,data[[#This Row],[Age]]&lt;=44),"35-44",IF(data[[#This Row],[Age]]&gt;44,"45+",IF(data[[#This Row],[Age]]&lt;18,"below 18 ")))))</f>
        <v>25-34</v>
      </c>
    </row>
    <row r="494" spans="1:31" x14ac:dyDescent="0.25">
      <c r="A494" t="s">
        <v>547</v>
      </c>
      <c r="B494">
        <v>17</v>
      </c>
      <c r="C494" t="s">
        <v>31</v>
      </c>
      <c r="D494" t="s">
        <v>32</v>
      </c>
      <c r="E494" t="s">
        <v>40</v>
      </c>
      <c r="F494" t="s">
        <v>59</v>
      </c>
      <c r="G494">
        <v>4.0999999999999996</v>
      </c>
      <c r="H494">
        <v>3</v>
      </c>
      <c r="I494">
        <v>3</v>
      </c>
      <c r="J494" t="s">
        <v>35</v>
      </c>
      <c r="K494" t="s">
        <v>36</v>
      </c>
      <c r="L494">
        <v>5</v>
      </c>
      <c r="M494">
        <v>6.2</v>
      </c>
      <c r="N494">
        <v>7.3</v>
      </c>
      <c r="P494">
        <v>6</v>
      </c>
      <c r="Q494" t="s">
        <v>35</v>
      </c>
      <c r="R494" t="s">
        <v>35</v>
      </c>
      <c r="S494">
        <v>5.0999999999999996</v>
      </c>
      <c r="T494">
        <v>4.7</v>
      </c>
      <c r="U494">
        <v>5.5</v>
      </c>
      <c r="V494">
        <v>6.8</v>
      </c>
      <c r="W494">
        <v>6.7</v>
      </c>
      <c r="X494">
        <v>7.2</v>
      </c>
      <c r="Y494">
        <v>8.5</v>
      </c>
      <c r="Z494">
        <v>4.5999999999999996</v>
      </c>
      <c r="AA494">
        <v>3.9</v>
      </c>
      <c r="AB494">
        <v>4.5</v>
      </c>
      <c r="AC494">
        <v>5.7</v>
      </c>
      <c r="AD494" t="s">
        <v>45</v>
      </c>
      <c r="AE494" t="str">
        <f>IF(AND(data[[#This Row],[Age]]&gt;=18,data[[#This Row],[Age]]&lt;=24),"18-24",IF(AND(data[[#This Row],[Age]]&gt;=25,data[[#This Row],[Age]]&lt;=34),"25-34",IF(AND(data[[#This Row],[Age]]&gt;35,data[[#This Row],[Age]]&lt;=44),"35-44",IF(data[[#This Row],[Age]]&gt;44,"45+",IF(data[[#This Row],[Age]]&lt;18,"below 18 ")))))</f>
        <v xml:space="preserve">below 18 </v>
      </c>
    </row>
    <row r="495" spans="1:31" x14ac:dyDescent="0.25">
      <c r="A495" t="s">
        <v>548</v>
      </c>
      <c r="B495">
        <v>37</v>
      </c>
      <c r="C495" t="s">
        <v>31</v>
      </c>
      <c r="D495" t="s">
        <v>32</v>
      </c>
      <c r="E495" t="s">
        <v>40</v>
      </c>
      <c r="F495" t="s">
        <v>51</v>
      </c>
      <c r="G495">
        <v>4.4000000000000004</v>
      </c>
      <c r="H495">
        <v>7</v>
      </c>
      <c r="I495">
        <v>2</v>
      </c>
      <c r="J495" t="s">
        <v>42</v>
      </c>
      <c r="K495" t="s">
        <v>52</v>
      </c>
      <c r="L495">
        <v>5</v>
      </c>
      <c r="M495">
        <v>7.4</v>
      </c>
      <c r="N495">
        <v>2.7</v>
      </c>
      <c r="O495">
        <v>4.3</v>
      </c>
      <c r="P495">
        <v>7.7</v>
      </c>
      <c r="Q495" t="s">
        <v>42</v>
      </c>
      <c r="R495" t="s">
        <v>42</v>
      </c>
      <c r="S495">
        <v>6</v>
      </c>
      <c r="T495">
        <v>3.6</v>
      </c>
      <c r="U495">
        <v>5.9</v>
      </c>
      <c r="V495">
        <v>2.8</v>
      </c>
      <c r="W495">
        <v>5.2</v>
      </c>
      <c r="X495">
        <v>7.8</v>
      </c>
      <c r="Y495">
        <v>2.1</v>
      </c>
      <c r="Z495">
        <v>0</v>
      </c>
      <c r="AA495">
        <v>1.1000000000000001</v>
      </c>
      <c r="AB495">
        <v>4.0999999999999996</v>
      </c>
      <c r="AC495">
        <v>5.0999999999999996</v>
      </c>
      <c r="AD495" t="s">
        <v>43</v>
      </c>
      <c r="AE495" t="str">
        <f>IF(AND(data[[#This Row],[Age]]&gt;=18,data[[#This Row],[Age]]&lt;=24),"18-24",IF(AND(data[[#This Row],[Age]]&gt;=25,data[[#This Row],[Age]]&lt;=34),"25-34",IF(AND(data[[#This Row],[Age]]&gt;35,data[[#This Row],[Age]]&lt;=44),"35-44",IF(data[[#This Row],[Age]]&gt;44,"45+",IF(data[[#This Row],[Age]]&lt;18,"below 18 ")))))</f>
        <v>35-44</v>
      </c>
    </row>
    <row r="496" spans="1:31" x14ac:dyDescent="0.25">
      <c r="A496" t="s">
        <v>549</v>
      </c>
      <c r="B496">
        <v>43</v>
      </c>
      <c r="C496" t="s">
        <v>31</v>
      </c>
      <c r="D496" t="s">
        <v>32</v>
      </c>
      <c r="E496" t="s">
        <v>33</v>
      </c>
      <c r="F496" t="s">
        <v>34</v>
      </c>
      <c r="G496">
        <v>6.3</v>
      </c>
      <c r="H496">
        <v>4</v>
      </c>
      <c r="I496">
        <v>2</v>
      </c>
      <c r="J496" t="s">
        <v>42</v>
      </c>
      <c r="K496" t="s">
        <v>36</v>
      </c>
      <c r="L496">
        <v>53</v>
      </c>
      <c r="M496">
        <v>2</v>
      </c>
      <c r="N496">
        <v>3.2</v>
      </c>
      <c r="O496">
        <v>5.7</v>
      </c>
      <c r="P496">
        <v>5.7</v>
      </c>
      <c r="Q496" t="s">
        <v>42</v>
      </c>
      <c r="R496" t="s">
        <v>42</v>
      </c>
      <c r="S496">
        <v>3.4</v>
      </c>
      <c r="T496">
        <v>7.6</v>
      </c>
      <c r="U496">
        <v>1.7</v>
      </c>
      <c r="W496">
        <v>7.6</v>
      </c>
      <c r="X496">
        <v>5.8</v>
      </c>
      <c r="Y496">
        <v>4.7</v>
      </c>
      <c r="Z496">
        <v>6.7</v>
      </c>
      <c r="AA496">
        <v>3.9</v>
      </c>
      <c r="AB496">
        <v>3</v>
      </c>
      <c r="AC496">
        <v>6.8</v>
      </c>
      <c r="AD496" t="s">
        <v>53</v>
      </c>
      <c r="AE496" t="str">
        <f>IF(AND(data[[#This Row],[Age]]&gt;=18,data[[#This Row],[Age]]&lt;=24),"18-24",IF(AND(data[[#This Row],[Age]]&gt;=25,data[[#This Row],[Age]]&lt;=34),"25-34",IF(AND(data[[#This Row],[Age]]&gt;35,data[[#This Row],[Age]]&lt;=44),"35-44",IF(data[[#This Row],[Age]]&gt;44,"45+",IF(data[[#This Row],[Age]]&lt;18,"below 18 ")))))</f>
        <v>35-44</v>
      </c>
    </row>
    <row r="497" spans="1:31" x14ac:dyDescent="0.25">
      <c r="A497" t="s">
        <v>550</v>
      </c>
      <c r="B497">
        <v>18</v>
      </c>
      <c r="C497" t="s">
        <v>47</v>
      </c>
      <c r="D497" t="s">
        <v>39</v>
      </c>
      <c r="E497" t="s">
        <v>40</v>
      </c>
      <c r="F497" t="s">
        <v>34</v>
      </c>
      <c r="G497">
        <v>1.1000000000000001</v>
      </c>
      <c r="H497">
        <v>1</v>
      </c>
      <c r="I497">
        <v>8</v>
      </c>
      <c r="K497" t="s">
        <v>52</v>
      </c>
      <c r="L497">
        <v>22</v>
      </c>
      <c r="M497">
        <v>4.7</v>
      </c>
      <c r="N497">
        <v>8.1</v>
      </c>
      <c r="O497">
        <v>6.1</v>
      </c>
      <c r="P497">
        <v>4.5999999999999996</v>
      </c>
      <c r="Q497" t="s">
        <v>35</v>
      </c>
      <c r="R497" t="s">
        <v>35</v>
      </c>
      <c r="S497">
        <v>1.2</v>
      </c>
      <c r="T497">
        <v>1.7</v>
      </c>
      <c r="U497">
        <v>4.7</v>
      </c>
      <c r="V497">
        <v>7.7</v>
      </c>
      <c r="W497">
        <v>10</v>
      </c>
      <c r="X497">
        <v>7.5</v>
      </c>
      <c r="Y497">
        <v>3.5</v>
      </c>
      <c r="Z497">
        <v>4.4000000000000004</v>
      </c>
      <c r="AA497">
        <v>5.6</v>
      </c>
      <c r="AB497">
        <v>2.2999999999999998</v>
      </c>
      <c r="AC497">
        <v>9.3000000000000007</v>
      </c>
      <c r="AD497" t="s">
        <v>37</v>
      </c>
      <c r="AE497" t="str">
        <f>IF(AND(data[[#This Row],[Age]]&gt;=18,data[[#This Row],[Age]]&lt;=24),"18-24",IF(AND(data[[#This Row],[Age]]&gt;=25,data[[#This Row],[Age]]&lt;=34),"25-34",IF(AND(data[[#This Row],[Age]]&gt;35,data[[#This Row],[Age]]&lt;=44),"35-44",IF(data[[#This Row],[Age]]&gt;44,"45+",IF(data[[#This Row],[Age]]&lt;18,"below 18 ")))))</f>
        <v>18-24</v>
      </c>
    </row>
    <row r="498" spans="1:31" x14ac:dyDescent="0.25">
      <c r="A498" t="s">
        <v>551</v>
      </c>
      <c r="B498">
        <v>24</v>
      </c>
      <c r="C498" t="s">
        <v>47</v>
      </c>
      <c r="D498" t="s">
        <v>32</v>
      </c>
      <c r="E498" t="s">
        <v>40</v>
      </c>
      <c r="F498" t="s">
        <v>34</v>
      </c>
      <c r="G498">
        <v>5.7</v>
      </c>
      <c r="H498">
        <v>4</v>
      </c>
      <c r="I498">
        <v>3</v>
      </c>
      <c r="J498" t="s">
        <v>35</v>
      </c>
      <c r="K498" t="s">
        <v>62</v>
      </c>
      <c r="L498">
        <v>92</v>
      </c>
      <c r="M498">
        <v>7.4</v>
      </c>
      <c r="N498">
        <v>8.4</v>
      </c>
      <c r="O498">
        <v>0</v>
      </c>
      <c r="P498">
        <v>4.2</v>
      </c>
      <c r="Q498" t="s">
        <v>42</v>
      </c>
      <c r="R498" t="s">
        <v>42</v>
      </c>
      <c r="S498">
        <v>2</v>
      </c>
      <c r="T498">
        <v>3.7</v>
      </c>
      <c r="U498">
        <v>6.5</v>
      </c>
      <c r="V498">
        <v>7.9</v>
      </c>
      <c r="W498">
        <v>3.2</v>
      </c>
      <c r="X498">
        <v>6.2</v>
      </c>
      <c r="Y498">
        <v>6</v>
      </c>
      <c r="Z498">
        <v>8.9</v>
      </c>
      <c r="AA498">
        <v>2.9</v>
      </c>
      <c r="AB498">
        <v>2.5</v>
      </c>
      <c r="AC498">
        <v>8.1999999999999993</v>
      </c>
      <c r="AD498" t="s">
        <v>37</v>
      </c>
      <c r="AE498" t="str">
        <f>IF(AND(data[[#This Row],[Age]]&gt;=18,data[[#This Row],[Age]]&lt;=24),"18-24",IF(AND(data[[#This Row],[Age]]&gt;=25,data[[#This Row],[Age]]&lt;=34),"25-34",IF(AND(data[[#This Row],[Age]]&gt;35,data[[#This Row],[Age]]&lt;=44),"35-44",IF(data[[#This Row],[Age]]&gt;44,"45+",IF(data[[#This Row],[Age]]&lt;18,"below 18 ")))))</f>
        <v>18-24</v>
      </c>
    </row>
    <row r="499" spans="1:31" x14ac:dyDescent="0.25">
      <c r="A499" t="s">
        <v>552</v>
      </c>
      <c r="B499">
        <v>43</v>
      </c>
      <c r="C499" t="s">
        <v>31</v>
      </c>
      <c r="D499" t="s">
        <v>32</v>
      </c>
      <c r="E499" t="s">
        <v>58</v>
      </c>
      <c r="F499" t="s">
        <v>41</v>
      </c>
      <c r="G499">
        <v>4</v>
      </c>
      <c r="H499">
        <v>3</v>
      </c>
      <c r="I499">
        <v>3</v>
      </c>
      <c r="J499" t="s">
        <v>35</v>
      </c>
      <c r="K499" t="s">
        <v>62</v>
      </c>
      <c r="L499">
        <v>50</v>
      </c>
      <c r="M499">
        <v>8.1999999999999993</v>
      </c>
      <c r="N499">
        <v>4.2</v>
      </c>
      <c r="O499">
        <v>0</v>
      </c>
      <c r="P499">
        <v>5.9</v>
      </c>
      <c r="Q499" t="s">
        <v>35</v>
      </c>
      <c r="R499" t="s">
        <v>42</v>
      </c>
      <c r="S499">
        <v>4.2</v>
      </c>
      <c r="T499">
        <v>7.4</v>
      </c>
      <c r="U499">
        <v>9.1999999999999993</v>
      </c>
      <c r="W499">
        <v>8.6</v>
      </c>
      <c r="X499">
        <v>6.8</v>
      </c>
      <c r="Y499">
        <v>5.2</v>
      </c>
      <c r="Z499">
        <v>5.3</v>
      </c>
      <c r="AA499">
        <v>0.4</v>
      </c>
      <c r="AB499">
        <v>4</v>
      </c>
      <c r="AC499">
        <v>7.4</v>
      </c>
      <c r="AD499" t="s">
        <v>37</v>
      </c>
      <c r="AE499" t="str">
        <f>IF(AND(data[[#This Row],[Age]]&gt;=18,data[[#This Row],[Age]]&lt;=24),"18-24",IF(AND(data[[#This Row],[Age]]&gt;=25,data[[#This Row],[Age]]&lt;=34),"25-34",IF(AND(data[[#This Row],[Age]]&gt;35,data[[#This Row],[Age]]&lt;=44),"35-44",IF(data[[#This Row],[Age]]&gt;44,"45+",IF(data[[#This Row],[Age]]&lt;18,"below 18 ")))))</f>
        <v>35-44</v>
      </c>
    </row>
    <row r="500" spans="1:31" x14ac:dyDescent="0.25">
      <c r="A500" t="s">
        <v>553</v>
      </c>
      <c r="B500">
        <v>36</v>
      </c>
      <c r="C500" t="s">
        <v>31</v>
      </c>
      <c r="D500" t="s">
        <v>39</v>
      </c>
      <c r="E500" t="s">
        <v>40</v>
      </c>
      <c r="F500" t="s">
        <v>41</v>
      </c>
      <c r="G500">
        <v>0.9</v>
      </c>
      <c r="H500">
        <v>4</v>
      </c>
      <c r="I500">
        <v>3</v>
      </c>
      <c r="J500" t="s">
        <v>35</v>
      </c>
      <c r="K500" t="s">
        <v>36</v>
      </c>
      <c r="L500">
        <v>73</v>
      </c>
      <c r="M500">
        <v>4.2</v>
      </c>
      <c r="N500">
        <v>9.4</v>
      </c>
      <c r="O500">
        <v>1.3</v>
      </c>
      <c r="P500">
        <v>6.8</v>
      </c>
      <c r="Q500" t="s">
        <v>35</v>
      </c>
      <c r="R500" t="s">
        <v>35</v>
      </c>
      <c r="S500">
        <v>5.9</v>
      </c>
      <c r="T500">
        <v>4.5</v>
      </c>
      <c r="U500">
        <v>0</v>
      </c>
      <c r="V500">
        <v>7.8</v>
      </c>
      <c r="W500">
        <v>6.4</v>
      </c>
      <c r="X500">
        <v>7.3</v>
      </c>
      <c r="Y500">
        <v>4.0999999999999996</v>
      </c>
      <c r="Z500">
        <v>2.2999999999999998</v>
      </c>
      <c r="AA500">
        <v>2</v>
      </c>
      <c r="AC500">
        <v>6.7</v>
      </c>
      <c r="AD500" t="s">
        <v>37</v>
      </c>
      <c r="AE500" t="str">
        <f>IF(AND(data[[#This Row],[Age]]&gt;=18,data[[#This Row],[Age]]&lt;=24),"18-24",IF(AND(data[[#This Row],[Age]]&gt;=25,data[[#This Row],[Age]]&lt;=34),"25-34",IF(AND(data[[#This Row],[Age]]&gt;35,data[[#This Row],[Age]]&lt;=44),"35-44",IF(data[[#This Row],[Age]]&gt;44,"45+",IF(data[[#This Row],[Age]]&lt;18,"below 18 ")))))</f>
        <v>35-44</v>
      </c>
    </row>
    <row r="501" spans="1:31" x14ac:dyDescent="0.25">
      <c r="A501" t="s">
        <v>554</v>
      </c>
      <c r="B501">
        <v>30</v>
      </c>
      <c r="C501" t="s">
        <v>47</v>
      </c>
      <c r="D501" t="s">
        <v>32</v>
      </c>
      <c r="E501" t="s">
        <v>33</v>
      </c>
      <c r="F501" t="s">
        <v>70</v>
      </c>
      <c r="G501">
        <v>4</v>
      </c>
      <c r="H501">
        <v>4</v>
      </c>
      <c r="I501">
        <v>5</v>
      </c>
      <c r="J501" t="s">
        <v>42</v>
      </c>
      <c r="K501" t="s">
        <v>52</v>
      </c>
      <c r="L501">
        <v>75</v>
      </c>
      <c r="M501">
        <v>5</v>
      </c>
      <c r="N501">
        <v>3.4</v>
      </c>
      <c r="O501">
        <v>6.4</v>
      </c>
      <c r="P501">
        <v>4.2</v>
      </c>
      <c r="Q501" t="s">
        <v>42</v>
      </c>
      <c r="R501" t="s">
        <v>35</v>
      </c>
      <c r="S501">
        <v>2</v>
      </c>
      <c r="T501">
        <v>4.5999999999999996</v>
      </c>
      <c r="U501">
        <v>2.6</v>
      </c>
      <c r="W501">
        <v>5.2</v>
      </c>
      <c r="X501">
        <v>7.7</v>
      </c>
      <c r="Y501">
        <v>6.1</v>
      </c>
      <c r="Z501">
        <v>4</v>
      </c>
      <c r="AA501">
        <v>2.2999999999999998</v>
      </c>
      <c r="AC501">
        <v>7.1</v>
      </c>
      <c r="AD501" t="s">
        <v>53</v>
      </c>
      <c r="AE501" t="str">
        <f>IF(AND(data[[#This Row],[Age]]&gt;=18,data[[#This Row],[Age]]&lt;=24),"18-24",IF(AND(data[[#This Row],[Age]]&gt;=25,data[[#This Row],[Age]]&lt;=34),"25-34",IF(AND(data[[#This Row],[Age]]&gt;35,data[[#This Row],[Age]]&lt;=44),"35-44",IF(data[[#This Row],[Age]]&gt;44,"45+",IF(data[[#This Row],[Age]]&lt;18,"below 18 ")))))</f>
        <v>25-34</v>
      </c>
    </row>
    <row r="502" spans="1:31" x14ac:dyDescent="0.25">
      <c r="A502" t="s">
        <v>555</v>
      </c>
      <c r="B502">
        <v>35</v>
      </c>
      <c r="C502" t="s">
        <v>47</v>
      </c>
      <c r="D502" t="s">
        <v>57</v>
      </c>
      <c r="E502" t="s">
        <v>58</v>
      </c>
      <c r="F502" t="s">
        <v>41</v>
      </c>
      <c r="G502">
        <v>5.5</v>
      </c>
      <c r="H502">
        <v>1</v>
      </c>
      <c r="I502">
        <v>4</v>
      </c>
      <c r="J502" t="s">
        <v>42</v>
      </c>
      <c r="K502" t="s">
        <v>36</v>
      </c>
      <c r="L502">
        <v>98</v>
      </c>
      <c r="M502">
        <v>3.6</v>
      </c>
      <c r="N502">
        <v>5.4</v>
      </c>
      <c r="O502">
        <v>5.0999999999999996</v>
      </c>
      <c r="P502">
        <v>6.3</v>
      </c>
      <c r="Q502" t="s">
        <v>42</v>
      </c>
      <c r="R502" t="s">
        <v>35</v>
      </c>
      <c r="S502">
        <v>3.3</v>
      </c>
      <c r="T502">
        <v>4.3</v>
      </c>
      <c r="U502">
        <v>4.3</v>
      </c>
      <c r="V502">
        <v>6.8</v>
      </c>
      <c r="W502">
        <v>3.8</v>
      </c>
      <c r="X502">
        <v>5.6</v>
      </c>
      <c r="Y502">
        <v>6.9</v>
      </c>
      <c r="Z502">
        <v>5.0999999999999996</v>
      </c>
      <c r="AA502">
        <v>2.9</v>
      </c>
      <c r="AB502">
        <v>2.5</v>
      </c>
      <c r="AC502">
        <v>6.3</v>
      </c>
      <c r="AD502" t="s">
        <v>53</v>
      </c>
      <c r="AE502" t="b">
        <f>IF(AND(data[[#This Row],[Age]]&gt;=18,data[[#This Row],[Age]]&lt;=24),"18-24",IF(AND(data[[#This Row],[Age]]&gt;=25,data[[#This Row],[Age]]&lt;=34),"25-34",IF(AND(data[[#This Row],[Age]]&gt;35,data[[#This Row],[Age]]&lt;=44),"35-44",IF(data[[#This Row],[Age]]&gt;44,"45+",IF(data[[#This Row],[Age]]&lt;18,"below 18 ")))))</f>
        <v>0</v>
      </c>
    </row>
    <row r="503" spans="1:31" x14ac:dyDescent="0.25">
      <c r="A503" t="s">
        <v>556</v>
      </c>
      <c r="B503">
        <v>28</v>
      </c>
      <c r="C503" t="s">
        <v>47</v>
      </c>
      <c r="D503" t="s">
        <v>64</v>
      </c>
      <c r="E503" t="s">
        <v>58</v>
      </c>
      <c r="F503" t="s">
        <v>41</v>
      </c>
      <c r="G503">
        <v>8.1999999999999993</v>
      </c>
      <c r="H503">
        <v>5</v>
      </c>
      <c r="I503">
        <v>6</v>
      </c>
      <c r="J503" t="s">
        <v>42</v>
      </c>
      <c r="K503" t="s">
        <v>52</v>
      </c>
      <c r="L503">
        <v>109</v>
      </c>
      <c r="M503">
        <v>4.9000000000000004</v>
      </c>
      <c r="N503">
        <v>5.8</v>
      </c>
      <c r="O503">
        <v>0.5</v>
      </c>
      <c r="P503">
        <v>3</v>
      </c>
      <c r="Q503" t="s">
        <v>35</v>
      </c>
      <c r="R503" t="s">
        <v>35</v>
      </c>
      <c r="S503">
        <v>5.5</v>
      </c>
      <c r="U503">
        <v>10</v>
      </c>
      <c r="V503">
        <v>7.6</v>
      </c>
      <c r="W503">
        <v>9.4</v>
      </c>
      <c r="X503">
        <v>8.1</v>
      </c>
      <c r="Y503">
        <v>7.2</v>
      </c>
      <c r="Z503">
        <v>2.9</v>
      </c>
      <c r="AA503">
        <v>2.9</v>
      </c>
      <c r="AB503">
        <v>3.7</v>
      </c>
      <c r="AC503">
        <v>6.3</v>
      </c>
      <c r="AD503" t="s">
        <v>53</v>
      </c>
      <c r="AE503" t="str">
        <f>IF(AND(data[[#This Row],[Age]]&gt;=18,data[[#This Row],[Age]]&lt;=24),"18-24",IF(AND(data[[#This Row],[Age]]&gt;=25,data[[#This Row],[Age]]&lt;=34),"25-34",IF(AND(data[[#This Row],[Age]]&gt;35,data[[#This Row],[Age]]&lt;=44),"35-44",IF(data[[#This Row],[Age]]&gt;44,"45+",IF(data[[#This Row],[Age]]&lt;18,"below 18 ")))))</f>
        <v>25-34</v>
      </c>
    </row>
    <row r="504" spans="1:31" x14ac:dyDescent="0.25">
      <c r="A504" t="s">
        <v>557</v>
      </c>
      <c r="B504">
        <v>21</v>
      </c>
      <c r="C504" t="s">
        <v>31</v>
      </c>
      <c r="D504" t="s">
        <v>32</v>
      </c>
      <c r="E504" t="s">
        <v>58</v>
      </c>
      <c r="F504" t="s">
        <v>59</v>
      </c>
      <c r="G504">
        <v>3.2</v>
      </c>
      <c r="H504">
        <v>3</v>
      </c>
      <c r="I504">
        <v>5</v>
      </c>
      <c r="J504" t="s">
        <v>42</v>
      </c>
      <c r="K504" t="s">
        <v>36</v>
      </c>
      <c r="L504">
        <v>134</v>
      </c>
      <c r="M504">
        <v>4.2</v>
      </c>
      <c r="N504">
        <v>8.3000000000000007</v>
      </c>
      <c r="O504">
        <v>2.2000000000000002</v>
      </c>
      <c r="P504">
        <v>4.0999999999999996</v>
      </c>
      <c r="Q504" t="s">
        <v>35</v>
      </c>
      <c r="R504" t="s">
        <v>35</v>
      </c>
      <c r="S504">
        <v>7.2</v>
      </c>
      <c r="T504">
        <v>4.3</v>
      </c>
      <c r="U504">
        <v>0.7</v>
      </c>
      <c r="V504">
        <v>6.1</v>
      </c>
      <c r="X504">
        <v>6.7</v>
      </c>
      <c r="Y504">
        <v>6.3</v>
      </c>
      <c r="Z504">
        <v>5.6</v>
      </c>
      <c r="AA504">
        <v>3.8</v>
      </c>
      <c r="AC504">
        <v>6.5</v>
      </c>
      <c r="AD504" t="s">
        <v>45</v>
      </c>
      <c r="AE504" t="str">
        <f>IF(AND(data[[#This Row],[Age]]&gt;=18,data[[#This Row],[Age]]&lt;=24),"18-24",IF(AND(data[[#This Row],[Age]]&gt;=25,data[[#This Row],[Age]]&lt;=34),"25-34",IF(AND(data[[#This Row],[Age]]&gt;35,data[[#This Row],[Age]]&lt;=44),"35-44",IF(data[[#This Row],[Age]]&gt;44,"45+",IF(data[[#This Row],[Age]]&lt;18,"below 18 ")))))</f>
        <v>18-24</v>
      </c>
    </row>
    <row r="505" spans="1:31" x14ac:dyDescent="0.25">
      <c r="A505" t="s">
        <v>558</v>
      </c>
      <c r="B505">
        <v>24</v>
      </c>
      <c r="C505" t="s">
        <v>31</v>
      </c>
      <c r="D505" t="s">
        <v>39</v>
      </c>
      <c r="E505" t="s">
        <v>40</v>
      </c>
      <c r="F505" t="s">
        <v>34</v>
      </c>
      <c r="G505">
        <v>6</v>
      </c>
      <c r="H505">
        <v>2</v>
      </c>
      <c r="I505">
        <v>8</v>
      </c>
      <c r="J505" t="s">
        <v>35</v>
      </c>
      <c r="K505" t="s">
        <v>36</v>
      </c>
      <c r="L505">
        <v>51</v>
      </c>
      <c r="M505">
        <v>9.8000000000000007</v>
      </c>
      <c r="N505">
        <v>2.9</v>
      </c>
      <c r="O505">
        <v>3.5</v>
      </c>
      <c r="P505">
        <v>6.8</v>
      </c>
      <c r="Q505" t="s">
        <v>42</v>
      </c>
      <c r="R505" t="s">
        <v>42</v>
      </c>
      <c r="S505">
        <v>3.8</v>
      </c>
      <c r="T505">
        <v>5.6</v>
      </c>
      <c r="U505">
        <v>7.6</v>
      </c>
      <c r="V505">
        <v>6.5</v>
      </c>
      <c r="W505">
        <v>4.8</v>
      </c>
      <c r="X505">
        <v>7.8</v>
      </c>
      <c r="Y505">
        <v>5.9</v>
      </c>
      <c r="Z505">
        <v>8.3000000000000007</v>
      </c>
      <c r="AA505">
        <v>5.9</v>
      </c>
      <c r="AB505">
        <v>0</v>
      </c>
      <c r="AC505">
        <v>5.7</v>
      </c>
      <c r="AD505" t="s">
        <v>45</v>
      </c>
      <c r="AE505" t="str">
        <f>IF(AND(data[[#This Row],[Age]]&gt;=18,data[[#This Row],[Age]]&lt;=24),"18-24",IF(AND(data[[#This Row],[Age]]&gt;=25,data[[#This Row],[Age]]&lt;=34),"25-34",IF(AND(data[[#This Row],[Age]]&gt;35,data[[#This Row],[Age]]&lt;=44),"35-44",IF(data[[#This Row],[Age]]&gt;44,"45+",IF(data[[#This Row],[Age]]&lt;18,"below 18 ")))))</f>
        <v>18-24</v>
      </c>
    </row>
    <row r="506" spans="1:31" x14ac:dyDescent="0.25">
      <c r="A506" t="s">
        <v>559</v>
      </c>
      <c r="B506">
        <v>24</v>
      </c>
      <c r="C506" t="s">
        <v>47</v>
      </c>
      <c r="D506" t="s">
        <v>39</v>
      </c>
      <c r="E506" t="s">
        <v>40</v>
      </c>
      <c r="F506" t="s">
        <v>70</v>
      </c>
      <c r="G506">
        <v>1.7</v>
      </c>
      <c r="H506">
        <v>1</v>
      </c>
      <c r="I506">
        <v>6</v>
      </c>
      <c r="J506" t="s">
        <v>42</v>
      </c>
      <c r="K506" t="s">
        <v>52</v>
      </c>
      <c r="L506">
        <v>31</v>
      </c>
      <c r="M506">
        <v>1.2</v>
      </c>
      <c r="N506">
        <v>6.5</v>
      </c>
      <c r="O506">
        <v>0.2</v>
      </c>
      <c r="P506">
        <v>7.4</v>
      </c>
      <c r="Q506" t="s">
        <v>42</v>
      </c>
      <c r="R506" t="s">
        <v>42</v>
      </c>
      <c r="S506">
        <v>5.0999999999999996</v>
      </c>
      <c r="T506">
        <v>1.6</v>
      </c>
      <c r="U506">
        <v>4.3</v>
      </c>
      <c r="V506">
        <v>8.1999999999999993</v>
      </c>
      <c r="W506">
        <v>7.2</v>
      </c>
      <c r="X506">
        <v>6.5</v>
      </c>
      <c r="Y506">
        <v>1.8</v>
      </c>
      <c r="Z506">
        <v>7.1</v>
      </c>
      <c r="AA506">
        <v>3.4</v>
      </c>
      <c r="AB506">
        <v>2.9</v>
      </c>
      <c r="AC506">
        <v>8.4</v>
      </c>
      <c r="AD506" t="s">
        <v>37</v>
      </c>
      <c r="AE506" t="str">
        <f>IF(AND(data[[#This Row],[Age]]&gt;=18,data[[#This Row],[Age]]&lt;=24),"18-24",IF(AND(data[[#This Row],[Age]]&gt;=25,data[[#This Row],[Age]]&lt;=34),"25-34",IF(AND(data[[#This Row],[Age]]&gt;35,data[[#This Row],[Age]]&lt;=44),"35-44",IF(data[[#This Row],[Age]]&gt;44,"45+",IF(data[[#This Row],[Age]]&lt;18,"below 18 ")))))</f>
        <v>18-24</v>
      </c>
    </row>
    <row r="507" spans="1:31" x14ac:dyDescent="0.25">
      <c r="A507" t="s">
        <v>560</v>
      </c>
      <c r="B507">
        <v>24</v>
      </c>
      <c r="C507" t="s">
        <v>50</v>
      </c>
      <c r="D507" t="s">
        <v>39</v>
      </c>
      <c r="E507" t="s">
        <v>58</v>
      </c>
      <c r="F507" t="s">
        <v>41</v>
      </c>
      <c r="G507">
        <v>6.7</v>
      </c>
      <c r="H507">
        <v>5</v>
      </c>
      <c r="I507">
        <v>5</v>
      </c>
      <c r="J507" t="s">
        <v>35</v>
      </c>
      <c r="K507" t="s">
        <v>52</v>
      </c>
      <c r="L507">
        <v>102</v>
      </c>
      <c r="M507">
        <v>2.1</v>
      </c>
      <c r="N507">
        <v>7.6</v>
      </c>
      <c r="O507">
        <v>5.3</v>
      </c>
      <c r="P507">
        <v>4.9000000000000004</v>
      </c>
      <c r="Q507" t="s">
        <v>42</v>
      </c>
      <c r="R507" t="s">
        <v>42</v>
      </c>
      <c r="S507">
        <v>6.6</v>
      </c>
      <c r="T507">
        <v>7.6</v>
      </c>
      <c r="U507">
        <v>6.2</v>
      </c>
      <c r="V507">
        <v>5.6</v>
      </c>
      <c r="W507">
        <v>5.5</v>
      </c>
      <c r="Y507">
        <v>1.3</v>
      </c>
      <c r="AA507">
        <v>2.5</v>
      </c>
      <c r="AB507">
        <v>0.7</v>
      </c>
      <c r="AC507">
        <v>5.5</v>
      </c>
      <c r="AD507" t="s">
        <v>43</v>
      </c>
      <c r="AE507" t="str">
        <f>IF(AND(data[[#This Row],[Age]]&gt;=18,data[[#This Row],[Age]]&lt;=24),"18-24",IF(AND(data[[#This Row],[Age]]&gt;=25,data[[#This Row],[Age]]&lt;=34),"25-34",IF(AND(data[[#This Row],[Age]]&gt;35,data[[#This Row],[Age]]&lt;=44),"35-44",IF(data[[#This Row],[Age]]&gt;44,"45+",IF(data[[#This Row],[Age]]&lt;18,"below 18 ")))))</f>
        <v>18-24</v>
      </c>
    </row>
    <row r="508" spans="1:31" x14ac:dyDescent="0.25">
      <c r="A508" t="s">
        <v>561</v>
      </c>
      <c r="B508">
        <v>19</v>
      </c>
      <c r="C508" t="s">
        <v>31</v>
      </c>
      <c r="D508" t="s">
        <v>39</v>
      </c>
      <c r="E508" t="s">
        <v>58</v>
      </c>
      <c r="F508" t="s">
        <v>41</v>
      </c>
      <c r="G508">
        <v>4.7</v>
      </c>
      <c r="H508">
        <v>7</v>
      </c>
      <c r="I508">
        <v>3</v>
      </c>
      <c r="J508" t="s">
        <v>42</v>
      </c>
      <c r="K508" t="s">
        <v>52</v>
      </c>
      <c r="L508">
        <v>61</v>
      </c>
      <c r="M508">
        <v>6.7</v>
      </c>
      <c r="N508">
        <v>5.6</v>
      </c>
      <c r="O508">
        <v>5.5</v>
      </c>
      <c r="P508">
        <v>4.5</v>
      </c>
      <c r="Q508" t="s">
        <v>35</v>
      </c>
      <c r="R508" t="s">
        <v>42</v>
      </c>
      <c r="S508">
        <v>7.6</v>
      </c>
      <c r="T508">
        <v>3.3</v>
      </c>
      <c r="U508">
        <v>7.4</v>
      </c>
      <c r="V508">
        <v>7.8</v>
      </c>
      <c r="W508">
        <v>6.2</v>
      </c>
      <c r="Y508">
        <v>2</v>
      </c>
      <c r="Z508">
        <v>7.6</v>
      </c>
      <c r="AA508">
        <v>4.9000000000000004</v>
      </c>
      <c r="AB508">
        <v>2.2999999999999998</v>
      </c>
      <c r="AC508">
        <v>5.5</v>
      </c>
      <c r="AD508" t="s">
        <v>43</v>
      </c>
      <c r="AE508" t="str">
        <f>IF(AND(data[[#This Row],[Age]]&gt;=18,data[[#This Row],[Age]]&lt;=24),"18-24",IF(AND(data[[#This Row],[Age]]&gt;=25,data[[#This Row],[Age]]&lt;=34),"25-34",IF(AND(data[[#This Row],[Age]]&gt;35,data[[#This Row],[Age]]&lt;=44),"35-44",IF(data[[#This Row],[Age]]&gt;44,"45+",IF(data[[#This Row],[Age]]&lt;18,"below 18 ")))))</f>
        <v>18-24</v>
      </c>
    </row>
    <row r="509" spans="1:31" x14ac:dyDescent="0.25">
      <c r="A509" t="s">
        <v>562</v>
      </c>
      <c r="B509">
        <v>23</v>
      </c>
      <c r="C509" t="s">
        <v>50</v>
      </c>
      <c r="D509" t="s">
        <v>32</v>
      </c>
      <c r="F509" t="s">
        <v>51</v>
      </c>
      <c r="G509">
        <v>7.8</v>
      </c>
      <c r="H509">
        <v>3</v>
      </c>
      <c r="I509">
        <v>5</v>
      </c>
      <c r="J509" t="s">
        <v>42</v>
      </c>
      <c r="K509" t="s">
        <v>52</v>
      </c>
      <c r="L509">
        <v>55</v>
      </c>
      <c r="M509">
        <v>3.2</v>
      </c>
      <c r="N509">
        <v>4.0999999999999996</v>
      </c>
      <c r="O509">
        <v>1.7</v>
      </c>
      <c r="P509">
        <v>7.3</v>
      </c>
      <c r="Q509" t="s">
        <v>42</v>
      </c>
      <c r="R509" t="s">
        <v>35</v>
      </c>
      <c r="S509">
        <v>0</v>
      </c>
      <c r="U509">
        <v>6.6</v>
      </c>
      <c r="V509">
        <v>3.7</v>
      </c>
      <c r="W509">
        <v>4.7</v>
      </c>
      <c r="X509">
        <v>6.1</v>
      </c>
      <c r="Y509">
        <v>8.5</v>
      </c>
      <c r="Z509">
        <v>5.2</v>
      </c>
      <c r="AA509">
        <v>0</v>
      </c>
      <c r="AB509">
        <v>0.6</v>
      </c>
      <c r="AC509">
        <v>5.7</v>
      </c>
      <c r="AD509" t="s">
        <v>53</v>
      </c>
      <c r="AE509" t="str">
        <f>IF(AND(data[[#This Row],[Age]]&gt;=18,data[[#This Row],[Age]]&lt;=24),"18-24",IF(AND(data[[#This Row],[Age]]&gt;=25,data[[#This Row],[Age]]&lt;=34),"25-34",IF(AND(data[[#This Row],[Age]]&gt;35,data[[#This Row],[Age]]&lt;=44),"35-44",IF(data[[#This Row],[Age]]&gt;44,"45+",IF(data[[#This Row],[Age]]&lt;18,"below 18 ")))))</f>
        <v>18-24</v>
      </c>
    </row>
    <row r="510" spans="1:31" x14ac:dyDescent="0.25">
      <c r="A510" t="s">
        <v>563</v>
      </c>
      <c r="B510">
        <v>27</v>
      </c>
      <c r="C510" t="s">
        <v>31</v>
      </c>
      <c r="D510" t="s">
        <v>32</v>
      </c>
      <c r="E510" t="s">
        <v>58</v>
      </c>
      <c r="F510" t="s">
        <v>41</v>
      </c>
      <c r="G510">
        <v>1.7</v>
      </c>
      <c r="H510">
        <v>4</v>
      </c>
      <c r="I510">
        <v>7</v>
      </c>
      <c r="J510" t="s">
        <v>42</v>
      </c>
      <c r="K510" t="s">
        <v>52</v>
      </c>
      <c r="L510">
        <v>48</v>
      </c>
      <c r="M510">
        <v>2.7</v>
      </c>
      <c r="N510">
        <v>6.4</v>
      </c>
      <c r="O510">
        <v>7.7</v>
      </c>
      <c r="P510">
        <v>4.2</v>
      </c>
      <c r="Q510" t="s">
        <v>42</v>
      </c>
      <c r="R510" t="s">
        <v>42</v>
      </c>
      <c r="S510">
        <v>3.8</v>
      </c>
      <c r="T510">
        <v>4</v>
      </c>
      <c r="U510">
        <v>5.8</v>
      </c>
      <c r="V510">
        <v>4.2</v>
      </c>
      <c r="W510">
        <v>9</v>
      </c>
      <c r="X510">
        <v>7.1</v>
      </c>
      <c r="Y510">
        <v>3.2</v>
      </c>
      <c r="Z510">
        <v>6</v>
      </c>
      <c r="AA510">
        <v>4.3</v>
      </c>
      <c r="AB510">
        <v>1.4</v>
      </c>
      <c r="AC510">
        <v>8.4</v>
      </c>
      <c r="AD510" t="s">
        <v>37</v>
      </c>
      <c r="AE510" t="str">
        <f>IF(AND(data[[#This Row],[Age]]&gt;=18,data[[#This Row],[Age]]&lt;=24),"18-24",IF(AND(data[[#This Row],[Age]]&gt;=25,data[[#This Row],[Age]]&lt;=34),"25-34",IF(AND(data[[#This Row],[Age]]&gt;35,data[[#This Row],[Age]]&lt;=44),"35-44",IF(data[[#This Row],[Age]]&gt;44,"45+",IF(data[[#This Row],[Age]]&lt;18,"below 18 ")))))</f>
        <v>25-34</v>
      </c>
    </row>
    <row r="511" spans="1:31" x14ac:dyDescent="0.25">
      <c r="A511" t="s">
        <v>564</v>
      </c>
      <c r="B511">
        <v>17</v>
      </c>
      <c r="C511" t="s">
        <v>47</v>
      </c>
      <c r="D511" t="s">
        <v>39</v>
      </c>
      <c r="E511" t="s">
        <v>58</v>
      </c>
      <c r="F511" t="s">
        <v>70</v>
      </c>
      <c r="G511">
        <v>2.1</v>
      </c>
      <c r="H511">
        <v>6</v>
      </c>
      <c r="I511">
        <v>3</v>
      </c>
      <c r="J511" t="s">
        <v>35</v>
      </c>
      <c r="K511" t="s">
        <v>62</v>
      </c>
      <c r="L511">
        <v>45</v>
      </c>
      <c r="N511">
        <v>4.5999999999999996</v>
      </c>
      <c r="O511">
        <v>5.5</v>
      </c>
      <c r="P511">
        <v>0</v>
      </c>
      <c r="Q511" t="s">
        <v>42</v>
      </c>
      <c r="R511" t="s">
        <v>42</v>
      </c>
      <c r="S511">
        <v>4.0999999999999996</v>
      </c>
      <c r="T511">
        <v>6.8</v>
      </c>
      <c r="U511">
        <v>2.2000000000000002</v>
      </c>
      <c r="V511">
        <v>3.7</v>
      </c>
      <c r="W511">
        <v>6.6</v>
      </c>
      <c r="X511">
        <v>6.9</v>
      </c>
      <c r="Y511">
        <v>5.7</v>
      </c>
      <c r="Z511">
        <v>5.8</v>
      </c>
      <c r="AA511">
        <v>4.7</v>
      </c>
      <c r="AB511">
        <v>4</v>
      </c>
      <c r="AC511">
        <v>8.3000000000000007</v>
      </c>
      <c r="AD511" t="s">
        <v>37</v>
      </c>
      <c r="AE511" t="str">
        <f>IF(AND(data[[#This Row],[Age]]&gt;=18,data[[#This Row],[Age]]&lt;=24),"18-24",IF(AND(data[[#This Row],[Age]]&gt;=25,data[[#This Row],[Age]]&lt;=34),"25-34",IF(AND(data[[#This Row],[Age]]&gt;35,data[[#This Row],[Age]]&lt;=44),"35-44",IF(data[[#This Row],[Age]]&gt;44,"45+",IF(data[[#This Row],[Age]]&lt;18,"below 18 ")))))</f>
        <v xml:space="preserve">below 18 </v>
      </c>
    </row>
    <row r="512" spans="1:31" x14ac:dyDescent="0.25">
      <c r="A512" t="s">
        <v>565</v>
      </c>
      <c r="B512">
        <v>19</v>
      </c>
      <c r="C512" t="s">
        <v>50</v>
      </c>
      <c r="D512" t="s">
        <v>32</v>
      </c>
      <c r="E512" t="s">
        <v>58</v>
      </c>
      <c r="F512" t="s">
        <v>34</v>
      </c>
      <c r="G512">
        <v>0.9</v>
      </c>
      <c r="H512">
        <v>6</v>
      </c>
      <c r="I512">
        <v>5</v>
      </c>
      <c r="J512" t="s">
        <v>42</v>
      </c>
      <c r="K512" t="s">
        <v>52</v>
      </c>
      <c r="L512">
        <v>16</v>
      </c>
      <c r="M512">
        <v>9</v>
      </c>
      <c r="N512">
        <v>3.4</v>
      </c>
      <c r="O512">
        <v>5.8</v>
      </c>
      <c r="P512">
        <v>6.4</v>
      </c>
      <c r="Q512" t="s">
        <v>42</v>
      </c>
      <c r="R512" t="s">
        <v>35</v>
      </c>
      <c r="S512">
        <v>4.3</v>
      </c>
      <c r="T512">
        <v>2.9</v>
      </c>
      <c r="U512">
        <v>5.2</v>
      </c>
      <c r="V512">
        <v>3.3</v>
      </c>
      <c r="W512">
        <v>1.7</v>
      </c>
      <c r="X512">
        <v>6.9</v>
      </c>
      <c r="Y512">
        <v>6.8</v>
      </c>
      <c r="Z512">
        <v>2</v>
      </c>
      <c r="AB512">
        <v>1.8</v>
      </c>
      <c r="AC512">
        <v>5.5</v>
      </c>
      <c r="AD512" t="s">
        <v>45</v>
      </c>
      <c r="AE512" t="str">
        <f>IF(AND(data[[#This Row],[Age]]&gt;=18,data[[#This Row],[Age]]&lt;=24),"18-24",IF(AND(data[[#This Row],[Age]]&gt;=25,data[[#This Row],[Age]]&lt;=34),"25-34",IF(AND(data[[#This Row],[Age]]&gt;35,data[[#This Row],[Age]]&lt;=44),"35-44",IF(data[[#This Row],[Age]]&gt;44,"45+",IF(data[[#This Row],[Age]]&lt;18,"below 18 ")))))</f>
        <v>18-24</v>
      </c>
    </row>
    <row r="513" spans="1:31" x14ac:dyDescent="0.25">
      <c r="A513" t="s">
        <v>566</v>
      </c>
      <c r="B513">
        <v>37</v>
      </c>
      <c r="C513" t="s">
        <v>47</v>
      </c>
      <c r="D513" t="s">
        <v>32</v>
      </c>
      <c r="E513" t="s">
        <v>40</v>
      </c>
      <c r="F513" t="s">
        <v>70</v>
      </c>
      <c r="G513">
        <v>8.1999999999999993</v>
      </c>
      <c r="H513">
        <v>2</v>
      </c>
      <c r="I513">
        <v>5</v>
      </c>
      <c r="J513" t="s">
        <v>35</v>
      </c>
      <c r="K513" t="s">
        <v>36</v>
      </c>
      <c r="L513">
        <v>70</v>
      </c>
      <c r="M513">
        <v>0.7</v>
      </c>
      <c r="N513">
        <v>9.1999999999999993</v>
      </c>
      <c r="O513">
        <v>5.2</v>
      </c>
      <c r="P513">
        <v>4.3</v>
      </c>
      <c r="Q513" t="s">
        <v>35</v>
      </c>
      <c r="R513" t="s">
        <v>35</v>
      </c>
      <c r="S513">
        <v>10</v>
      </c>
      <c r="T513">
        <v>4.2</v>
      </c>
      <c r="U513">
        <v>5.7</v>
      </c>
      <c r="V513">
        <v>3.8</v>
      </c>
      <c r="W513">
        <v>3.4</v>
      </c>
      <c r="X513">
        <v>4.5</v>
      </c>
      <c r="Y513">
        <v>1.3</v>
      </c>
      <c r="Z513">
        <v>6.1</v>
      </c>
      <c r="AA513">
        <v>3.2</v>
      </c>
      <c r="AB513">
        <v>3.3</v>
      </c>
      <c r="AC513">
        <v>6.1</v>
      </c>
      <c r="AD513" t="s">
        <v>45</v>
      </c>
      <c r="AE513" t="str">
        <f>IF(AND(data[[#This Row],[Age]]&gt;=18,data[[#This Row],[Age]]&lt;=24),"18-24",IF(AND(data[[#This Row],[Age]]&gt;=25,data[[#This Row],[Age]]&lt;=34),"25-34",IF(AND(data[[#This Row],[Age]]&gt;35,data[[#This Row],[Age]]&lt;=44),"35-44",IF(data[[#This Row],[Age]]&gt;44,"45+",IF(data[[#This Row],[Age]]&lt;18,"below 18 ")))))</f>
        <v>35-44</v>
      </c>
    </row>
    <row r="514" spans="1:31" x14ac:dyDescent="0.25">
      <c r="A514" t="s">
        <v>567</v>
      </c>
      <c r="B514">
        <v>20</v>
      </c>
      <c r="C514" t="s">
        <v>47</v>
      </c>
      <c r="D514" t="s">
        <v>64</v>
      </c>
      <c r="E514" t="s">
        <v>40</v>
      </c>
      <c r="F514" t="s">
        <v>34</v>
      </c>
      <c r="G514">
        <v>3.5</v>
      </c>
      <c r="H514">
        <v>3</v>
      </c>
      <c r="I514">
        <v>6</v>
      </c>
      <c r="J514" t="s">
        <v>42</v>
      </c>
      <c r="K514" t="s">
        <v>52</v>
      </c>
      <c r="L514">
        <v>112</v>
      </c>
      <c r="M514">
        <v>6.1</v>
      </c>
      <c r="N514">
        <v>2.1</v>
      </c>
      <c r="O514">
        <v>2.6</v>
      </c>
      <c r="P514">
        <v>8.6</v>
      </c>
      <c r="Q514" t="s">
        <v>42</v>
      </c>
      <c r="R514" t="s">
        <v>35</v>
      </c>
      <c r="S514">
        <v>7.6</v>
      </c>
      <c r="T514">
        <v>3.4</v>
      </c>
      <c r="U514">
        <v>4.5</v>
      </c>
      <c r="V514">
        <v>6.8</v>
      </c>
      <c r="W514">
        <v>8.3000000000000007</v>
      </c>
      <c r="X514">
        <v>6.9</v>
      </c>
      <c r="Y514">
        <v>4.5</v>
      </c>
      <c r="Z514">
        <v>5.6</v>
      </c>
      <c r="AA514">
        <v>2.7</v>
      </c>
      <c r="AB514">
        <v>2.4</v>
      </c>
      <c r="AC514">
        <v>7.5</v>
      </c>
      <c r="AD514" t="s">
        <v>37</v>
      </c>
      <c r="AE514" t="str">
        <f>IF(AND(data[[#This Row],[Age]]&gt;=18,data[[#This Row],[Age]]&lt;=24),"18-24",IF(AND(data[[#This Row],[Age]]&gt;=25,data[[#This Row],[Age]]&lt;=34),"25-34",IF(AND(data[[#This Row],[Age]]&gt;35,data[[#This Row],[Age]]&lt;=44),"35-44",IF(data[[#This Row],[Age]]&gt;44,"45+",IF(data[[#This Row],[Age]]&lt;18,"below 18 ")))))</f>
        <v>18-24</v>
      </c>
    </row>
    <row r="515" spans="1:31" x14ac:dyDescent="0.25">
      <c r="A515" t="s">
        <v>568</v>
      </c>
      <c r="B515">
        <v>42</v>
      </c>
      <c r="C515" t="s">
        <v>31</v>
      </c>
      <c r="D515" t="s">
        <v>57</v>
      </c>
      <c r="E515" t="s">
        <v>58</v>
      </c>
      <c r="F515" t="s">
        <v>59</v>
      </c>
      <c r="G515">
        <v>0.7</v>
      </c>
      <c r="H515">
        <v>2</v>
      </c>
      <c r="I515">
        <v>5</v>
      </c>
      <c r="J515" t="s">
        <v>35</v>
      </c>
      <c r="K515" t="s">
        <v>52</v>
      </c>
      <c r="L515">
        <v>62</v>
      </c>
      <c r="M515">
        <v>3.9</v>
      </c>
      <c r="N515">
        <v>5.2</v>
      </c>
      <c r="O515">
        <v>2.7</v>
      </c>
      <c r="P515">
        <v>4.5999999999999996</v>
      </c>
      <c r="Q515" t="s">
        <v>35</v>
      </c>
      <c r="R515" t="s">
        <v>42</v>
      </c>
      <c r="T515">
        <v>5.2</v>
      </c>
      <c r="U515">
        <v>2</v>
      </c>
      <c r="V515">
        <v>1.8</v>
      </c>
      <c r="W515">
        <v>5.2</v>
      </c>
      <c r="X515">
        <v>4.4000000000000004</v>
      </c>
      <c r="Y515">
        <v>4.3</v>
      </c>
      <c r="Z515">
        <v>7</v>
      </c>
      <c r="AA515">
        <v>2.2999999999999998</v>
      </c>
      <c r="AB515">
        <v>3.3</v>
      </c>
      <c r="AC515">
        <v>9</v>
      </c>
      <c r="AD515" t="s">
        <v>37</v>
      </c>
      <c r="AE515" t="str">
        <f>IF(AND(data[[#This Row],[Age]]&gt;=18,data[[#This Row],[Age]]&lt;=24),"18-24",IF(AND(data[[#This Row],[Age]]&gt;=25,data[[#This Row],[Age]]&lt;=34),"25-34",IF(AND(data[[#This Row],[Age]]&gt;35,data[[#This Row],[Age]]&lt;=44),"35-44",IF(data[[#This Row],[Age]]&gt;44,"45+",IF(data[[#This Row],[Age]]&lt;18,"below 18 ")))))</f>
        <v>35-44</v>
      </c>
    </row>
    <row r="516" spans="1:31" x14ac:dyDescent="0.25">
      <c r="A516" t="s">
        <v>569</v>
      </c>
      <c r="B516">
        <v>30</v>
      </c>
      <c r="C516" t="s">
        <v>47</v>
      </c>
      <c r="D516" t="s">
        <v>57</v>
      </c>
      <c r="E516" t="s">
        <v>58</v>
      </c>
      <c r="F516" t="s">
        <v>70</v>
      </c>
      <c r="G516">
        <v>2.9</v>
      </c>
      <c r="H516">
        <v>5</v>
      </c>
      <c r="I516">
        <v>6</v>
      </c>
      <c r="J516" t="s">
        <v>35</v>
      </c>
      <c r="K516" t="s">
        <v>52</v>
      </c>
      <c r="L516">
        <v>42</v>
      </c>
      <c r="M516">
        <v>2.7</v>
      </c>
      <c r="N516">
        <v>5.0999999999999996</v>
      </c>
      <c r="O516">
        <v>1.8</v>
      </c>
      <c r="P516">
        <v>8.4</v>
      </c>
      <c r="Q516" t="s">
        <v>35</v>
      </c>
      <c r="R516" t="s">
        <v>42</v>
      </c>
      <c r="T516">
        <v>3.3</v>
      </c>
      <c r="U516">
        <v>5.6</v>
      </c>
      <c r="V516">
        <v>7.2</v>
      </c>
      <c r="W516">
        <v>8.1999999999999993</v>
      </c>
      <c r="X516">
        <v>5.9</v>
      </c>
      <c r="Y516">
        <v>8.9</v>
      </c>
      <c r="Z516">
        <v>5.2</v>
      </c>
      <c r="AA516">
        <v>6</v>
      </c>
      <c r="AB516">
        <v>4.8</v>
      </c>
      <c r="AC516">
        <v>7.5</v>
      </c>
      <c r="AD516" t="s">
        <v>37</v>
      </c>
      <c r="AE516" t="str">
        <f>IF(AND(data[[#This Row],[Age]]&gt;=18,data[[#This Row],[Age]]&lt;=24),"18-24",IF(AND(data[[#This Row],[Age]]&gt;=25,data[[#This Row],[Age]]&lt;=34),"25-34",IF(AND(data[[#This Row],[Age]]&gt;35,data[[#This Row],[Age]]&lt;=44),"35-44",IF(data[[#This Row],[Age]]&gt;44,"45+",IF(data[[#This Row],[Age]]&lt;18,"below 18 ")))))</f>
        <v>25-34</v>
      </c>
    </row>
    <row r="517" spans="1:31" x14ac:dyDescent="0.25">
      <c r="A517" t="s">
        <v>570</v>
      </c>
      <c r="B517">
        <v>18</v>
      </c>
      <c r="C517" t="s">
        <v>47</v>
      </c>
      <c r="D517" t="s">
        <v>32</v>
      </c>
      <c r="E517" t="s">
        <v>58</v>
      </c>
      <c r="F517" t="s">
        <v>48</v>
      </c>
      <c r="G517">
        <v>6.2</v>
      </c>
      <c r="H517">
        <v>4</v>
      </c>
      <c r="I517">
        <v>5</v>
      </c>
      <c r="J517" t="s">
        <v>42</v>
      </c>
      <c r="K517" t="s">
        <v>52</v>
      </c>
      <c r="L517">
        <v>55</v>
      </c>
      <c r="M517">
        <v>5.3</v>
      </c>
      <c r="N517">
        <v>5</v>
      </c>
      <c r="O517">
        <v>5.4</v>
      </c>
      <c r="P517">
        <v>5.8</v>
      </c>
      <c r="Q517" t="s">
        <v>35</v>
      </c>
      <c r="R517" t="s">
        <v>42</v>
      </c>
      <c r="S517">
        <v>9.4</v>
      </c>
      <c r="T517">
        <v>1</v>
      </c>
      <c r="U517">
        <v>3</v>
      </c>
      <c r="V517">
        <v>6.2</v>
      </c>
      <c r="W517">
        <v>2.1</v>
      </c>
      <c r="X517">
        <v>4.2</v>
      </c>
      <c r="Y517">
        <v>3.9</v>
      </c>
      <c r="Z517">
        <v>8.1999999999999993</v>
      </c>
      <c r="AA517">
        <v>2.2000000000000002</v>
      </c>
      <c r="AB517">
        <v>5.4</v>
      </c>
      <c r="AC517">
        <v>5.3</v>
      </c>
      <c r="AD517" t="s">
        <v>43</v>
      </c>
      <c r="AE517" t="str">
        <f>IF(AND(data[[#This Row],[Age]]&gt;=18,data[[#This Row],[Age]]&lt;=24),"18-24",IF(AND(data[[#This Row],[Age]]&gt;=25,data[[#This Row],[Age]]&lt;=34),"25-34",IF(AND(data[[#This Row],[Age]]&gt;35,data[[#This Row],[Age]]&lt;=44),"35-44",IF(data[[#This Row],[Age]]&gt;44,"45+",IF(data[[#This Row],[Age]]&lt;18,"below 18 ")))))</f>
        <v>18-24</v>
      </c>
    </row>
    <row r="518" spans="1:31" x14ac:dyDescent="0.25">
      <c r="A518" t="s">
        <v>571</v>
      </c>
      <c r="B518">
        <v>20</v>
      </c>
      <c r="C518" t="s">
        <v>47</v>
      </c>
      <c r="D518" t="s">
        <v>64</v>
      </c>
      <c r="E518" t="s">
        <v>33</v>
      </c>
      <c r="F518" t="s">
        <v>70</v>
      </c>
      <c r="G518">
        <v>5.8</v>
      </c>
      <c r="H518">
        <v>1</v>
      </c>
      <c r="I518">
        <v>9</v>
      </c>
      <c r="J518" t="s">
        <v>35</v>
      </c>
      <c r="K518" t="s">
        <v>36</v>
      </c>
      <c r="L518">
        <v>20</v>
      </c>
      <c r="M518">
        <v>2.2999999999999998</v>
      </c>
      <c r="N518">
        <v>6.2</v>
      </c>
      <c r="O518">
        <v>4</v>
      </c>
      <c r="P518">
        <v>6</v>
      </c>
      <c r="Q518" t="s">
        <v>35</v>
      </c>
      <c r="R518" t="s">
        <v>42</v>
      </c>
      <c r="S518">
        <v>5.6</v>
      </c>
      <c r="T518">
        <v>0</v>
      </c>
      <c r="U518">
        <v>6.2</v>
      </c>
      <c r="V518">
        <v>10</v>
      </c>
      <c r="W518">
        <v>6</v>
      </c>
      <c r="X518">
        <v>8</v>
      </c>
      <c r="Y518">
        <v>2.5</v>
      </c>
      <c r="Z518">
        <v>6.4</v>
      </c>
      <c r="AA518">
        <v>2.8</v>
      </c>
      <c r="AB518">
        <v>6.3</v>
      </c>
      <c r="AC518">
        <v>7.8</v>
      </c>
      <c r="AD518" t="s">
        <v>37</v>
      </c>
      <c r="AE518" t="str">
        <f>IF(AND(data[[#This Row],[Age]]&gt;=18,data[[#This Row],[Age]]&lt;=24),"18-24",IF(AND(data[[#This Row],[Age]]&gt;=25,data[[#This Row],[Age]]&lt;=34),"25-34",IF(AND(data[[#This Row],[Age]]&gt;35,data[[#This Row],[Age]]&lt;=44),"35-44",IF(data[[#This Row],[Age]]&gt;44,"45+",IF(data[[#This Row],[Age]]&lt;18,"below 18 ")))))</f>
        <v>18-24</v>
      </c>
    </row>
    <row r="519" spans="1:31" x14ac:dyDescent="0.25">
      <c r="A519" t="s">
        <v>572</v>
      </c>
      <c r="B519">
        <v>33</v>
      </c>
      <c r="C519" t="s">
        <v>47</v>
      </c>
      <c r="E519" t="s">
        <v>58</v>
      </c>
      <c r="F519" t="s">
        <v>41</v>
      </c>
      <c r="G519">
        <v>5.4</v>
      </c>
      <c r="H519">
        <v>1</v>
      </c>
      <c r="I519">
        <v>5</v>
      </c>
      <c r="J519" t="s">
        <v>35</v>
      </c>
      <c r="K519" t="s">
        <v>62</v>
      </c>
      <c r="L519">
        <v>27</v>
      </c>
      <c r="M519">
        <v>7.7</v>
      </c>
      <c r="N519">
        <v>3</v>
      </c>
      <c r="O519">
        <v>7.5</v>
      </c>
      <c r="P519">
        <v>9.8000000000000007</v>
      </c>
      <c r="Q519" t="s">
        <v>35</v>
      </c>
      <c r="R519" t="s">
        <v>35</v>
      </c>
      <c r="S519">
        <v>8.9</v>
      </c>
      <c r="T519">
        <v>2</v>
      </c>
      <c r="U519">
        <v>5.5</v>
      </c>
      <c r="V519">
        <v>5</v>
      </c>
      <c r="W519">
        <v>8.9</v>
      </c>
      <c r="X519">
        <v>8</v>
      </c>
      <c r="Z519">
        <v>8.1999999999999993</v>
      </c>
      <c r="AA519">
        <v>2.8</v>
      </c>
      <c r="AB519">
        <v>6</v>
      </c>
      <c r="AC519">
        <v>7</v>
      </c>
      <c r="AD519" t="s">
        <v>53</v>
      </c>
      <c r="AE519" t="str">
        <f>IF(AND(data[[#This Row],[Age]]&gt;=18,data[[#This Row],[Age]]&lt;=24),"18-24",IF(AND(data[[#This Row],[Age]]&gt;=25,data[[#This Row],[Age]]&lt;=34),"25-34",IF(AND(data[[#This Row],[Age]]&gt;35,data[[#This Row],[Age]]&lt;=44),"35-44",IF(data[[#This Row],[Age]]&gt;44,"45+",IF(data[[#This Row],[Age]]&lt;18,"below 18 ")))))</f>
        <v>25-34</v>
      </c>
    </row>
    <row r="520" spans="1:31" x14ac:dyDescent="0.25">
      <c r="A520" t="s">
        <v>573</v>
      </c>
      <c r="B520">
        <v>37</v>
      </c>
      <c r="D520" t="s">
        <v>39</v>
      </c>
      <c r="E520" t="s">
        <v>33</v>
      </c>
      <c r="F520" t="s">
        <v>41</v>
      </c>
      <c r="G520">
        <v>1.7</v>
      </c>
      <c r="H520">
        <v>3</v>
      </c>
      <c r="I520">
        <v>7</v>
      </c>
      <c r="J520" t="s">
        <v>35</v>
      </c>
      <c r="K520" t="s">
        <v>52</v>
      </c>
      <c r="L520">
        <v>29</v>
      </c>
      <c r="M520">
        <v>9.1</v>
      </c>
      <c r="N520">
        <v>10</v>
      </c>
      <c r="O520">
        <v>5.2</v>
      </c>
      <c r="P520">
        <v>3.9</v>
      </c>
      <c r="Q520" t="s">
        <v>42</v>
      </c>
      <c r="R520" t="s">
        <v>42</v>
      </c>
      <c r="S520">
        <v>4</v>
      </c>
      <c r="T520">
        <v>6.6</v>
      </c>
      <c r="U520">
        <v>4.3</v>
      </c>
      <c r="V520">
        <v>4.2</v>
      </c>
      <c r="W520">
        <v>5.7</v>
      </c>
      <c r="X520">
        <v>7.1</v>
      </c>
      <c r="Y520">
        <v>5.2</v>
      </c>
      <c r="Z520">
        <v>5.4</v>
      </c>
      <c r="AA520">
        <v>2.6</v>
      </c>
      <c r="AB520">
        <v>3.1</v>
      </c>
      <c r="AC520">
        <v>5.9</v>
      </c>
      <c r="AD520" t="s">
        <v>45</v>
      </c>
      <c r="AE520" t="str">
        <f>IF(AND(data[[#This Row],[Age]]&gt;=18,data[[#This Row],[Age]]&lt;=24),"18-24",IF(AND(data[[#This Row],[Age]]&gt;=25,data[[#This Row],[Age]]&lt;=34),"25-34",IF(AND(data[[#This Row],[Age]]&gt;35,data[[#This Row],[Age]]&lt;=44),"35-44",IF(data[[#This Row],[Age]]&gt;44,"45+",IF(data[[#This Row],[Age]]&lt;18,"below 18 ")))))</f>
        <v>35-44</v>
      </c>
    </row>
    <row r="521" spans="1:31" x14ac:dyDescent="0.25">
      <c r="A521" t="s">
        <v>574</v>
      </c>
      <c r="B521">
        <v>29</v>
      </c>
      <c r="C521" t="s">
        <v>47</v>
      </c>
      <c r="D521" t="s">
        <v>39</v>
      </c>
      <c r="E521" t="s">
        <v>58</v>
      </c>
      <c r="F521" t="s">
        <v>41</v>
      </c>
      <c r="G521">
        <v>4.0999999999999996</v>
      </c>
      <c r="H521">
        <v>5</v>
      </c>
      <c r="I521">
        <v>6</v>
      </c>
      <c r="J521" t="s">
        <v>42</v>
      </c>
      <c r="K521" t="s">
        <v>36</v>
      </c>
      <c r="L521">
        <v>67</v>
      </c>
      <c r="M521">
        <v>8.5</v>
      </c>
      <c r="N521">
        <v>1.9</v>
      </c>
      <c r="O521">
        <v>1.7</v>
      </c>
      <c r="P521">
        <v>7.2</v>
      </c>
      <c r="Q521" t="s">
        <v>35</v>
      </c>
      <c r="R521" t="s">
        <v>42</v>
      </c>
      <c r="S521">
        <v>9.5</v>
      </c>
      <c r="T521">
        <v>1.4</v>
      </c>
      <c r="U521">
        <v>2.5</v>
      </c>
      <c r="V521">
        <v>1.1000000000000001</v>
      </c>
      <c r="W521">
        <v>4.3</v>
      </c>
      <c r="X521">
        <v>9.3000000000000007</v>
      </c>
      <c r="Y521">
        <v>4.3</v>
      </c>
      <c r="Z521">
        <v>7.7</v>
      </c>
      <c r="AA521">
        <v>1.8</v>
      </c>
      <c r="AB521">
        <v>3.4</v>
      </c>
      <c r="AC521">
        <v>4.5999999999999996</v>
      </c>
      <c r="AD521" t="s">
        <v>43</v>
      </c>
      <c r="AE521" t="str">
        <f>IF(AND(data[[#This Row],[Age]]&gt;=18,data[[#This Row],[Age]]&lt;=24),"18-24",IF(AND(data[[#This Row],[Age]]&gt;=25,data[[#This Row],[Age]]&lt;=34),"25-34",IF(AND(data[[#This Row],[Age]]&gt;35,data[[#This Row],[Age]]&lt;=44),"35-44",IF(data[[#This Row],[Age]]&gt;44,"45+",IF(data[[#This Row],[Age]]&lt;18,"below 18 ")))))</f>
        <v>25-34</v>
      </c>
    </row>
    <row r="522" spans="1:31" x14ac:dyDescent="0.25">
      <c r="A522" t="s">
        <v>575</v>
      </c>
      <c r="B522">
        <v>29</v>
      </c>
      <c r="C522" t="s">
        <v>47</v>
      </c>
      <c r="D522" t="s">
        <v>32</v>
      </c>
      <c r="E522" t="s">
        <v>58</v>
      </c>
      <c r="F522" t="s">
        <v>34</v>
      </c>
      <c r="G522">
        <v>0.5</v>
      </c>
      <c r="H522">
        <v>3</v>
      </c>
      <c r="I522">
        <v>2</v>
      </c>
      <c r="J522" t="s">
        <v>35</v>
      </c>
      <c r="K522" t="s">
        <v>62</v>
      </c>
      <c r="L522">
        <v>55</v>
      </c>
      <c r="M522">
        <v>4.7</v>
      </c>
      <c r="N522">
        <v>5.5</v>
      </c>
      <c r="O522">
        <v>6.1</v>
      </c>
      <c r="P522">
        <v>6</v>
      </c>
      <c r="Q522" t="s">
        <v>35</v>
      </c>
      <c r="R522" t="s">
        <v>35</v>
      </c>
      <c r="S522">
        <v>6.9</v>
      </c>
      <c r="T522">
        <v>5.2</v>
      </c>
      <c r="U522">
        <v>3.3</v>
      </c>
      <c r="V522">
        <v>7.4</v>
      </c>
      <c r="W522">
        <v>3.3</v>
      </c>
      <c r="X522">
        <v>7.1</v>
      </c>
      <c r="Y522">
        <v>6</v>
      </c>
      <c r="Z522">
        <v>6</v>
      </c>
      <c r="AA522">
        <v>4.4000000000000004</v>
      </c>
      <c r="AB522">
        <v>3.6</v>
      </c>
      <c r="AC522">
        <v>8</v>
      </c>
      <c r="AD522" t="s">
        <v>37</v>
      </c>
      <c r="AE522" t="str">
        <f>IF(AND(data[[#This Row],[Age]]&gt;=18,data[[#This Row],[Age]]&lt;=24),"18-24",IF(AND(data[[#This Row],[Age]]&gt;=25,data[[#This Row],[Age]]&lt;=34),"25-34",IF(AND(data[[#This Row],[Age]]&gt;35,data[[#This Row],[Age]]&lt;=44),"35-44",IF(data[[#This Row],[Age]]&gt;44,"45+",IF(data[[#This Row],[Age]]&lt;18,"below 18 ")))))</f>
        <v>25-34</v>
      </c>
    </row>
    <row r="523" spans="1:31" x14ac:dyDescent="0.25">
      <c r="A523" t="s">
        <v>576</v>
      </c>
      <c r="B523">
        <v>19</v>
      </c>
      <c r="C523" t="s">
        <v>47</v>
      </c>
      <c r="D523" t="s">
        <v>32</v>
      </c>
      <c r="E523" t="s">
        <v>58</v>
      </c>
      <c r="F523" t="s">
        <v>59</v>
      </c>
      <c r="G523">
        <v>1.3</v>
      </c>
      <c r="H523">
        <v>3</v>
      </c>
      <c r="I523">
        <v>5</v>
      </c>
      <c r="J523" t="s">
        <v>42</v>
      </c>
      <c r="K523" t="s">
        <v>62</v>
      </c>
      <c r="L523">
        <v>51</v>
      </c>
      <c r="M523">
        <v>6.7</v>
      </c>
      <c r="N523">
        <v>4.2</v>
      </c>
      <c r="O523">
        <v>2.9</v>
      </c>
      <c r="P523">
        <v>2.8</v>
      </c>
      <c r="Q523" t="s">
        <v>42</v>
      </c>
      <c r="R523" t="s">
        <v>42</v>
      </c>
      <c r="S523">
        <v>3.6</v>
      </c>
      <c r="T523">
        <v>6.3</v>
      </c>
      <c r="U523">
        <v>6.6</v>
      </c>
      <c r="V523">
        <v>5</v>
      </c>
      <c r="W523">
        <v>9.9</v>
      </c>
      <c r="X523">
        <v>6.4</v>
      </c>
      <c r="Y523">
        <v>6.6</v>
      </c>
      <c r="Z523">
        <v>9.3000000000000007</v>
      </c>
      <c r="AA523">
        <v>3.5</v>
      </c>
      <c r="AB523">
        <v>0</v>
      </c>
      <c r="AC523">
        <v>8.8000000000000007</v>
      </c>
      <c r="AD523" t="s">
        <v>37</v>
      </c>
      <c r="AE523" t="str">
        <f>IF(AND(data[[#This Row],[Age]]&gt;=18,data[[#This Row],[Age]]&lt;=24),"18-24",IF(AND(data[[#This Row],[Age]]&gt;=25,data[[#This Row],[Age]]&lt;=34),"25-34",IF(AND(data[[#This Row],[Age]]&gt;35,data[[#This Row],[Age]]&lt;=44),"35-44",IF(data[[#This Row],[Age]]&gt;44,"45+",IF(data[[#This Row],[Age]]&lt;18,"below 18 ")))))</f>
        <v>18-24</v>
      </c>
    </row>
    <row r="524" spans="1:31" x14ac:dyDescent="0.25">
      <c r="A524" t="s">
        <v>577</v>
      </c>
      <c r="B524">
        <v>34</v>
      </c>
      <c r="C524" t="s">
        <v>31</v>
      </c>
      <c r="D524" t="s">
        <v>32</v>
      </c>
      <c r="E524" t="s">
        <v>40</v>
      </c>
      <c r="F524" t="s">
        <v>51</v>
      </c>
      <c r="G524">
        <v>5.7</v>
      </c>
      <c r="H524">
        <v>5</v>
      </c>
      <c r="I524">
        <v>5</v>
      </c>
      <c r="J524" t="s">
        <v>35</v>
      </c>
      <c r="K524" t="s">
        <v>62</v>
      </c>
      <c r="L524">
        <v>61</v>
      </c>
      <c r="M524">
        <v>7.9</v>
      </c>
      <c r="N524">
        <v>4.9000000000000004</v>
      </c>
      <c r="O524">
        <v>5.2</v>
      </c>
      <c r="P524">
        <v>3.4</v>
      </c>
      <c r="Q524" t="s">
        <v>42</v>
      </c>
      <c r="R524" t="s">
        <v>42</v>
      </c>
      <c r="S524">
        <v>1.2</v>
      </c>
      <c r="T524">
        <v>3.5</v>
      </c>
      <c r="U524">
        <v>6.5</v>
      </c>
      <c r="V524">
        <v>4.5999999999999996</v>
      </c>
      <c r="W524">
        <v>3</v>
      </c>
      <c r="X524">
        <v>6.2</v>
      </c>
      <c r="Z524">
        <v>0</v>
      </c>
      <c r="AA524">
        <v>0.1</v>
      </c>
      <c r="AB524">
        <v>2.2999999999999998</v>
      </c>
      <c r="AC524">
        <v>4</v>
      </c>
      <c r="AD524" t="s">
        <v>43</v>
      </c>
      <c r="AE524" t="str">
        <f>IF(AND(data[[#This Row],[Age]]&gt;=18,data[[#This Row],[Age]]&lt;=24),"18-24",IF(AND(data[[#This Row],[Age]]&gt;=25,data[[#This Row],[Age]]&lt;=34),"25-34",IF(AND(data[[#This Row],[Age]]&gt;35,data[[#This Row],[Age]]&lt;=44),"35-44",IF(data[[#This Row],[Age]]&gt;44,"45+",IF(data[[#This Row],[Age]]&lt;18,"below 18 ")))))</f>
        <v>25-34</v>
      </c>
    </row>
    <row r="525" spans="1:31" x14ac:dyDescent="0.25">
      <c r="A525" t="s">
        <v>578</v>
      </c>
      <c r="B525">
        <v>33</v>
      </c>
      <c r="E525" t="s">
        <v>58</v>
      </c>
      <c r="F525" t="s">
        <v>41</v>
      </c>
      <c r="G525">
        <v>6.3</v>
      </c>
      <c r="H525">
        <v>1</v>
      </c>
      <c r="I525">
        <v>3</v>
      </c>
      <c r="J525" t="s">
        <v>35</v>
      </c>
      <c r="K525" t="s">
        <v>36</v>
      </c>
      <c r="L525">
        <v>67</v>
      </c>
      <c r="M525">
        <v>6.1</v>
      </c>
      <c r="N525">
        <v>3.3</v>
      </c>
      <c r="O525">
        <v>1.7</v>
      </c>
      <c r="P525">
        <v>5.5</v>
      </c>
      <c r="Q525" t="s">
        <v>35</v>
      </c>
      <c r="R525" t="s">
        <v>35</v>
      </c>
      <c r="S525">
        <v>4</v>
      </c>
      <c r="T525">
        <v>6.9</v>
      </c>
      <c r="U525">
        <v>7.5</v>
      </c>
      <c r="V525">
        <v>6.3</v>
      </c>
      <c r="W525">
        <v>4.8</v>
      </c>
      <c r="X525">
        <v>7.8</v>
      </c>
      <c r="Y525">
        <v>4.2</v>
      </c>
      <c r="Z525">
        <v>4.7</v>
      </c>
      <c r="AA525">
        <v>4.9000000000000004</v>
      </c>
      <c r="AB525">
        <v>6.6</v>
      </c>
      <c r="AC525">
        <v>7.2</v>
      </c>
      <c r="AD525" t="s">
        <v>53</v>
      </c>
      <c r="AE525" t="str">
        <f>IF(AND(data[[#This Row],[Age]]&gt;=18,data[[#This Row],[Age]]&lt;=24),"18-24",IF(AND(data[[#This Row],[Age]]&gt;=25,data[[#This Row],[Age]]&lt;=34),"25-34",IF(AND(data[[#This Row],[Age]]&gt;35,data[[#This Row],[Age]]&lt;=44),"35-44",IF(data[[#This Row],[Age]]&gt;44,"45+",IF(data[[#This Row],[Age]]&lt;18,"below 18 ")))))</f>
        <v>25-34</v>
      </c>
    </row>
    <row r="526" spans="1:31" x14ac:dyDescent="0.25">
      <c r="A526" t="s">
        <v>579</v>
      </c>
      <c r="B526">
        <v>27</v>
      </c>
      <c r="C526" t="s">
        <v>31</v>
      </c>
      <c r="D526" t="s">
        <v>32</v>
      </c>
      <c r="E526" t="s">
        <v>58</v>
      </c>
      <c r="F526" t="s">
        <v>59</v>
      </c>
      <c r="G526">
        <v>4</v>
      </c>
      <c r="H526">
        <v>4</v>
      </c>
      <c r="I526">
        <v>4</v>
      </c>
      <c r="J526" t="s">
        <v>35</v>
      </c>
      <c r="K526" t="s">
        <v>52</v>
      </c>
      <c r="L526">
        <v>53</v>
      </c>
      <c r="M526">
        <v>3.7</v>
      </c>
      <c r="N526">
        <v>0</v>
      </c>
      <c r="O526">
        <v>6.7</v>
      </c>
      <c r="P526">
        <v>8.1999999999999993</v>
      </c>
      <c r="Q526" t="s">
        <v>35</v>
      </c>
      <c r="R526" t="s">
        <v>42</v>
      </c>
      <c r="S526">
        <v>8.1</v>
      </c>
      <c r="T526">
        <v>8.3000000000000007</v>
      </c>
      <c r="U526">
        <v>3.1</v>
      </c>
      <c r="V526">
        <v>2.5</v>
      </c>
      <c r="W526">
        <v>5.3</v>
      </c>
      <c r="X526">
        <v>10</v>
      </c>
      <c r="Y526">
        <v>3.8</v>
      </c>
      <c r="Z526">
        <v>3.2</v>
      </c>
      <c r="AA526">
        <v>3.1</v>
      </c>
      <c r="AB526">
        <v>2.2000000000000002</v>
      </c>
      <c r="AC526">
        <v>7.1</v>
      </c>
      <c r="AD526" t="s">
        <v>53</v>
      </c>
      <c r="AE526" t="str">
        <f>IF(AND(data[[#This Row],[Age]]&gt;=18,data[[#This Row],[Age]]&lt;=24),"18-24",IF(AND(data[[#This Row],[Age]]&gt;=25,data[[#This Row],[Age]]&lt;=34),"25-34",IF(AND(data[[#This Row],[Age]]&gt;35,data[[#This Row],[Age]]&lt;=44),"35-44",IF(data[[#This Row],[Age]]&gt;44,"45+",IF(data[[#This Row],[Age]]&lt;18,"below 18 ")))))</f>
        <v>25-34</v>
      </c>
    </row>
    <row r="527" spans="1:31" x14ac:dyDescent="0.25">
      <c r="A527" t="s">
        <v>580</v>
      </c>
      <c r="B527">
        <v>20</v>
      </c>
      <c r="C527" t="s">
        <v>47</v>
      </c>
      <c r="D527" t="s">
        <v>32</v>
      </c>
      <c r="E527" t="s">
        <v>33</v>
      </c>
      <c r="F527" t="s">
        <v>59</v>
      </c>
      <c r="G527">
        <v>0.6</v>
      </c>
      <c r="H527">
        <v>3</v>
      </c>
      <c r="I527">
        <v>3</v>
      </c>
      <c r="J527" t="s">
        <v>42</v>
      </c>
      <c r="K527" t="s">
        <v>36</v>
      </c>
      <c r="L527">
        <v>18</v>
      </c>
      <c r="M527">
        <v>4.5999999999999996</v>
      </c>
      <c r="N527">
        <v>7.4</v>
      </c>
      <c r="O527">
        <v>6.7</v>
      </c>
      <c r="P527">
        <v>5.9</v>
      </c>
      <c r="Q527" t="s">
        <v>35</v>
      </c>
      <c r="R527" t="s">
        <v>35</v>
      </c>
      <c r="S527">
        <v>1</v>
      </c>
      <c r="T527">
        <v>3.3</v>
      </c>
      <c r="U527">
        <v>6</v>
      </c>
      <c r="V527">
        <v>2.9</v>
      </c>
      <c r="W527">
        <v>4.3</v>
      </c>
      <c r="X527">
        <v>7.2</v>
      </c>
      <c r="Y527">
        <v>2.2999999999999998</v>
      </c>
      <c r="Z527">
        <v>4.0999999999999996</v>
      </c>
      <c r="AA527">
        <v>5.2</v>
      </c>
      <c r="AB527">
        <v>0</v>
      </c>
      <c r="AC527">
        <v>7.3</v>
      </c>
      <c r="AD527" t="s">
        <v>53</v>
      </c>
      <c r="AE527" t="str">
        <f>IF(AND(data[[#This Row],[Age]]&gt;=18,data[[#This Row],[Age]]&lt;=24),"18-24",IF(AND(data[[#This Row],[Age]]&gt;=25,data[[#This Row],[Age]]&lt;=34),"25-34",IF(AND(data[[#This Row],[Age]]&gt;35,data[[#This Row],[Age]]&lt;=44),"35-44",IF(data[[#This Row],[Age]]&gt;44,"45+",IF(data[[#This Row],[Age]]&lt;18,"below 18 ")))))</f>
        <v>18-24</v>
      </c>
    </row>
    <row r="528" spans="1:31" x14ac:dyDescent="0.25">
      <c r="A528" t="s">
        <v>581</v>
      </c>
      <c r="B528">
        <v>40</v>
      </c>
      <c r="C528" t="s">
        <v>31</v>
      </c>
      <c r="F528" t="s">
        <v>34</v>
      </c>
      <c r="G528">
        <v>2.4</v>
      </c>
      <c r="H528">
        <v>6</v>
      </c>
      <c r="I528">
        <v>4</v>
      </c>
      <c r="J528" t="s">
        <v>35</v>
      </c>
      <c r="K528" t="s">
        <v>36</v>
      </c>
      <c r="L528">
        <v>11</v>
      </c>
      <c r="M528">
        <v>7</v>
      </c>
      <c r="N528">
        <v>5.9</v>
      </c>
      <c r="O528">
        <v>1.6</v>
      </c>
      <c r="P528">
        <v>3.7</v>
      </c>
      <c r="Q528" t="s">
        <v>42</v>
      </c>
      <c r="R528" t="s">
        <v>35</v>
      </c>
      <c r="S528">
        <v>5.2</v>
      </c>
      <c r="T528">
        <v>2.2000000000000002</v>
      </c>
      <c r="U528">
        <v>2.9</v>
      </c>
      <c r="V528">
        <v>7.3</v>
      </c>
      <c r="W528">
        <v>5.4</v>
      </c>
      <c r="X528">
        <v>6.1</v>
      </c>
      <c r="Y528">
        <v>2.5</v>
      </c>
      <c r="Z528">
        <v>8.1999999999999993</v>
      </c>
      <c r="AA528">
        <v>4.3</v>
      </c>
      <c r="AB528">
        <v>0.9</v>
      </c>
      <c r="AC528">
        <v>7.7</v>
      </c>
      <c r="AD528" t="s">
        <v>37</v>
      </c>
      <c r="AE528" t="str">
        <f>IF(AND(data[[#This Row],[Age]]&gt;=18,data[[#This Row],[Age]]&lt;=24),"18-24",IF(AND(data[[#This Row],[Age]]&gt;=25,data[[#This Row],[Age]]&lt;=34),"25-34",IF(AND(data[[#This Row],[Age]]&gt;35,data[[#This Row],[Age]]&lt;=44),"35-44",IF(data[[#This Row],[Age]]&gt;44,"45+",IF(data[[#This Row],[Age]]&lt;18,"below 18 ")))))</f>
        <v>35-44</v>
      </c>
    </row>
    <row r="529" spans="1:31" x14ac:dyDescent="0.25">
      <c r="A529" t="s">
        <v>582</v>
      </c>
      <c r="B529">
        <v>29</v>
      </c>
      <c r="C529" t="s">
        <v>31</v>
      </c>
      <c r="D529" t="s">
        <v>39</v>
      </c>
      <c r="E529" t="s">
        <v>58</v>
      </c>
      <c r="F529" t="s">
        <v>70</v>
      </c>
      <c r="G529">
        <v>3.7</v>
      </c>
      <c r="H529">
        <v>4</v>
      </c>
      <c r="I529">
        <v>7</v>
      </c>
      <c r="J529" t="s">
        <v>35</v>
      </c>
      <c r="K529" t="s">
        <v>36</v>
      </c>
      <c r="L529">
        <v>35</v>
      </c>
      <c r="M529">
        <v>6.5</v>
      </c>
      <c r="N529">
        <v>5.5</v>
      </c>
      <c r="O529">
        <v>8.1</v>
      </c>
      <c r="P529">
        <v>6.4</v>
      </c>
      <c r="Q529" t="s">
        <v>42</v>
      </c>
      <c r="R529" t="s">
        <v>42</v>
      </c>
      <c r="S529">
        <v>8.6999999999999993</v>
      </c>
      <c r="T529">
        <v>2.8</v>
      </c>
      <c r="U529">
        <v>6.2</v>
      </c>
      <c r="V529">
        <v>4.5</v>
      </c>
      <c r="W529">
        <v>2.7</v>
      </c>
      <c r="X529">
        <v>4.5</v>
      </c>
      <c r="Y529">
        <v>1.7</v>
      </c>
      <c r="Z529">
        <v>5.3</v>
      </c>
      <c r="AA529">
        <v>1</v>
      </c>
      <c r="AC529">
        <v>5.8</v>
      </c>
      <c r="AD529" t="s">
        <v>53</v>
      </c>
      <c r="AE529" t="str">
        <f>IF(AND(data[[#This Row],[Age]]&gt;=18,data[[#This Row],[Age]]&lt;=24),"18-24",IF(AND(data[[#This Row],[Age]]&gt;=25,data[[#This Row],[Age]]&lt;=34),"25-34",IF(AND(data[[#This Row],[Age]]&gt;35,data[[#This Row],[Age]]&lt;=44),"35-44",IF(data[[#This Row],[Age]]&gt;44,"45+",IF(data[[#This Row],[Age]]&lt;18,"below 18 ")))))</f>
        <v>25-34</v>
      </c>
    </row>
    <row r="530" spans="1:31" x14ac:dyDescent="0.25">
      <c r="A530" t="s">
        <v>583</v>
      </c>
      <c r="B530">
        <v>38</v>
      </c>
      <c r="C530" t="s">
        <v>31</v>
      </c>
      <c r="D530" t="s">
        <v>32</v>
      </c>
      <c r="E530" t="s">
        <v>40</v>
      </c>
      <c r="F530" t="s">
        <v>41</v>
      </c>
      <c r="G530">
        <v>7.8</v>
      </c>
      <c r="H530">
        <v>1</v>
      </c>
      <c r="I530">
        <v>1</v>
      </c>
      <c r="J530" t="s">
        <v>35</v>
      </c>
      <c r="K530" t="s">
        <v>36</v>
      </c>
      <c r="L530">
        <v>21</v>
      </c>
      <c r="M530">
        <v>4.2</v>
      </c>
      <c r="N530">
        <v>4.9000000000000004</v>
      </c>
      <c r="O530">
        <v>5.8</v>
      </c>
      <c r="P530">
        <v>5</v>
      </c>
      <c r="Q530" t="s">
        <v>42</v>
      </c>
      <c r="R530" t="s">
        <v>42</v>
      </c>
      <c r="S530">
        <v>7.3</v>
      </c>
      <c r="T530">
        <v>4.7</v>
      </c>
      <c r="U530">
        <v>5.2</v>
      </c>
      <c r="V530">
        <v>4.9000000000000004</v>
      </c>
      <c r="W530">
        <v>5.5</v>
      </c>
      <c r="X530">
        <v>5</v>
      </c>
      <c r="Y530">
        <v>3.6</v>
      </c>
      <c r="Z530">
        <v>4.3</v>
      </c>
      <c r="AA530">
        <v>0.9</v>
      </c>
      <c r="AB530">
        <v>4.0999999999999996</v>
      </c>
      <c r="AC530">
        <v>5.5</v>
      </c>
      <c r="AD530" t="s">
        <v>45</v>
      </c>
      <c r="AE530" t="str">
        <f>IF(AND(data[[#This Row],[Age]]&gt;=18,data[[#This Row],[Age]]&lt;=24),"18-24",IF(AND(data[[#This Row],[Age]]&gt;=25,data[[#This Row],[Age]]&lt;=34),"25-34",IF(AND(data[[#This Row],[Age]]&gt;35,data[[#This Row],[Age]]&lt;=44),"35-44",IF(data[[#This Row],[Age]]&gt;44,"45+",IF(data[[#This Row],[Age]]&lt;18,"below 18 ")))))</f>
        <v>35-44</v>
      </c>
    </row>
    <row r="531" spans="1:31" x14ac:dyDescent="0.25">
      <c r="A531" t="s">
        <v>584</v>
      </c>
      <c r="B531">
        <v>20</v>
      </c>
      <c r="C531" t="s">
        <v>31</v>
      </c>
      <c r="E531" t="s">
        <v>58</v>
      </c>
      <c r="F531" t="s">
        <v>59</v>
      </c>
      <c r="G531">
        <v>3.1</v>
      </c>
      <c r="H531">
        <v>2</v>
      </c>
      <c r="I531">
        <v>7</v>
      </c>
      <c r="J531" t="s">
        <v>35</v>
      </c>
      <c r="K531" t="s">
        <v>36</v>
      </c>
      <c r="L531">
        <v>126</v>
      </c>
      <c r="M531">
        <v>8.4</v>
      </c>
      <c r="N531">
        <v>6.8</v>
      </c>
      <c r="O531">
        <v>5.3</v>
      </c>
      <c r="P531">
        <v>1.3</v>
      </c>
      <c r="Q531" t="s">
        <v>35</v>
      </c>
      <c r="R531" t="s">
        <v>35</v>
      </c>
      <c r="S531">
        <v>8.5</v>
      </c>
      <c r="T531">
        <v>2.5</v>
      </c>
      <c r="U531">
        <v>5.9</v>
      </c>
      <c r="V531">
        <v>5.2</v>
      </c>
      <c r="W531">
        <v>5.0999999999999996</v>
      </c>
      <c r="X531">
        <v>3.8</v>
      </c>
      <c r="Y531">
        <v>3.5</v>
      </c>
      <c r="Z531">
        <v>3</v>
      </c>
      <c r="AA531">
        <v>2.5</v>
      </c>
      <c r="AB531">
        <v>3.2</v>
      </c>
      <c r="AC531">
        <v>5.8</v>
      </c>
      <c r="AD531" t="s">
        <v>45</v>
      </c>
      <c r="AE531" t="str">
        <f>IF(AND(data[[#This Row],[Age]]&gt;=18,data[[#This Row],[Age]]&lt;=24),"18-24",IF(AND(data[[#This Row],[Age]]&gt;=25,data[[#This Row],[Age]]&lt;=34),"25-34",IF(AND(data[[#This Row],[Age]]&gt;35,data[[#This Row],[Age]]&lt;=44),"35-44",IF(data[[#This Row],[Age]]&gt;44,"45+",IF(data[[#This Row],[Age]]&lt;18,"below 18 ")))))</f>
        <v>18-24</v>
      </c>
    </row>
    <row r="532" spans="1:31" x14ac:dyDescent="0.25">
      <c r="A532" t="s">
        <v>585</v>
      </c>
      <c r="B532">
        <v>39</v>
      </c>
      <c r="C532" t="s">
        <v>47</v>
      </c>
      <c r="D532" t="s">
        <v>32</v>
      </c>
      <c r="E532" t="s">
        <v>40</v>
      </c>
      <c r="F532" t="s">
        <v>41</v>
      </c>
      <c r="G532">
        <v>1.4</v>
      </c>
      <c r="H532">
        <v>2</v>
      </c>
      <c r="I532">
        <v>3</v>
      </c>
      <c r="J532" t="s">
        <v>42</v>
      </c>
      <c r="K532" t="s">
        <v>36</v>
      </c>
      <c r="L532">
        <v>63</v>
      </c>
      <c r="M532">
        <v>6.9</v>
      </c>
      <c r="N532">
        <v>5.0999999999999996</v>
      </c>
      <c r="O532">
        <v>7.2</v>
      </c>
      <c r="P532">
        <v>5</v>
      </c>
      <c r="Q532" t="s">
        <v>35</v>
      </c>
      <c r="R532" t="s">
        <v>42</v>
      </c>
      <c r="S532">
        <v>3.9</v>
      </c>
      <c r="T532">
        <v>0.8</v>
      </c>
      <c r="U532">
        <v>0.1</v>
      </c>
      <c r="V532">
        <v>7.9</v>
      </c>
      <c r="W532">
        <v>7.4</v>
      </c>
      <c r="X532">
        <v>6.1</v>
      </c>
      <c r="Y532">
        <v>2.6</v>
      </c>
      <c r="Z532">
        <v>5.7</v>
      </c>
      <c r="AA532">
        <v>1.3</v>
      </c>
      <c r="AB532">
        <v>5.0999999999999996</v>
      </c>
      <c r="AC532">
        <v>6.9</v>
      </c>
      <c r="AD532" t="s">
        <v>53</v>
      </c>
      <c r="AE532" t="str">
        <f>IF(AND(data[[#This Row],[Age]]&gt;=18,data[[#This Row],[Age]]&lt;=24),"18-24",IF(AND(data[[#This Row],[Age]]&gt;=25,data[[#This Row],[Age]]&lt;=34),"25-34",IF(AND(data[[#This Row],[Age]]&gt;35,data[[#This Row],[Age]]&lt;=44),"35-44",IF(data[[#This Row],[Age]]&gt;44,"45+",IF(data[[#This Row],[Age]]&lt;18,"below 18 ")))))</f>
        <v>35-44</v>
      </c>
    </row>
    <row r="533" spans="1:31" x14ac:dyDescent="0.25">
      <c r="A533" t="s">
        <v>586</v>
      </c>
      <c r="B533">
        <v>26</v>
      </c>
      <c r="C533" t="s">
        <v>31</v>
      </c>
      <c r="D533" t="s">
        <v>39</v>
      </c>
      <c r="F533" t="s">
        <v>51</v>
      </c>
      <c r="G533">
        <v>2</v>
      </c>
      <c r="H533">
        <v>2</v>
      </c>
      <c r="I533">
        <v>4</v>
      </c>
      <c r="J533" t="s">
        <v>42</v>
      </c>
      <c r="K533" t="s">
        <v>36</v>
      </c>
      <c r="L533">
        <v>107</v>
      </c>
      <c r="M533">
        <v>4.9000000000000004</v>
      </c>
      <c r="N533">
        <v>2.9</v>
      </c>
      <c r="O533">
        <v>5.9</v>
      </c>
      <c r="P533">
        <v>2.7</v>
      </c>
      <c r="Q533" t="s">
        <v>42</v>
      </c>
      <c r="R533" t="s">
        <v>42</v>
      </c>
      <c r="S533">
        <v>2.9</v>
      </c>
      <c r="T533">
        <v>3.3</v>
      </c>
      <c r="U533">
        <v>6.3</v>
      </c>
      <c r="V533">
        <v>4.2</v>
      </c>
      <c r="W533">
        <v>6.5</v>
      </c>
      <c r="X533">
        <v>7.5</v>
      </c>
      <c r="Y533">
        <v>1.9</v>
      </c>
      <c r="Z533">
        <v>4.2</v>
      </c>
      <c r="AA533">
        <v>1.7</v>
      </c>
      <c r="AB533">
        <v>3.4</v>
      </c>
      <c r="AC533">
        <v>6.2</v>
      </c>
      <c r="AD533" t="s">
        <v>53</v>
      </c>
      <c r="AE533" t="str">
        <f>IF(AND(data[[#This Row],[Age]]&gt;=18,data[[#This Row],[Age]]&lt;=24),"18-24",IF(AND(data[[#This Row],[Age]]&gt;=25,data[[#This Row],[Age]]&lt;=34),"25-34",IF(AND(data[[#This Row],[Age]]&gt;35,data[[#This Row],[Age]]&lt;=44),"35-44",IF(data[[#This Row],[Age]]&gt;44,"45+",IF(data[[#This Row],[Age]]&lt;18,"below 18 ")))))</f>
        <v>25-34</v>
      </c>
    </row>
    <row r="534" spans="1:31" x14ac:dyDescent="0.25">
      <c r="A534" t="s">
        <v>587</v>
      </c>
      <c r="B534">
        <v>41</v>
      </c>
      <c r="C534" t="s">
        <v>47</v>
      </c>
      <c r="D534" t="s">
        <v>39</v>
      </c>
      <c r="E534" t="s">
        <v>58</v>
      </c>
      <c r="F534" t="s">
        <v>41</v>
      </c>
      <c r="G534">
        <v>2.6</v>
      </c>
      <c r="H534">
        <v>3</v>
      </c>
      <c r="I534">
        <v>3</v>
      </c>
      <c r="J534" t="s">
        <v>42</v>
      </c>
      <c r="K534" t="s">
        <v>62</v>
      </c>
      <c r="L534">
        <v>94</v>
      </c>
      <c r="M534">
        <v>4.5999999999999996</v>
      </c>
      <c r="N534">
        <v>4.3</v>
      </c>
      <c r="O534">
        <v>4.5999999999999996</v>
      </c>
      <c r="P534">
        <v>4</v>
      </c>
      <c r="Q534" t="s">
        <v>35</v>
      </c>
      <c r="R534" t="s">
        <v>42</v>
      </c>
      <c r="S534">
        <v>7.8</v>
      </c>
      <c r="T534">
        <v>5.0999999999999996</v>
      </c>
      <c r="U534">
        <v>4.3</v>
      </c>
      <c r="V534">
        <v>3.8</v>
      </c>
      <c r="W534">
        <v>7.4</v>
      </c>
      <c r="X534">
        <v>6.5</v>
      </c>
      <c r="Y534">
        <v>8.6999999999999993</v>
      </c>
      <c r="Z534">
        <v>8.8000000000000007</v>
      </c>
      <c r="AA534">
        <v>0.8</v>
      </c>
      <c r="AB534">
        <v>0.5</v>
      </c>
      <c r="AC534">
        <v>6.3</v>
      </c>
      <c r="AD534" t="s">
        <v>53</v>
      </c>
      <c r="AE534" t="str">
        <f>IF(AND(data[[#This Row],[Age]]&gt;=18,data[[#This Row],[Age]]&lt;=24),"18-24",IF(AND(data[[#This Row],[Age]]&gt;=25,data[[#This Row],[Age]]&lt;=34),"25-34",IF(AND(data[[#This Row],[Age]]&gt;35,data[[#This Row],[Age]]&lt;=44),"35-44",IF(data[[#This Row],[Age]]&gt;44,"45+",IF(data[[#This Row],[Age]]&lt;18,"below 18 ")))))</f>
        <v>35-44</v>
      </c>
    </row>
    <row r="535" spans="1:31" x14ac:dyDescent="0.25">
      <c r="A535" t="s">
        <v>588</v>
      </c>
      <c r="B535">
        <v>36</v>
      </c>
      <c r="C535" t="s">
        <v>31</v>
      </c>
      <c r="D535" t="s">
        <v>64</v>
      </c>
      <c r="E535" t="s">
        <v>58</v>
      </c>
      <c r="F535" t="s">
        <v>41</v>
      </c>
      <c r="G535">
        <v>3.3</v>
      </c>
      <c r="H535">
        <v>2</v>
      </c>
      <c r="I535">
        <v>3</v>
      </c>
      <c r="J535" t="s">
        <v>35</v>
      </c>
      <c r="K535" t="s">
        <v>62</v>
      </c>
      <c r="L535">
        <v>59</v>
      </c>
      <c r="N535">
        <v>8.5</v>
      </c>
      <c r="O535">
        <v>6.6</v>
      </c>
      <c r="P535">
        <v>8.1</v>
      </c>
      <c r="Q535" t="s">
        <v>42</v>
      </c>
      <c r="R535" t="s">
        <v>42</v>
      </c>
      <c r="S535">
        <v>3.9</v>
      </c>
      <c r="T535">
        <v>0</v>
      </c>
      <c r="U535">
        <v>4.7</v>
      </c>
      <c r="V535">
        <v>7.7</v>
      </c>
      <c r="W535">
        <v>1.8</v>
      </c>
      <c r="X535">
        <v>5.7</v>
      </c>
      <c r="Y535">
        <v>6.7</v>
      </c>
      <c r="Z535">
        <v>6.6</v>
      </c>
      <c r="AA535">
        <v>3</v>
      </c>
      <c r="AB535">
        <v>2.2000000000000002</v>
      </c>
      <c r="AC535">
        <v>5</v>
      </c>
      <c r="AD535" t="s">
        <v>45</v>
      </c>
      <c r="AE535" t="str">
        <f>IF(AND(data[[#This Row],[Age]]&gt;=18,data[[#This Row],[Age]]&lt;=24),"18-24",IF(AND(data[[#This Row],[Age]]&gt;=25,data[[#This Row],[Age]]&lt;=34),"25-34",IF(AND(data[[#This Row],[Age]]&gt;35,data[[#This Row],[Age]]&lt;=44),"35-44",IF(data[[#This Row],[Age]]&gt;44,"45+",IF(data[[#This Row],[Age]]&lt;18,"below 18 ")))))</f>
        <v>35-44</v>
      </c>
    </row>
    <row r="536" spans="1:31" x14ac:dyDescent="0.25">
      <c r="A536" t="s">
        <v>589</v>
      </c>
      <c r="B536">
        <v>17</v>
      </c>
      <c r="C536" t="s">
        <v>31</v>
      </c>
      <c r="D536" t="s">
        <v>32</v>
      </c>
      <c r="E536" t="s">
        <v>33</v>
      </c>
      <c r="F536" t="s">
        <v>34</v>
      </c>
      <c r="G536">
        <v>3.9</v>
      </c>
      <c r="H536">
        <v>6</v>
      </c>
      <c r="I536">
        <v>2</v>
      </c>
      <c r="J536" t="s">
        <v>35</v>
      </c>
      <c r="K536" t="s">
        <v>62</v>
      </c>
      <c r="L536">
        <v>69</v>
      </c>
      <c r="M536">
        <v>6.1</v>
      </c>
      <c r="N536">
        <v>5.6</v>
      </c>
      <c r="O536">
        <v>5.4</v>
      </c>
      <c r="P536">
        <v>8</v>
      </c>
      <c r="Q536" t="s">
        <v>42</v>
      </c>
      <c r="R536" t="s">
        <v>35</v>
      </c>
      <c r="S536">
        <v>6.1</v>
      </c>
      <c r="T536">
        <v>4.9000000000000004</v>
      </c>
      <c r="U536">
        <v>4.3</v>
      </c>
      <c r="V536">
        <v>2.2999999999999998</v>
      </c>
      <c r="W536">
        <v>1.4</v>
      </c>
      <c r="X536">
        <v>6.8</v>
      </c>
      <c r="Y536">
        <v>0.1</v>
      </c>
      <c r="Z536">
        <v>8.6999999999999993</v>
      </c>
      <c r="AA536">
        <v>0.6</v>
      </c>
      <c r="AB536">
        <v>4.0999999999999996</v>
      </c>
      <c r="AC536">
        <v>6.8</v>
      </c>
      <c r="AD536" t="s">
        <v>53</v>
      </c>
      <c r="AE536" t="str">
        <f>IF(AND(data[[#This Row],[Age]]&gt;=18,data[[#This Row],[Age]]&lt;=24),"18-24",IF(AND(data[[#This Row],[Age]]&gt;=25,data[[#This Row],[Age]]&lt;=34),"25-34",IF(AND(data[[#This Row],[Age]]&gt;35,data[[#This Row],[Age]]&lt;=44),"35-44",IF(data[[#This Row],[Age]]&gt;44,"45+",IF(data[[#This Row],[Age]]&lt;18,"below 18 ")))))</f>
        <v xml:space="preserve">below 18 </v>
      </c>
    </row>
    <row r="537" spans="1:31" x14ac:dyDescent="0.25">
      <c r="A537" t="s">
        <v>590</v>
      </c>
      <c r="B537">
        <v>31</v>
      </c>
      <c r="C537" t="s">
        <v>31</v>
      </c>
      <c r="D537" t="s">
        <v>64</v>
      </c>
      <c r="E537" t="s">
        <v>40</v>
      </c>
      <c r="F537" t="s">
        <v>48</v>
      </c>
      <c r="G537">
        <v>8.6999999999999993</v>
      </c>
      <c r="H537">
        <v>2</v>
      </c>
      <c r="I537">
        <v>5</v>
      </c>
      <c r="J537" t="s">
        <v>42</v>
      </c>
      <c r="K537" t="s">
        <v>62</v>
      </c>
      <c r="L537">
        <v>71</v>
      </c>
      <c r="M537">
        <v>5.3</v>
      </c>
      <c r="N537">
        <v>2.7</v>
      </c>
      <c r="O537">
        <v>5.7</v>
      </c>
      <c r="P537">
        <v>4.7</v>
      </c>
      <c r="Q537" t="s">
        <v>35</v>
      </c>
      <c r="R537" t="s">
        <v>42</v>
      </c>
      <c r="S537">
        <v>8.1999999999999993</v>
      </c>
      <c r="T537">
        <v>1.3</v>
      </c>
      <c r="U537">
        <v>1.8</v>
      </c>
      <c r="V537">
        <v>6.8</v>
      </c>
      <c r="W537">
        <v>4.3</v>
      </c>
      <c r="X537">
        <v>4.4000000000000004</v>
      </c>
      <c r="Y537">
        <v>4.2</v>
      </c>
      <c r="Z537">
        <v>1.9</v>
      </c>
      <c r="AA537">
        <v>4.5999999999999996</v>
      </c>
      <c r="AB537">
        <v>2.6</v>
      </c>
      <c r="AC537">
        <v>7.6</v>
      </c>
      <c r="AD537" t="s">
        <v>53</v>
      </c>
      <c r="AE537" t="str">
        <f>IF(AND(data[[#This Row],[Age]]&gt;=18,data[[#This Row],[Age]]&lt;=24),"18-24",IF(AND(data[[#This Row],[Age]]&gt;=25,data[[#This Row],[Age]]&lt;=34),"25-34",IF(AND(data[[#This Row],[Age]]&gt;35,data[[#This Row],[Age]]&lt;=44),"35-44",IF(data[[#This Row],[Age]]&gt;44,"45+",IF(data[[#This Row],[Age]]&lt;18,"below 18 ")))))</f>
        <v>25-34</v>
      </c>
    </row>
    <row r="538" spans="1:31" x14ac:dyDescent="0.25">
      <c r="A538" t="s">
        <v>591</v>
      </c>
      <c r="B538">
        <v>24</v>
      </c>
      <c r="C538" t="s">
        <v>31</v>
      </c>
      <c r="D538" t="s">
        <v>39</v>
      </c>
      <c r="E538" t="s">
        <v>33</v>
      </c>
      <c r="F538" t="s">
        <v>51</v>
      </c>
      <c r="G538">
        <v>3.2</v>
      </c>
      <c r="H538">
        <v>3</v>
      </c>
      <c r="I538">
        <v>6</v>
      </c>
      <c r="J538" t="s">
        <v>35</v>
      </c>
      <c r="K538" t="s">
        <v>36</v>
      </c>
      <c r="L538">
        <v>73</v>
      </c>
      <c r="M538">
        <v>3.8</v>
      </c>
      <c r="N538">
        <v>4.9000000000000004</v>
      </c>
      <c r="O538">
        <v>1.2</v>
      </c>
      <c r="P538">
        <v>6.8</v>
      </c>
      <c r="Q538" t="s">
        <v>42</v>
      </c>
      <c r="R538" t="s">
        <v>35</v>
      </c>
      <c r="S538">
        <v>3.5</v>
      </c>
      <c r="T538">
        <v>4.5999999999999996</v>
      </c>
      <c r="U538">
        <v>5.2</v>
      </c>
      <c r="V538">
        <v>8.8000000000000007</v>
      </c>
      <c r="W538">
        <v>8.9</v>
      </c>
      <c r="X538">
        <v>5.7</v>
      </c>
      <c r="Y538">
        <v>5.2</v>
      </c>
      <c r="Z538">
        <v>7.4</v>
      </c>
      <c r="AA538">
        <v>3.9</v>
      </c>
      <c r="AB538">
        <v>3.8</v>
      </c>
      <c r="AC538">
        <v>9.1999999999999993</v>
      </c>
      <c r="AD538" t="s">
        <v>37</v>
      </c>
      <c r="AE538" t="str">
        <f>IF(AND(data[[#This Row],[Age]]&gt;=18,data[[#This Row],[Age]]&lt;=24),"18-24",IF(AND(data[[#This Row],[Age]]&gt;=25,data[[#This Row],[Age]]&lt;=34),"25-34",IF(AND(data[[#This Row],[Age]]&gt;35,data[[#This Row],[Age]]&lt;=44),"35-44",IF(data[[#This Row],[Age]]&gt;44,"45+",IF(data[[#This Row],[Age]]&lt;18,"below 18 ")))))</f>
        <v>18-24</v>
      </c>
    </row>
    <row r="539" spans="1:31" x14ac:dyDescent="0.25">
      <c r="A539" t="s">
        <v>592</v>
      </c>
      <c r="B539">
        <v>34</v>
      </c>
      <c r="C539" t="s">
        <v>47</v>
      </c>
      <c r="D539" t="s">
        <v>39</v>
      </c>
      <c r="E539" t="s">
        <v>40</v>
      </c>
      <c r="F539" t="s">
        <v>48</v>
      </c>
      <c r="G539">
        <v>0.5</v>
      </c>
      <c r="H539">
        <v>5</v>
      </c>
      <c r="I539">
        <v>5</v>
      </c>
      <c r="J539" t="s">
        <v>35</v>
      </c>
      <c r="K539" t="s">
        <v>36</v>
      </c>
      <c r="L539">
        <v>66</v>
      </c>
      <c r="M539">
        <v>5.0999999999999996</v>
      </c>
      <c r="N539">
        <v>10</v>
      </c>
      <c r="O539">
        <v>2.9</v>
      </c>
      <c r="P539">
        <v>2.8</v>
      </c>
      <c r="Q539" t="s">
        <v>35</v>
      </c>
      <c r="R539" t="s">
        <v>35</v>
      </c>
      <c r="S539">
        <v>4</v>
      </c>
      <c r="T539">
        <v>6.8</v>
      </c>
      <c r="U539">
        <v>6</v>
      </c>
      <c r="V539">
        <v>3.8</v>
      </c>
      <c r="W539">
        <v>5.9</v>
      </c>
      <c r="X539">
        <v>7.7</v>
      </c>
      <c r="Y539">
        <v>5.4</v>
      </c>
      <c r="Z539">
        <v>7.8</v>
      </c>
      <c r="AA539">
        <v>2.2999999999999998</v>
      </c>
      <c r="AB539">
        <v>1.5</v>
      </c>
      <c r="AC539">
        <v>7.6</v>
      </c>
      <c r="AD539" t="s">
        <v>37</v>
      </c>
      <c r="AE539" t="str">
        <f>IF(AND(data[[#This Row],[Age]]&gt;=18,data[[#This Row],[Age]]&lt;=24),"18-24",IF(AND(data[[#This Row],[Age]]&gt;=25,data[[#This Row],[Age]]&lt;=34),"25-34",IF(AND(data[[#This Row],[Age]]&gt;35,data[[#This Row],[Age]]&lt;=44),"35-44",IF(data[[#This Row],[Age]]&gt;44,"45+",IF(data[[#This Row],[Age]]&lt;18,"below 18 ")))))</f>
        <v>25-34</v>
      </c>
    </row>
    <row r="540" spans="1:31" x14ac:dyDescent="0.25">
      <c r="A540" t="s">
        <v>593</v>
      </c>
      <c r="B540">
        <v>17</v>
      </c>
      <c r="C540" t="s">
        <v>31</v>
      </c>
      <c r="D540" t="s">
        <v>39</v>
      </c>
      <c r="E540" t="s">
        <v>33</v>
      </c>
      <c r="F540" t="s">
        <v>51</v>
      </c>
      <c r="G540">
        <v>6.6</v>
      </c>
      <c r="H540">
        <v>1</v>
      </c>
      <c r="I540">
        <v>4</v>
      </c>
      <c r="J540" t="s">
        <v>42</v>
      </c>
      <c r="K540" t="s">
        <v>36</v>
      </c>
      <c r="L540">
        <v>65</v>
      </c>
      <c r="M540">
        <v>5.5</v>
      </c>
      <c r="N540">
        <v>8.4</v>
      </c>
      <c r="O540">
        <v>6.7</v>
      </c>
      <c r="P540">
        <v>8</v>
      </c>
      <c r="Q540" t="s">
        <v>35</v>
      </c>
      <c r="R540" t="s">
        <v>35</v>
      </c>
      <c r="S540">
        <v>6.1</v>
      </c>
      <c r="T540">
        <v>0</v>
      </c>
      <c r="U540">
        <v>3.3</v>
      </c>
      <c r="V540">
        <v>1.5</v>
      </c>
      <c r="W540">
        <v>7.1</v>
      </c>
      <c r="X540">
        <v>6.2</v>
      </c>
      <c r="Y540">
        <v>8.5</v>
      </c>
      <c r="Z540">
        <v>3.6</v>
      </c>
      <c r="AA540">
        <v>2.2000000000000002</v>
      </c>
      <c r="AB540">
        <v>2.2999999999999998</v>
      </c>
      <c r="AC540">
        <v>3.6</v>
      </c>
      <c r="AD540" t="s">
        <v>43</v>
      </c>
      <c r="AE540" t="str">
        <f>IF(AND(data[[#This Row],[Age]]&gt;=18,data[[#This Row],[Age]]&lt;=24),"18-24",IF(AND(data[[#This Row],[Age]]&gt;=25,data[[#This Row],[Age]]&lt;=34),"25-34",IF(AND(data[[#This Row],[Age]]&gt;35,data[[#This Row],[Age]]&lt;=44),"35-44",IF(data[[#This Row],[Age]]&gt;44,"45+",IF(data[[#This Row],[Age]]&lt;18,"below 18 ")))))</f>
        <v xml:space="preserve">below 18 </v>
      </c>
    </row>
    <row r="541" spans="1:31" x14ac:dyDescent="0.25">
      <c r="A541" t="s">
        <v>594</v>
      </c>
      <c r="B541">
        <v>33</v>
      </c>
      <c r="C541" t="s">
        <v>31</v>
      </c>
      <c r="D541" t="s">
        <v>64</v>
      </c>
      <c r="E541" t="s">
        <v>58</v>
      </c>
      <c r="F541" t="s">
        <v>51</v>
      </c>
      <c r="G541">
        <v>2.8</v>
      </c>
      <c r="H541">
        <v>4</v>
      </c>
      <c r="I541">
        <v>1</v>
      </c>
      <c r="J541" t="s">
        <v>35</v>
      </c>
      <c r="K541" t="s">
        <v>52</v>
      </c>
      <c r="L541">
        <v>34</v>
      </c>
      <c r="M541">
        <v>4.2</v>
      </c>
      <c r="N541">
        <v>6.8</v>
      </c>
      <c r="O541">
        <v>6.6</v>
      </c>
      <c r="P541">
        <v>2.1</v>
      </c>
      <c r="Q541" t="s">
        <v>42</v>
      </c>
      <c r="R541" t="s">
        <v>35</v>
      </c>
      <c r="S541">
        <v>2.4</v>
      </c>
      <c r="T541">
        <v>4.5</v>
      </c>
      <c r="U541">
        <v>2.5</v>
      </c>
      <c r="V541">
        <v>5.6</v>
      </c>
      <c r="W541">
        <v>7.9</v>
      </c>
      <c r="X541">
        <v>8.1</v>
      </c>
      <c r="Y541">
        <v>7.2</v>
      </c>
      <c r="Z541">
        <v>6.1</v>
      </c>
      <c r="AA541">
        <v>4.5</v>
      </c>
      <c r="AB541">
        <v>0</v>
      </c>
      <c r="AC541">
        <v>7.3</v>
      </c>
      <c r="AD541" t="s">
        <v>37</v>
      </c>
      <c r="AE541" t="str">
        <f>IF(AND(data[[#This Row],[Age]]&gt;=18,data[[#This Row],[Age]]&lt;=24),"18-24",IF(AND(data[[#This Row],[Age]]&gt;=25,data[[#This Row],[Age]]&lt;=34),"25-34",IF(AND(data[[#This Row],[Age]]&gt;35,data[[#This Row],[Age]]&lt;=44),"35-44",IF(data[[#This Row],[Age]]&gt;44,"45+",IF(data[[#This Row],[Age]]&lt;18,"below 18 ")))))</f>
        <v>25-34</v>
      </c>
    </row>
    <row r="542" spans="1:31" x14ac:dyDescent="0.25">
      <c r="A542" t="s">
        <v>595</v>
      </c>
      <c r="B542">
        <v>25</v>
      </c>
      <c r="C542" t="s">
        <v>47</v>
      </c>
      <c r="D542" t="s">
        <v>32</v>
      </c>
      <c r="E542" t="s">
        <v>58</v>
      </c>
      <c r="F542" t="s">
        <v>34</v>
      </c>
      <c r="H542">
        <v>1</v>
      </c>
      <c r="I542">
        <v>6</v>
      </c>
      <c r="J542" t="s">
        <v>35</v>
      </c>
      <c r="K542" t="s">
        <v>36</v>
      </c>
      <c r="L542">
        <v>60</v>
      </c>
      <c r="M542">
        <v>4</v>
      </c>
      <c r="N542">
        <v>5.3</v>
      </c>
      <c r="O542">
        <v>5.6</v>
      </c>
      <c r="P542">
        <v>10</v>
      </c>
      <c r="Q542" t="s">
        <v>42</v>
      </c>
      <c r="R542" t="s">
        <v>42</v>
      </c>
      <c r="S542">
        <v>7.8</v>
      </c>
      <c r="T542">
        <v>3.2</v>
      </c>
      <c r="U542">
        <v>5.4</v>
      </c>
      <c r="V542">
        <v>5.9</v>
      </c>
      <c r="W542">
        <v>6.4</v>
      </c>
      <c r="X542">
        <v>6.6</v>
      </c>
      <c r="Y542">
        <v>9.5</v>
      </c>
      <c r="Z542">
        <v>6.5</v>
      </c>
      <c r="AA542">
        <v>5.0999999999999996</v>
      </c>
      <c r="AB542">
        <v>3.6</v>
      </c>
      <c r="AC542">
        <v>5.5</v>
      </c>
      <c r="AD542" t="s">
        <v>45</v>
      </c>
      <c r="AE542" t="str">
        <f>IF(AND(data[[#This Row],[Age]]&gt;=18,data[[#This Row],[Age]]&lt;=24),"18-24",IF(AND(data[[#This Row],[Age]]&gt;=25,data[[#This Row],[Age]]&lt;=34),"25-34",IF(AND(data[[#This Row],[Age]]&gt;35,data[[#This Row],[Age]]&lt;=44),"35-44",IF(data[[#This Row],[Age]]&gt;44,"45+",IF(data[[#This Row],[Age]]&lt;18,"below 18 ")))))</f>
        <v>25-34</v>
      </c>
    </row>
    <row r="543" spans="1:31" x14ac:dyDescent="0.25">
      <c r="A543" t="s">
        <v>596</v>
      </c>
      <c r="B543">
        <v>19</v>
      </c>
      <c r="C543" t="s">
        <v>31</v>
      </c>
      <c r="D543" t="s">
        <v>32</v>
      </c>
      <c r="E543" t="s">
        <v>33</v>
      </c>
      <c r="F543" t="s">
        <v>70</v>
      </c>
      <c r="G543">
        <v>3.2</v>
      </c>
      <c r="H543">
        <v>3</v>
      </c>
      <c r="I543">
        <v>4</v>
      </c>
      <c r="J543" t="s">
        <v>42</v>
      </c>
      <c r="K543" t="s">
        <v>52</v>
      </c>
      <c r="L543">
        <v>17</v>
      </c>
      <c r="M543">
        <v>2.2000000000000002</v>
      </c>
      <c r="N543">
        <v>6.3</v>
      </c>
      <c r="O543">
        <v>6.7</v>
      </c>
      <c r="P543">
        <v>5</v>
      </c>
      <c r="Q543" t="s">
        <v>42</v>
      </c>
      <c r="R543" t="s">
        <v>35</v>
      </c>
      <c r="S543">
        <v>1.9</v>
      </c>
      <c r="T543">
        <v>7.2</v>
      </c>
      <c r="U543">
        <v>5.4</v>
      </c>
      <c r="V543">
        <v>2.7</v>
      </c>
      <c r="W543">
        <v>6.1</v>
      </c>
      <c r="X543">
        <v>6.7</v>
      </c>
      <c r="Y543">
        <v>6.3</v>
      </c>
      <c r="AA543">
        <v>3</v>
      </c>
      <c r="AB543">
        <v>3.1</v>
      </c>
      <c r="AC543">
        <v>8.1</v>
      </c>
      <c r="AD543" t="s">
        <v>37</v>
      </c>
      <c r="AE543" t="str">
        <f>IF(AND(data[[#This Row],[Age]]&gt;=18,data[[#This Row],[Age]]&lt;=24),"18-24",IF(AND(data[[#This Row],[Age]]&gt;=25,data[[#This Row],[Age]]&lt;=34),"25-34",IF(AND(data[[#This Row],[Age]]&gt;35,data[[#This Row],[Age]]&lt;=44),"35-44",IF(data[[#This Row],[Age]]&gt;44,"45+",IF(data[[#This Row],[Age]]&lt;18,"below 18 ")))))</f>
        <v>18-24</v>
      </c>
    </row>
    <row r="544" spans="1:31" x14ac:dyDescent="0.25">
      <c r="A544" t="s">
        <v>597</v>
      </c>
      <c r="B544">
        <v>18</v>
      </c>
      <c r="C544" t="s">
        <v>50</v>
      </c>
      <c r="D544" t="s">
        <v>39</v>
      </c>
      <c r="E544" t="s">
        <v>33</v>
      </c>
      <c r="F544" t="s">
        <v>59</v>
      </c>
      <c r="H544">
        <v>2</v>
      </c>
      <c r="I544">
        <v>2</v>
      </c>
      <c r="J544" t="s">
        <v>42</v>
      </c>
      <c r="K544" t="s">
        <v>36</v>
      </c>
      <c r="L544">
        <v>69</v>
      </c>
      <c r="M544">
        <v>6.7</v>
      </c>
      <c r="N544">
        <v>7.2</v>
      </c>
      <c r="P544">
        <v>6.6</v>
      </c>
      <c r="Q544" t="s">
        <v>42</v>
      </c>
      <c r="R544" t="s">
        <v>35</v>
      </c>
      <c r="S544">
        <v>6.6</v>
      </c>
      <c r="T544">
        <v>3.2</v>
      </c>
      <c r="U544">
        <v>2.7</v>
      </c>
      <c r="V544">
        <v>5.8</v>
      </c>
      <c r="W544">
        <v>5.3</v>
      </c>
      <c r="X544">
        <v>6.6</v>
      </c>
      <c r="Y544">
        <v>5.0999999999999996</v>
      </c>
      <c r="Z544">
        <v>4.4000000000000004</v>
      </c>
      <c r="AA544">
        <v>3</v>
      </c>
      <c r="AB544">
        <v>5.6</v>
      </c>
      <c r="AC544">
        <v>5.4</v>
      </c>
      <c r="AD544" t="s">
        <v>45</v>
      </c>
      <c r="AE544" t="str">
        <f>IF(AND(data[[#This Row],[Age]]&gt;=18,data[[#This Row],[Age]]&lt;=24),"18-24",IF(AND(data[[#This Row],[Age]]&gt;=25,data[[#This Row],[Age]]&lt;=34),"25-34",IF(AND(data[[#This Row],[Age]]&gt;35,data[[#This Row],[Age]]&lt;=44),"35-44",IF(data[[#This Row],[Age]]&gt;44,"45+",IF(data[[#This Row],[Age]]&lt;18,"below 18 ")))))</f>
        <v>18-24</v>
      </c>
    </row>
    <row r="545" spans="1:31" x14ac:dyDescent="0.25">
      <c r="A545" t="s">
        <v>598</v>
      </c>
      <c r="B545">
        <v>19</v>
      </c>
      <c r="C545" t="s">
        <v>31</v>
      </c>
      <c r="D545" t="s">
        <v>32</v>
      </c>
      <c r="E545" t="s">
        <v>33</v>
      </c>
      <c r="F545" t="s">
        <v>34</v>
      </c>
      <c r="G545">
        <v>4.7</v>
      </c>
      <c r="H545">
        <v>1</v>
      </c>
      <c r="I545">
        <v>3</v>
      </c>
      <c r="J545" t="s">
        <v>35</v>
      </c>
      <c r="K545" t="s">
        <v>52</v>
      </c>
      <c r="L545">
        <v>53</v>
      </c>
      <c r="M545">
        <v>5.3</v>
      </c>
      <c r="N545">
        <v>3.1</v>
      </c>
      <c r="O545">
        <v>6.5</v>
      </c>
      <c r="P545">
        <v>5.7</v>
      </c>
      <c r="Q545" t="s">
        <v>42</v>
      </c>
      <c r="R545" t="s">
        <v>35</v>
      </c>
      <c r="S545">
        <v>4.2</v>
      </c>
      <c r="T545">
        <v>0.7</v>
      </c>
      <c r="U545">
        <v>5.8</v>
      </c>
      <c r="V545">
        <v>6.4</v>
      </c>
      <c r="W545">
        <v>5.2</v>
      </c>
      <c r="X545">
        <v>6.1</v>
      </c>
      <c r="Y545">
        <v>3.4</v>
      </c>
      <c r="Z545">
        <v>7.5</v>
      </c>
      <c r="AA545">
        <v>2.4</v>
      </c>
      <c r="AB545">
        <v>1.5</v>
      </c>
      <c r="AC545">
        <v>8</v>
      </c>
      <c r="AD545" t="s">
        <v>37</v>
      </c>
      <c r="AE545" t="str">
        <f>IF(AND(data[[#This Row],[Age]]&gt;=18,data[[#This Row],[Age]]&lt;=24),"18-24",IF(AND(data[[#This Row],[Age]]&gt;=25,data[[#This Row],[Age]]&lt;=34),"25-34",IF(AND(data[[#This Row],[Age]]&gt;35,data[[#This Row],[Age]]&lt;=44),"35-44",IF(data[[#This Row],[Age]]&gt;44,"45+",IF(data[[#This Row],[Age]]&lt;18,"below 18 ")))))</f>
        <v>18-24</v>
      </c>
    </row>
    <row r="546" spans="1:31" x14ac:dyDescent="0.25">
      <c r="A546" t="s">
        <v>599</v>
      </c>
      <c r="B546">
        <v>23</v>
      </c>
      <c r="C546" t="s">
        <v>50</v>
      </c>
      <c r="D546" t="s">
        <v>39</v>
      </c>
      <c r="E546" t="s">
        <v>58</v>
      </c>
      <c r="F546" t="s">
        <v>48</v>
      </c>
      <c r="G546">
        <v>5.4</v>
      </c>
      <c r="H546">
        <v>4</v>
      </c>
      <c r="I546">
        <v>6</v>
      </c>
      <c r="J546" t="s">
        <v>35</v>
      </c>
      <c r="K546" t="s">
        <v>62</v>
      </c>
      <c r="L546">
        <v>92</v>
      </c>
      <c r="M546">
        <v>4.5</v>
      </c>
      <c r="N546">
        <v>6.4</v>
      </c>
      <c r="O546">
        <v>7.2</v>
      </c>
      <c r="P546">
        <v>5.6</v>
      </c>
      <c r="Q546" t="s">
        <v>35</v>
      </c>
      <c r="R546" t="s">
        <v>35</v>
      </c>
      <c r="S546">
        <v>4.5999999999999996</v>
      </c>
      <c r="T546">
        <v>5.8</v>
      </c>
      <c r="U546">
        <v>7.4</v>
      </c>
      <c r="V546">
        <v>6.2</v>
      </c>
      <c r="W546">
        <v>5</v>
      </c>
      <c r="X546">
        <v>4.8</v>
      </c>
      <c r="Y546">
        <v>7</v>
      </c>
      <c r="Z546">
        <v>4</v>
      </c>
      <c r="AB546">
        <v>0.4</v>
      </c>
      <c r="AC546">
        <v>8</v>
      </c>
      <c r="AD546" t="s">
        <v>37</v>
      </c>
      <c r="AE546" t="str">
        <f>IF(AND(data[[#This Row],[Age]]&gt;=18,data[[#This Row],[Age]]&lt;=24),"18-24",IF(AND(data[[#This Row],[Age]]&gt;=25,data[[#This Row],[Age]]&lt;=34),"25-34",IF(AND(data[[#This Row],[Age]]&gt;35,data[[#This Row],[Age]]&lt;=44),"35-44",IF(data[[#This Row],[Age]]&gt;44,"45+",IF(data[[#This Row],[Age]]&lt;18,"below 18 ")))))</f>
        <v>18-24</v>
      </c>
    </row>
    <row r="547" spans="1:31" x14ac:dyDescent="0.25">
      <c r="A547" t="s">
        <v>600</v>
      </c>
      <c r="B547">
        <v>22</v>
      </c>
      <c r="C547" t="s">
        <v>31</v>
      </c>
      <c r="D547" t="s">
        <v>64</v>
      </c>
      <c r="E547" t="s">
        <v>33</v>
      </c>
      <c r="F547" t="s">
        <v>41</v>
      </c>
      <c r="G547">
        <v>3.7</v>
      </c>
      <c r="H547">
        <v>6</v>
      </c>
      <c r="I547">
        <v>4</v>
      </c>
      <c r="J547" t="s">
        <v>35</v>
      </c>
      <c r="K547" t="s">
        <v>36</v>
      </c>
      <c r="L547">
        <v>61</v>
      </c>
      <c r="M547">
        <v>5.3</v>
      </c>
      <c r="N547">
        <v>1.5</v>
      </c>
      <c r="O547">
        <v>4.5</v>
      </c>
      <c r="P547">
        <v>3.6</v>
      </c>
      <c r="Q547" t="s">
        <v>35</v>
      </c>
      <c r="R547" t="s">
        <v>42</v>
      </c>
      <c r="S547">
        <v>8.1999999999999993</v>
      </c>
      <c r="T547">
        <v>5.4</v>
      </c>
      <c r="U547">
        <v>4.8</v>
      </c>
      <c r="V547">
        <v>5.0999999999999996</v>
      </c>
      <c r="W547">
        <v>8.1999999999999993</v>
      </c>
      <c r="X547">
        <v>5.9</v>
      </c>
      <c r="Y547">
        <v>6.3</v>
      </c>
      <c r="Z547">
        <v>10</v>
      </c>
      <c r="AB547">
        <v>4</v>
      </c>
      <c r="AC547">
        <v>6.3</v>
      </c>
      <c r="AD547" t="s">
        <v>53</v>
      </c>
      <c r="AE547" t="str">
        <f>IF(AND(data[[#This Row],[Age]]&gt;=18,data[[#This Row],[Age]]&lt;=24),"18-24",IF(AND(data[[#This Row],[Age]]&gt;=25,data[[#This Row],[Age]]&lt;=34),"25-34",IF(AND(data[[#This Row],[Age]]&gt;35,data[[#This Row],[Age]]&lt;=44),"35-44",IF(data[[#This Row],[Age]]&gt;44,"45+",IF(data[[#This Row],[Age]]&lt;18,"below 18 ")))))</f>
        <v>18-24</v>
      </c>
    </row>
    <row r="548" spans="1:31" x14ac:dyDescent="0.25">
      <c r="A548" t="s">
        <v>601</v>
      </c>
      <c r="B548">
        <v>25</v>
      </c>
      <c r="C548" t="s">
        <v>50</v>
      </c>
      <c r="D548" t="s">
        <v>32</v>
      </c>
      <c r="E548" t="s">
        <v>40</v>
      </c>
      <c r="F548" t="s">
        <v>34</v>
      </c>
      <c r="G548">
        <v>4.5999999999999996</v>
      </c>
      <c r="H548">
        <v>5</v>
      </c>
      <c r="I548">
        <v>5</v>
      </c>
      <c r="J548" t="s">
        <v>35</v>
      </c>
      <c r="K548" t="s">
        <v>52</v>
      </c>
      <c r="L548">
        <v>136</v>
      </c>
      <c r="M548">
        <v>5.8</v>
      </c>
      <c r="N548">
        <v>6.8</v>
      </c>
      <c r="O548">
        <v>6.3</v>
      </c>
      <c r="P548">
        <v>8.1</v>
      </c>
      <c r="Q548" t="s">
        <v>42</v>
      </c>
      <c r="R548" t="s">
        <v>42</v>
      </c>
      <c r="S548">
        <v>3.8</v>
      </c>
      <c r="T548">
        <v>6.7</v>
      </c>
      <c r="U548">
        <v>5</v>
      </c>
      <c r="V548">
        <v>10</v>
      </c>
      <c r="X548">
        <v>6.9</v>
      </c>
      <c r="Y548">
        <v>5.4</v>
      </c>
      <c r="Z548">
        <v>4</v>
      </c>
      <c r="AA548">
        <v>3.1</v>
      </c>
      <c r="AB548">
        <v>3.2</v>
      </c>
      <c r="AC548">
        <v>5.5</v>
      </c>
      <c r="AD548" t="s">
        <v>45</v>
      </c>
      <c r="AE548" t="str">
        <f>IF(AND(data[[#This Row],[Age]]&gt;=18,data[[#This Row],[Age]]&lt;=24),"18-24",IF(AND(data[[#This Row],[Age]]&gt;=25,data[[#This Row],[Age]]&lt;=34),"25-34",IF(AND(data[[#This Row],[Age]]&gt;35,data[[#This Row],[Age]]&lt;=44),"35-44",IF(data[[#This Row],[Age]]&gt;44,"45+",IF(data[[#This Row],[Age]]&lt;18,"below 18 ")))))</f>
        <v>25-34</v>
      </c>
    </row>
    <row r="549" spans="1:31" x14ac:dyDescent="0.25">
      <c r="A549" t="s">
        <v>602</v>
      </c>
      <c r="B549">
        <v>41</v>
      </c>
      <c r="C549" t="s">
        <v>31</v>
      </c>
      <c r="D549" t="s">
        <v>57</v>
      </c>
      <c r="E549" t="s">
        <v>33</v>
      </c>
      <c r="F549" t="s">
        <v>51</v>
      </c>
      <c r="G549">
        <v>2.1</v>
      </c>
      <c r="H549">
        <v>1</v>
      </c>
      <c r="I549">
        <v>3</v>
      </c>
      <c r="J549" t="s">
        <v>35</v>
      </c>
      <c r="K549" t="s">
        <v>36</v>
      </c>
      <c r="L549">
        <v>86</v>
      </c>
      <c r="M549">
        <v>9</v>
      </c>
      <c r="N549">
        <v>3.2</v>
      </c>
      <c r="O549">
        <v>6.1</v>
      </c>
      <c r="P549">
        <v>5.0999999999999996</v>
      </c>
      <c r="Q549" t="s">
        <v>35</v>
      </c>
      <c r="R549" t="s">
        <v>35</v>
      </c>
      <c r="S549">
        <v>5.3</v>
      </c>
      <c r="T549">
        <v>3</v>
      </c>
      <c r="U549">
        <v>3.1</v>
      </c>
      <c r="V549">
        <v>8.4</v>
      </c>
      <c r="W549">
        <v>6.1</v>
      </c>
      <c r="X549">
        <v>4.5</v>
      </c>
      <c r="Y549">
        <v>3.2</v>
      </c>
      <c r="Z549">
        <v>2.1</v>
      </c>
      <c r="AA549">
        <v>3.9</v>
      </c>
      <c r="AB549">
        <v>0.2</v>
      </c>
      <c r="AC549">
        <v>7.4</v>
      </c>
      <c r="AD549" t="s">
        <v>53</v>
      </c>
      <c r="AE549" t="str">
        <f>IF(AND(data[[#This Row],[Age]]&gt;=18,data[[#This Row],[Age]]&lt;=24),"18-24",IF(AND(data[[#This Row],[Age]]&gt;=25,data[[#This Row],[Age]]&lt;=34),"25-34",IF(AND(data[[#This Row],[Age]]&gt;35,data[[#This Row],[Age]]&lt;=44),"35-44",IF(data[[#This Row],[Age]]&gt;44,"45+",IF(data[[#This Row],[Age]]&lt;18,"below 18 ")))))</f>
        <v>35-44</v>
      </c>
    </row>
    <row r="550" spans="1:31" x14ac:dyDescent="0.25">
      <c r="A550" t="s">
        <v>603</v>
      </c>
      <c r="B550">
        <v>31</v>
      </c>
      <c r="C550" t="s">
        <v>31</v>
      </c>
      <c r="D550" t="s">
        <v>32</v>
      </c>
      <c r="E550" t="s">
        <v>58</v>
      </c>
      <c r="F550" t="s">
        <v>34</v>
      </c>
      <c r="G550">
        <v>2.2000000000000002</v>
      </c>
      <c r="H550">
        <v>3</v>
      </c>
      <c r="I550">
        <v>4</v>
      </c>
      <c r="J550" t="s">
        <v>42</v>
      </c>
      <c r="K550" t="s">
        <v>36</v>
      </c>
      <c r="L550">
        <v>5</v>
      </c>
      <c r="M550">
        <v>7.4</v>
      </c>
      <c r="N550">
        <v>9.6</v>
      </c>
      <c r="O550">
        <v>7.8</v>
      </c>
      <c r="P550">
        <v>5.6</v>
      </c>
      <c r="R550" t="s">
        <v>35</v>
      </c>
      <c r="S550">
        <v>4.8</v>
      </c>
      <c r="T550">
        <v>6.2</v>
      </c>
      <c r="U550">
        <v>3.3</v>
      </c>
      <c r="V550">
        <v>4.3</v>
      </c>
      <c r="W550">
        <v>5.2</v>
      </c>
      <c r="X550">
        <v>7.9</v>
      </c>
      <c r="Y550">
        <v>5.7</v>
      </c>
      <c r="Z550">
        <v>6.7</v>
      </c>
      <c r="AA550">
        <v>1.5</v>
      </c>
      <c r="AB550">
        <v>2.2000000000000002</v>
      </c>
      <c r="AC550">
        <v>5.3</v>
      </c>
      <c r="AD550" t="s">
        <v>45</v>
      </c>
      <c r="AE550" t="str">
        <f>IF(AND(data[[#This Row],[Age]]&gt;=18,data[[#This Row],[Age]]&lt;=24),"18-24",IF(AND(data[[#This Row],[Age]]&gt;=25,data[[#This Row],[Age]]&lt;=34),"25-34",IF(AND(data[[#This Row],[Age]]&gt;35,data[[#This Row],[Age]]&lt;=44),"35-44",IF(data[[#This Row],[Age]]&gt;44,"45+",IF(data[[#This Row],[Age]]&lt;18,"below 18 ")))))</f>
        <v>25-34</v>
      </c>
    </row>
    <row r="551" spans="1:31" x14ac:dyDescent="0.25">
      <c r="A551" t="s">
        <v>604</v>
      </c>
      <c r="B551">
        <v>17</v>
      </c>
      <c r="C551" t="s">
        <v>31</v>
      </c>
      <c r="D551" t="s">
        <v>32</v>
      </c>
      <c r="E551" t="s">
        <v>33</v>
      </c>
      <c r="F551" t="s">
        <v>41</v>
      </c>
      <c r="G551">
        <v>3.2</v>
      </c>
      <c r="H551">
        <v>5</v>
      </c>
      <c r="I551">
        <v>6</v>
      </c>
      <c r="J551" t="s">
        <v>42</v>
      </c>
      <c r="K551" t="s">
        <v>52</v>
      </c>
      <c r="L551">
        <v>74</v>
      </c>
      <c r="M551">
        <v>6.4</v>
      </c>
      <c r="N551">
        <v>4.9000000000000004</v>
      </c>
      <c r="O551">
        <v>9.1</v>
      </c>
      <c r="P551">
        <v>5</v>
      </c>
      <c r="Q551" t="s">
        <v>42</v>
      </c>
      <c r="R551" t="s">
        <v>42</v>
      </c>
      <c r="S551">
        <v>8.9</v>
      </c>
      <c r="T551">
        <v>5.9</v>
      </c>
      <c r="U551">
        <v>7.8</v>
      </c>
      <c r="V551">
        <v>5.7</v>
      </c>
      <c r="W551">
        <v>3.2</v>
      </c>
      <c r="X551">
        <v>4.0999999999999996</v>
      </c>
      <c r="Y551">
        <v>3.2</v>
      </c>
      <c r="Z551">
        <v>7.5</v>
      </c>
      <c r="AA551">
        <v>0</v>
      </c>
      <c r="AB551">
        <v>4.4000000000000004</v>
      </c>
      <c r="AC551">
        <v>4.3</v>
      </c>
      <c r="AD551" t="s">
        <v>43</v>
      </c>
      <c r="AE551" t="str">
        <f>IF(AND(data[[#This Row],[Age]]&gt;=18,data[[#This Row],[Age]]&lt;=24),"18-24",IF(AND(data[[#This Row],[Age]]&gt;=25,data[[#This Row],[Age]]&lt;=34),"25-34",IF(AND(data[[#This Row],[Age]]&gt;35,data[[#This Row],[Age]]&lt;=44),"35-44",IF(data[[#This Row],[Age]]&gt;44,"45+",IF(data[[#This Row],[Age]]&lt;18,"below 18 ")))))</f>
        <v xml:space="preserve">below 18 </v>
      </c>
    </row>
    <row r="552" spans="1:31" x14ac:dyDescent="0.25">
      <c r="A552" t="s">
        <v>605</v>
      </c>
      <c r="B552">
        <v>22</v>
      </c>
      <c r="C552" t="s">
        <v>47</v>
      </c>
      <c r="D552" t="s">
        <v>39</v>
      </c>
      <c r="E552" t="s">
        <v>40</v>
      </c>
      <c r="F552" t="s">
        <v>34</v>
      </c>
      <c r="G552">
        <v>3.5</v>
      </c>
      <c r="H552">
        <v>2</v>
      </c>
      <c r="I552">
        <v>5</v>
      </c>
      <c r="J552" t="s">
        <v>35</v>
      </c>
      <c r="K552" t="s">
        <v>62</v>
      </c>
      <c r="L552">
        <v>43</v>
      </c>
      <c r="M552">
        <v>3.9</v>
      </c>
      <c r="N552">
        <v>9.6</v>
      </c>
      <c r="O552">
        <v>3.1</v>
      </c>
      <c r="P552">
        <v>10</v>
      </c>
      <c r="Q552" t="s">
        <v>42</v>
      </c>
      <c r="R552" t="s">
        <v>42</v>
      </c>
      <c r="S552">
        <v>4.7</v>
      </c>
      <c r="T552">
        <v>4.4000000000000004</v>
      </c>
      <c r="U552">
        <v>3.4</v>
      </c>
      <c r="V552">
        <v>3.7</v>
      </c>
      <c r="X552">
        <v>5.0999999999999996</v>
      </c>
      <c r="Y552">
        <v>7.3</v>
      </c>
      <c r="Z552">
        <v>5.7</v>
      </c>
      <c r="AA552">
        <v>5.0999999999999996</v>
      </c>
      <c r="AB552">
        <v>4.5</v>
      </c>
      <c r="AC552">
        <v>6.7</v>
      </c>
      <c r="AD552" t="s">
        <v>53</v>
      </c>
      <c r="AE552" t="str">
        <f>IF(AND(data[[#This Row],[Age]]&gt;=18,data[[#This Row],[Age]]&lt;=24),"18-24",IF(AND(data[[#This Row],[Age]]&gt;=25,data[[#This Row],[Age]]&lt;=34),"25-34",IF(AND(data[[#This Row],[Age]]&gt;35,data[[#This Row],[Age]]&lt;=44),"35-44",IF(data[[#This Row],[Age]]&gt;44,"45+",IF(data[[#This Row],[Age]]&lt;18,"below 18 ")))))</f>
        <v>18-24</v>
      </c>
    </row>
    <row r="553" spans="1:31" x14ac:dyDescent="0.25">
      <c r="A553" t="s">
        <v>606</v>
      </c>
      <c r="B553">
        <v>39</v>
      </c>
      <c r="C553" t="s">
        <v>31</v>
      </c>
      <c r="D553" t="s">
        <v>32</v>
      </c>
      <c r="E553" t="s">
        <v>40</v>
      </c>
      <c r="F553" t="s">
        <v>41</v>
      </c>
      <c r="G553">
        <v>0.8</v>
      </c>
      <c r="H553">
        <v>2</v>
      </c>
      <c r="I553">
        <v>1</v>
      </c>
      <c r="J553" t="s">
        <v>42</v>
      </c>
      <c r="K553" t="s">
        <v>62</v>
      </c>
      <c r="L553">
        <v>81</v>
      </c>
      <c r="M553">
        <v>5.6</v>
      </c>
      <c r="N553">
        <v>5.5</v>
      </c>
      <c r="O553">
        <v>7.2</v>
      </c>
      <c r="P553">
        <v>6.9</v>
      </c>
      <c r="Q553" t="s">
        <v>42</v>
      </c>
      <c r="R553" t="s">
        <v>42</v>
      </c>
      <c r="S553">
        <v>8.6</v>
      </c>
      <c r="T553">
        <v>8.6999999999999993</v>
      </c>
      <c r="U553">
        <v>0.2</v>
      </c>
      <c r="V553">
        <v>6.4</v>
      </c>
      <c r="W553">
        <v>7.5</v>
      </c>
      <c r="X553">
        <v>8.8000000000000007</v>
      </c>
      <c r="Y553">
        <v>3.2</v>
      </c>
      <c r="Z553">
        <v>4.8</v>
      </c>
      <c r="AA553">
        <v>0.2</v>
      </c>
      <c r="AB553">
        <v>4</v>
      </c>
      <c r="AC553">
        <v>6.8</v>
      </c>
      <c r="AD553" t="s">
        <v>53</v>
      </c>
      <c r="AE553" t="str">
        <f>IF(AND(data[[#This Row],[Age]]&gt;=18,data[[#This Row],[Age]]&lt;=24),"18-24",IF(AND(data[[#This Row],[Age]]&gt;=25,data[[#This Row],[Age]]&lt;=34),"25-34",IF(AND(data[[#This Row],[Age]]&gt;35,data[[#This Row],[Age]]&lt;=44),"35-44",IF(data[[#This Row],[Age]]&gt;44,"45+",IF(data[[#This Row],[Age]]&lt;18,"below 18 ")))))</f>
        <v>35-44</v>
      </c>
    </row>
    <row r="554" spans="1:31" x14ac:dyDescent="0.25">
      <c r="A554" t="s">
        <v>607</v>
      </c>
      <c r="B554">
        <v>25</v>
      </c>
      <c r="C554" t="s">
        <v>31</v>
      </c>
      <c r="D554" t="s">
        <v>32</v>
      </c>
      <c r="E554" t="s">
        <v>58</v>
      </c>
      <c r="F554" t="s">
        <v>51</v>
      </c>
      <c r="G554">
        <v>1.9</v>
      </c>
      <c r="H554">
        <v>4</v>
      </c>
      <c r="I554">
        <v>2</v>
      </c>
      <c r="J554" t="s">
        <v>35</v>
      </c>
      <c r="K554" t="s">
        <v>36</v>
      </c>
      <c r="L554">
        <v>76</v>
      </c>
      <c r="M554">
        <v>3.9</v>
      </c>
      <c r="N554">
        <v>8.4</v>
      </c>
      <c r="O554">
        <v>6.1</v>
      </c>
      <c r="P554">
        <v>4.2</v>
      </c>
      <c r="Q554" t="s">
        <v>42</v>
      </c>
      <c r="R554" t="s">
        <v>42</v>
      </c>
      <c r="S554">
        <v>6</v>
      </c>
      <c r="T554">
        <v>5.8</v>
      </c>
      <c r="U554">
        <v>4.3</v>
      </c>
      <c r="V554">
        <v>7.5</v>
      </c>
      <c r="W554">
        <v>6.8</v>
      </c>
      <c r="X554">
        <v>5.9</v>
      </c>
      <c r="Y554">
        <v>5.0999999999999996</v>
      </c>
      <c r="Z554">
        <v>7.7</v>
      </c>
      <c r="AA554">
        <v>3.5</v>
      </c>
      <c r="AB554">
        <v>3.3</v>
      </c>
      <c r="AC554">
        <v>5.8</v>
      </c>
      <c r="AD554" t="s">
        <v>53</v>
      </c>
      <c r="AE554" t="str">
        <f>IF(AND(data[[#This Row],[Age]]&gt;=18,data[[#This Row],[Age]]&lt;=24),"18-24",IF(AND(data[[#This Row],[Age]]&gt;=25,data[[#This Row],[Age]]&lt;=34),"25-34",IF(AND(data[[#This Row],[Age]]&gt;35,data[[#This Row],[Age]]&lt;=44),"35-44",IF(data[[#This Row],[Age]]&gt;44,"45+",IF(data[[#This Row],[Age]]&lt;18,"below 18 ")))))</f>
        <v>25-34</v>
      </c>
    </row>
    <row r="555" spans="1:31" x14ac:dyDescent="0.25">
      <c r="A555" t="s">
        <v>608</v>
      </c>
      <c r="B555">
        <v>23</v>
      </c>
      <c r="C555" t="s">
        <v>47</v>
      </c>
      <c r="D555" t="s">
        <v>32</v>
      </c>
      <c r="E555" t="s">
        <v>33</v>
      </c>
      <c r="F555" t="s">
        <v>59</v>
      </c>
      <c r="G555">
        <v>7.1</v>
      </c>
      <c r="H555">
        <v>1</v>
      </c>
      <c r="I555">
        <v>6</v>
      </c>
      <c r="K555" t="s">
        <v>36</v>
      </c>
      <c r="L555">
        <v>64</v>
      </c>
      <c r="M555">
        <v>5.5</v>
      </c>
      <c r="N555">
        <v>3</v>
      </c>
      <c r="O555">
        <v>3.3</v>
      </c>
      <c r="P555">
        <v>3.4</v>
      </c>
      <c r="Q555" t="s">
        <v>42</v>
      </c>
      <c r="R555" t="s">
        <v>35</v>
      </c>
      <c r="S555">
        <v>5.8</v>
      </c>
      <c r="T555">
        <v>2.7</v>
      </c>
      <c r="U555">
        <v>5.6</v>
      </c>
      <c r="V555">
        <v>3.5</v>
      </c>
      <c r="W555">
        <v>3.8</v>
      </c>
      <c r="X555">
        <v>5.6</v>
      </c>
      <c r="Y555">
        <v>6.8</v>
      </c>
      <c r="Z555">
        <v>4.5</v>
      </c>
      <c r="AA555">
        <v>0.6</v>
      </c>
      <c r="AB555">
        <v>2.4</v>
      </c>
      <c r="AC555">
        <v>6.7</v>
      </c>
      <c r="AD555" t="s">
        <v>45</v>
      </c>
      <c r="AE555" t="str">
        <f>IF(AND(data[[#This Row],[Age]]&gt;=18,data[[#This Row],[Age]]&lt;=24),"18-24",IF(AND(data[[#This Row],[Age]]&gt;=25,data[[#This Row],[Age]]&lt;=34),"25-34",IF(AND(data[[#This Row],[Age]]&gt;35,data[[#This Row],[Age]]&lt;=44),"35-44",IF(data[[#This Row],[Age]]&gt;44,"45+",IF(data[[#This Row],[Age]]&lt;18,"below 18 ")))))</f>
        <v>18-24</v>
      </c>
    </row>
    <row r="556" spans="1:31" x14ac:dyDescent="0.25">
      <c r="A556" t="s">
        <v>609</v>
      </c>
      <c r="B556">
        <v>44</v>
      </c>
      <c r="C556" t="s">
        <v>31</v>
      </c>
      <c r="D556" t="s">
        <v>32</v>
      </c>
      <c r="E556" t="s">
        <v>33</v>
      </c>
      <c r="F556" t="s">
        <v>59</v>
      </c>
      <c r="G556">
        <v>6.9</v>
      </c>
      <c r="H556">
        <v>3</v>
      </c>
      <c r="I556">
        <v>3</v>
      </c>
      <c r="J556" t="s">
        <v>42</v>
      </c>
      <c r="K556" t="s">
        <v>52</v>
      </c>
      <c r="L556">
        <v>71</v>
      </c>
      <c r="M556">
        <v>6</v>
      </c>
      <c r="N556">
        <v>4.5</v>
      </c>
      <c r="O556">
        <v>3.4</v>
      </c>
      <c r="P556">
        <v>3.1</v>
      </c>
      <c r="Q556" t="s">
        <v>35</v>
      </c>
      <c r="R556" t="s">
        <v>35</v>
      </c>
      <c r="S556">
        <v>2.1</v>
      </c>
      <c r="T556">
        <v>5.3</v>
      </c>
      <c r="U556">
        <v>2.7</v>
      </c>
      <c r="V556">
        <v>8.1999999999999993</v>
      </c>
      <c r="W556">
        <v>6</v>
      </c>
      <c r="X556">
        <v>6.3</v>
      </c>
      <c r="Y556">
        <v>7</v>
      </c>
      <c r="AA556">
        <v>1.4</v>
      </c>
      <c r="AB556">
        <v>0.9</v>
      </c>
      <c r="AC556">
        <v>7.7</v>
      </c>
      <c r="AD556" t="s">
        <v>37</v>
      </c>
      <c r="AE556" t="str">
        <f>IF(AND(data[[#This Row],[Age]]&gt;=18,data[[#This Row],[Age]]&lt;=24),"18-24",IF(AND(data[[#This Row],[Age]]&gt;=25,data[[#This Row],[Age]]&lt;=34),"25-34",IF(AND(data[[#This Row],[Age]]&gt;35,data[[#This Row],[Age]]&lt;=44),"35-44",IF(data[[#This Row],[Age]]&gt;44,"45+",IF(data[[#This Row],[Age]]&lt;18,"below 18 ")))))</f>
        <v>35-44</v>
      </c>
    </row>
    <row r="557" spans="1:31" x14ac:dyDescent="0.25">
      <c r="A557" t="s">
        <v>610</v>
      </c>
      <c r="B557">
        <v>19</v>
      </c>
      <c r="C557" t="s">
        <v>47</v>
      </c>
      <c r="D557" t="s">
        <v>64</v>
      </c>
      <c r="E557" t="s">
        <v>58</v>
      </c>
      <c r="F557" t="s">
        <v>34</v>
      </c>
      <c r="G557">
        <v>7.9</v>
      </c>
      <c r="H557">
        <v>1</v>
      </c>
      <c r="I557">
        <v>4</v>
      </c>
      <c r="J557" t="s">
        <v>35</v>
      </c>
      <c r="K557" t="s">
        <v>36</v>
      </c>
      <c r="L557">
        <v>66</v>
      </c>
      <c r="M557">
        <v>4.0999999999999996</v>
      </c>
      <c r="N557">
        <v>3</v>
      </c>
      <c r="O557">
        <v>4.5999999999999996</v>
      </c>
      <c r="P557">
        <v>4.2</v>
      </c>
      <c r="Q557" t="s">
        <v>35</v>
      </c>
      <c r="R557" t="s">
        <v>35</v>
      </c>
      <c r="S557">
        <v>4.2</v>
      </c>
      <c r="T557">
        <v>7</v>
      </c>
      <c r="U557">
        <v>5.6</v>
      </c>
      <c r="V557">
        <v>4.8</v>
      </c>
      <c r="W557">
        <v>8.3000000000000007</v>
      </c>
      <c r="X557">
        <v>7.5</v>
      </c>
      <c r="Y557">
        <v>1.7</v>
      </c>
      <c r="Z557">
        <v>8.4</v>
      </c>
      <c r="AA557">
        <v>1.6</v>
      </c>
      <c r="AB557">
        <v>0</v>
      </c>
      <c r="AC557">
        <v>8.4</v>
      </c>
      <c r="AD557" t="s">
        <v>37</v>
      </c>
      <c r="AE557" t="str">
        <f>IF(AND(data[[#This Row],[Age]]&gt;=18,data[[#This Row],[Age]]&lt;=24),"18-24",IF(AND(data[[#This Row],[Age]]&gt;=25,data[[#This Row],[Age]]&lt;=34),"25-34",IF(AND(data[[#This Row],[Age]]&gt;35,data[[#This Row],[Age]]&lt;=44),"35-44",IF(data[[#This Row],[Age]]&gt;44,"45+",IF(data[[#This Row],[Age]]&lt;18,"below 18 ")))))</f>
        <v>18-24</v>
      </c>
    </row>
    <row r="558" spans="1:31" x14ac:dyDescent="0.25">
      <c r="A558" t="s">
        <v>611</v>
      </c>
      <c r="B558">
        <v>15</v>
      </c>
      <c r="C558" t="s">
        <v>31</v>
      </c>
      <c r="D558" t="s">
        <v>32</v>
      </c>
      <c r="E558" t="s">
        <v>58</v>
      </c>
      <c r="F558" t="s">
        <v>51</v>
      </c>
      <c r="G558">
        <v>6.9</v>
      </c>
      <c r="H558">
        <v>4</v>
      </c>
      <c r="I558">
        <v>3</v>
      </c>
      <c r="J558" t="s">
        <v>42</v>
      </c>
      <c r="K558" t="s">
        <v>52</v>
      </c>
      <c r="L558">
        <v>38</v>
      </c>
      <c r="M558">
        <v>3.8</v>
      </c>
      <c r="N558">
        <v>5.5</v>
      </c>
      <c r="O558">
        <v>5.5</v>
      </c>
      <c r="P558">
        <v>4.8</v>
      </c>
      <c r="Q558" t="s">
        <v>42</v>
      </c>
      <c r="R558" t="s">
        <v>35</v>
      </c>
      <c r="S558">
        <v>2.8</v>
      </c>
      <c r="T558">
        <v>6.1</v>
      </c>
      <c r="U558">
        <v>5.0999999999999996</v>
      </c>
      <c r="V558">
        <v>5</v>
      </c>
      <c r="W558">
        <v>6.5</v>
      </c>
      <c r="Y558">
        <v>4.3</v>
      </c>
      <c r="Z558">
        <v>3.5</v>
      </c>
      <c r="AA558">
        <v>5.5</v>
      </c>
      <c r="AB558">
        <v>2.9</v>
      </c>
      <c r="AC558">
        <v>7.3</v>
      </c>
      <c r="AD558" t="s">
        <v>53</v>
      </c>
      <c r="AE558" t="str">
        <f>IF(AND(data[[#This Row],[Age]]&gt;=18,data[[#This Row],[Age]]&lt;=24),"18-24",IF(AND(data[[#This Row],[Age]]&gt;=25,data[[#This Row],[Age]]&lt;=34),"25-34",IF(AND(data[[#This Row],[Age]]&gt;35,data[[#This Row],[Age]]&lt;=44),"35-44",IF(data[[#This Row],[Age]]&gt;44,"45+",IF(data[[#This Row],[Age]]&lt;18,"below 18 ")))))</f>
        <v xml:space="preserve">below 18 </v>
      </c>
    </row>
    <row r="559" spans="1:31" x14ac:dyDescent="0.25">
      <c r="A559" t="s">
        <v>612</v>
      </c>
      <c r="B559">
        <v>35</v>
      </c>
      <c r="C559" t="s">
        <v>31</v>
      </c>
      <c r="D559" t="s">
        <v>32</v>
      </c>
      <c r="E559" t="s">
        <v>40</v>
      </c>
      <c r="F559" t="s">
        <v>51</v>
      </c>
      <c r="G559">
        <v>6.3</v>
      </c>
      <c r="H559">
        <v>3</v>
      </c>
      <c r="I559">
        <v>7</v>
      </c>
      <c r="J559" t="s">
        <v>42</v>
      </c>
      <c r="K559" t="s">
        <v>52</v>
      </c>
      <c r="L559">
        <v>5</v>
      </c>
      <c r="M559">
        <v>4.9000000000000004</v>
      </c>
      <c r="N559">
        <v>3.9</v>
      </c>
      <c r="O559">
        <v>4.7</v>
      </c>
      <c r="P559">
        <v>6.8</v>
      </c>
      <c r="Q559" t="s">
        <v>35</v>
      </c>
      <c r="R559" t="s">
        <v>35</v>
      </c>
      <c r="S559">
        <v>5.7</v>
      </c>
      <c r="T559">
        <v>7.6</v>
      </c>
      <c r="U559">
        <v>3.9</v>
      </c>
      <c r="V559">
        <v>7.4</v>
      </c>
      <c r="W559">
        <v>6.1</v>
      </c>
      <c r="X559">
        <v>6.7</v>
      </c>
      <c r="Y559">
        <v>3</v>
      </c>
      <c r="Z559">
        <v>4.5999999999999996</v>
      </c>
      <c r="AA559">
        <v>1.4</v>
      </c>
      <c r="AB559">
        <v>4.5</v>
      </c>
      <c r="AC559">
        <v>7.3</v>
      </c>
      <c r="AD559" t="s">
        <v>53</v>
      </c>
      <c r="AE559" t="b">
        <f>IF(AND(data[[#This Row],[Age]]&gt;=18,data[[#This Row],[Age]]&lt;=24),"18-24",IF(AND(data[[#This Row],[Age]]&gt;=25,data[[#This Row],[Age]]&lt;=34),"25-34",IF(AND(data[[#This Row],[Age]]&gt;35,data[[#This Row],[Age]]&lt;=44),"35-44",IF(data[[#This Row],[Age]]&gt;44,"45+",IF(data[[#This Row],[Age]]&lt;18,"below 18 ")))))</f>
        <v>0</v>
      </c>
    </row>
    <row r="560" spans="1:31" x14ac:dyDescent="0.25">
      <c r="A560" t="s">
        <v>613</v>
      </c>
      <c r="B560">
        <v>32</v>
      </c>
      <c r="C560" t="s">
        <v>50</v>
      </c>
      <c r="D560" t="s">
        <v>32</v>
      </c>
      <c r="E560" t="s">
        <v>58</v>
      </c>
      <c r="F560" t="s">
        <v>41</v>
      </c>
      <c r="G560">
        <v>8.1</v>
      </c>
      <c r="H560">
        <v>3</v>
      </c>
      <c r="I560">
        <v>5</v>
      </c>
      <c r="J560" t="s">
        <v>42</v>
      </c>
      <c r="K560" t="s">
        <v>52</v>
      </c>
      <c r="L560">
        <v>61</v>
      </c>
      <c r="M560">
        <v>4.5999999999999996</v>
      </c>
      <c r="N560">
        <v>8.6</v>
      </c>
      <c r="O560">
        <v>5.9</v>
      </c>
      <c r="P560">
        <v>7.5</v>
      </c>
      <c r="Q560" t="s">
        <v>35</v>
      </c>
      <c r="R560" t="s">
        <v>35</v>
      </c>
      <c r="S560">
        <v>3.6</v>
      </c>
      <c r="T560">
        <v>4.7</v>
      </c>
      <c r="U560">
        <v>3.6</v>
      </c>
      <c r="V560">
        <v>3.1</v>
      </c>
      <c r="W560">
        <v>7.1</v>
      </c>
      <c r="X560">
        <v>5.9</v>
      </c>
      <c r="Y560">
        <v>7.6</v>
      </c>
      <c r="Z560">
        <v>5</v>
      </c>
      <c r="AA560">
        <v>1.3</v>
      </c>
      <c r="AB560">
        <v>3.4</v>
      </c>
      <c r="AC560">
        <v>4.4000000000000004</v>
      </c>
      <c r="AD560" t="s">
        <v>43</v>
      </c>
      <c r="AE560" t="str">
        <f>IF(AND(data[[#This Row],[Age]]&gt;=18,data[[#This Row],[Age]]&lt;=24),"18-24",IF(AND(data[[#This Row],[Age]]&gt;=25,data[[#This Row],[Age]]&lt;=34),"25-34",IF(AND(data[[#This Row],[Age]]&gt;35,data[[#This Row],[Age]]&lt;=44),"35-44",IF(data[[#This Row],[Age]]&gt;44,"45+",IF(data[[#This Row],[Age]]&lt;18,"below 18 ")))))</f>
        <v>25-34</v>
      </c>
    </row>
    <row r="561" spans="1:31" x14ac:dyDescent="0.25">
      <c r="A561" t="s">
        <v>614</v>
      </c>
      <c r="B561">
        <v>38</v>
      </c>
      <c r="C561" t="s">
        <v>31</v>
      </c>
      <c r="D561" t="s">
        <v>32</v>
      </c>
      <c r="E561" t="s">
        <v>33</v>
      </c>
      <c r="F561" t="s">
        <v>34</v>
      </c>
      <c r="G561">
        <v>5.8</v>
      </c>
      <c r="H561">
        <v>4</v>
      </c>
      <c r="I561">
        <v>5</v>
      </c>
      <c r="J561" t="s">
        <v>42</v>
      </c>
      <c r="K561" t="s">
        <v>62</v>
      </c>
      <c r="L561">
        <v>80</v>
      </c>
      <c r="M561">
        <v>6.4</v>
      </c>
      <c r="N561">
        <v>5.4</v>
      </c>
      <c r="O561">
        <v>5.8</v>
      </c>
      <c r="P561">
        <v>5.3</v>
      </c>
      <c r="Q561" t="s">
        <v>35</v>
      </c>
      <c r="R561" t="s">
        <v>42</v>
      </c>
      <c r="S561">
        <v>5.3</v>
      </c>
      <c r="T561">
        <v>4.5999999999999996</v>
      </c>
      <c r="U561">
        <v>6.5</v>
      </c>
      <c r="V561">
        <v>5.6</v>
      </c>
      <c r="W561">
        <v>6.2</v>
      </c>
      <c r="X561">
        <v>5</v>
      </c>
      <c r="Y561">
        <v>5.6</v>
      </c>
      <c r="Z561">
        <v>7.3</v>
      </c>
      <c r="AA561">
        <v>2.6</v>
      </c>
      <c r="AB561">
        <v>0</v>
      </c>
      <c r="AC561">
        <v>5.3</v>
      </c>
      <c r="AD561" t="s">
        <v>43</v>
      </c>
      <c r="AE561" t="str">
        <f>IF(AND(data[[#This Row],[Age]]&gt;=18,data[[#This Row],[Age]]&lt;=24),"18-24",IF(AND(data[[#This Row],[Age]]&gt;=25,data[[#This Row],[Age]]&lt;=34),"25-34",IF(AND(data[[#This Row],[Age]]&gt;35,data[[#This Row],[Age]]&lt;=44),"35-44",IF(data[[#This Row],[Age]]&gt;44,"45+",IF(data[[#This Row],[Age]]&lt;18,"below 18 ")))))</f>
        <v>35-44</v>
      </c>
    </row>
    <row r="562" spans="1:31" x14ac:dyDescent="0.25">
      <c r="A562" t="s">
        <v>615</v>
      </c>
      <c r="B562">
        <v>35</v>
      </c>
      <c r="C562" t="s">
        <v>31</v>
      </c>
      <c r="D562" t="s">
        <v>32</v>
      </c>
      <c r="E562" t="s">
        <v>33</v>
      </c>
      <c r="F562" t="s">
        <v>34</v>
      </c>
      <c r="G562">
        <v>3.8</v>
      </c>
      <c r="H562">
        <v>8</v>
      </c>
      <c r="I562">
        <v>4</v>
      </c>
      <c r="J562" t="s">
        <v>42</v>
      </c>
      <c r="K562" t="s">
        <v>52</v>
      </c>
      <c r="L562">
        <v>65</v>
      </c>
      <c r="M562">
        <v>2.4</v>
      </c>
      <c r="N562">
        <v>5.0999999999999996</v>
      </c>
      <c r="O562">
        <v>7.3</v>
      </c>
      <c r="P562">
        <v>6.3</v>
      </c>
      <c r="R562" t="s">
        <v>42</v>
      </c>
      <c r="S562">
        <v>4.2</v>
      </c>
      <c r="T562">
        <v>4.0999999999999996</v>
      </c>
      <c r="U562">
        <v>1.7</v>
      </c>
      <c r="V562">
        <v>6</v>
      </c>
      <c r="W562">
        <v>5.2</v>
      </c>
      <c r="X562">
        <v>5.9</v>
      </c>
      <c r="Y562">
        <v>1.1000000000000001</v>
      </c>
      <c r="Z562">
        <v>4.8</v>
      </c>
      <c r="AA562">
        <v>4.0999999999999996</v>
      </c>
      <c r="AB562">
        <v>2.2999999999999998</v>
      </c>
      <c r="AC562">
        <v>7</v>
      </c>
      <c r="AD562" t="s">
        <v>53</v>
      </c>
      <c r="AE562" t="b">
        <f>IF(AND(data[[#This Row],[Age]]&gt;=18,data[[#This Row],[Age]]&lt;=24),"18-24",IF(AND(data[[#This Row],[Age]]&gt;=25,data[[#This Row],[Age]]&lt;=34),"25-34",IF(AND(data[[#This Row],[Age]]&gt;35,data[[#This Row],[Age]]&lt;=44),"35-44",IF(data[[#This Row],[Age]]&gt;44,"45+",IF(data[[#This Row],[Age]]&lt;18,"below 18 ")))))</f>
        <v>0</v>
      </c>
    </row>
    <row r="563" spans="1:31" x14ac:dyDescent="0.25">
      <c r="A563" t="s">
        <v>616</v>
      </c>
      <c r="B563">
        <v>43</v>
      </c>
      <c r="C563" t="s">
        <v>47</v>
      </c>
      <c r="D563" t="s">
        <v>64</v>
      </c>
      <c r="E563" t="s">
        <v>58</v>
      </c>
      <c r="F563" t="s">
        <v>51</v>
      </c>
      <c r="G563">
        <v>3.8</v>
      </c>
      <c r="H563">
        <v>3</v>
      </c>
      <c r="I563">
        <v>4</v>
      </c>
      <c r="J563" t="s">
        <v>42</v>
      </c>
      <c r="K563" t="s">
        <v>36</v>
      </c>
      <c r="L563">
        <v>25</v>
      </c>
      <c r="M563">
        <v>7.2</v>
      </c>
      <c r="N563">
        <v>5.3</v>
      </c>
      <c r="O563">
        <v>3</v>
      </c>
      <c r="P563">
        <v>7.9</v>
      </c>
      <c r="Q563" t="s">
        <v>35</v>
      </c>
      <c r="R563" t="s">
        <v>35</v>
      </c>
      <c r="S563">
        <v>9.6999999999999993</v>
      </c>
      <c r="T563">
        <v>1.7</v>
      </c>
      <c r="U563">
        <v>2.9</v>
      </c>
      <c r="V563">
        <v>7.7</v>
      </c>
      <c r="W563">
        <v>5.8</v>
      </c>
      <c r="X563">
        <v>5.9</v>
      </c>
      <c r="Y563">
        <v>0.6</v>
      </c>
      <c r="Z563">
        <v>8.9</v>
      </c>
      <c r="AA563">
        <v>5.0999999999999996</v>
      </c>
      <c r="AB563">
        <v>3.1</v>
      </c>
      <c r="AC563">
        <v>6.7</v>
      </c>
      <c r="AD563" t="s">
        <v>53</v>
      </c>
      <c r="AE563" t="str">
        <f>IF(AND(data[[#This Row],[Age]]&gt;=18,data[[#This Row],[Age]]&lt;=24),"18-24",IF(AND(data[[#This Row],[Age]]&gt;=25,data[[#This Row],[Age]]&lt;=34),"25-34",IF(AND(data[[#This Row],[Age]]&gt;35,data[[#This Row],[Age]]&lt;=44),"35-44",IF(data[[#This Row],[Age]]&gt;44,"45+",IF(data[[#This Row],[Age]]&lt;18,"below 18 ")))))</f>
        <v>35-44</v>
      </c>
    </row>
    <row r="564" spans="1:31" x14ac:dyDescent="0.25">
      <c r="A564" t="s">
        <v>617</v>
      </c>
      <c r="B564">
        <v>44</v>
      </c>
      <c r="C564" t="s">
        <v>47</v>
      </c>
      <c r="D564" t="s">
        <v>32</v>
      </c>
      <c r="E564" t="s">
        <v>40</v>
      </c>
      <c r="F564" t="s">
        <v>34</v>
      </c>
      <c r="G564">
        <v>5.0999999999999996</v>
      </c>
      <c r="H564">
        <v>1</v>
      </c>
      <c r="I564">
        <v>4</v>
      </c>
      <c r="J564" t="s">
        <v>42</v>
      </c>
      <c r="K564" t="s">
        <v>62</v>
      </c>
      <c r="L564">
        <v>11</v>
      </c>
      <c r="M564">
        <v>8</v>
      </c>
      <c r="N564">
        <v>6.5</v>
      </c>
      <c r="O564">
        <v>5</v>
      </c>
      <c r="P564">
        <v>6.5</v>
      </c>
      <c r="Q564" t="s">
        <v>42</v>
      </c>
      <c r="R564" t="s">
        <v>42</v>
      </c>
      <c r="S564">
        <v>2.1</v>
      </c>
      <c r="T564">
        <v>5.7</v>
      </c>
      <c r="U564">
        <v>1.9</v>
      </c>
      <c r="V564">
        <v>8.4</v>
      </c>
      <c r="W564">
        <v>5</v>
      </c>
      <c r="X564">
        <v>5.9</v>
      </c>
      <c r="Y564">
        <v>5</v>
      </c>
      <c r="Z564">
        <v>4.5</v>
      </c>
      <c r="AA564">
        <v>6.9</v>
      </c>
      <c r="AB564">
        <v>3.1</v>
      </c>
      <c r="AC564">
        <v>7.9</v>
      </c>
      <c r="AD564" t="s">
        <v>53</v>
      </c>
      <c r="AE564" t="str">
        <f>IF(AND(data[[#This Row],[Age]]&gt;=18,data[[#This Row],[Age]]&lt;=24),"18-24",IF(AND(data[[#This Row],[Age]]&gt;=25,data[[#This Row],[Age]]&lt;=34),"25-34",IF(AND(data[[#This Row],[Age]]&gt;35,data[[#This Row],[Age]]&lt;=44),"35-44",IF(data[[#This Row],[Age]]&gt;44,"45+",IF(data[[#This Row],[Age]]&lt;18,"below 18 ")))))</f>
        <v>35-44</v>
      </c>
    </row>
    <row r="565" spans="1:31" x14ac:dyDescent="0.25">
      <c r="A565" t="s">
        <v>618</v>
      </c>
      <c r="B565">
        <v>40</v>
      </c>
      <c r="C565" t="s">
        <v>31</v>
      </c>
      <c r="D565" t="s">
        <v>39</v>
      </c>
      <c r="F565" t="s">
        <v>34</v>
      </c>
      <c r="G565">
        <v>5.4</v>
      </c>
      <c r="H565">
        <v>5</v>
      </c>
      <c r="I565">
        <v>6</v>
      </c>
      <c r="J565" t="s">
        <v>42</v>
      </c>
      <c r="K565" t="s">
        <v>36</v>
      </c>
      <c r="L565">
        <v>37</v>
      </c>
      <c r="M565">
        <v>5.5</v>
      </c>
      <c r="N565">
        <v>7.4</v>
      </c>
      <c r="O565">
        <v>1.6</v>
      </c>
      <c r="P565">
        <v>5.7</v>
      </c>
      <c r="Q565" t="s">
        <v>42</v>
      </c>
      <c r="R565" t="s">
        <v>35</v>
      </c>
      <c r="S565">
        <v>6.1</v>
      </c>
      <c r="T565">
        <v>8.4</v>
      </c>
      <c r="U565">
        <v>3.2</v>
      </c>
      <c r="V565">
        <v>5.6</v>
      </c>
      <c r="W565">
        <v>8.4</v>
      </c>
      <c r="X565">
        <v>7.4</v>
      </c>
      <c r="Y565">
        <v>5</v>
      </c>
      <c r="Z565">
        <v>4.7</v>
      </c>
      <c r="AA565">
        <v>1.3</v>
      </c>
      <c r="AB565">
        <v>0.9</v>
      </c>
      <c r="AC565">
        <v>5.6</v>
      </c>
      <c r="AD565" t="s">
        <v>45</v>
      </c>
      <c r="AE565" t="str">
        <f>IF(AND(data[[#This Row],[Age]]&gt;=18,data[[#This Row],[Age]]&lt;=24),"18-24",IF(AND(data[[#This Row],[Age]]&gt;=25,data[[#This Row],[Age]]&lt;=34),"25-34",IF(AND(data[[#This Row],[Age]]&gt;35,data[[#This Row],[Age]]&lt;=44),"35-44",IF(data[[#This Row],[Age]]&gt;44,"45+",IF(data[[#This Row],[Age]]&lt;18,"below 18 ")))))</f>
        <v>35-44</v>
      </c>
    </row>
    <row r="566" spans="1:31" x14ac:dyDescent="0.25">
      <c r="A566" t="s">
        <v>619</v>
      </c>
      <c r="B566">
        <v>31</v>
      </c>
      <c r="C566" t="s">
        <v>31</v>
      </c>
      <c r="E566" t="s">
        <v>33</v>
      </c>
      <c r="F566" t="s">
        <v>59</v>
      </c>
      <c r="G566">
        <v>4.2</v>
      </c>
      <c r="H566">
        <v>4</v>
      </c>
      <c r="I566">
        <v>1</v>
      </c>
      <c r="J566" t="s">
        <v>35</v>
      </c>
      <c r="K566" t="s">
        <v>36</v>
      </c>
      <c r="L566">
        <v>111</v>
      </c>
      <c r="M566">
        <v>5.7</v>
      </c>
      <c r="N566">
        <v>5.6</v>
      </c>
      <c r="P566">
        <v>6.3</v>
      </c>
      <c r="Q566" t="s">
        <v>35</v>
      </c>
      <c r="R566" t="s">
        <v>35</v>
      </c>
      <c r="S566">
        <v>6.1</v>
      </c>
      <c r="T566">
        <v>4.7</v>
      </c>
      <c r="U566">
        <v>4.3</v>
      </c>
      <c r="V566">
        <v>4.9000000000000004</v>
      </c>
      <c r="W566">
        <v>4</v>
      </c>
      <c r="X566">
        <v>9.6</v>
      </c>
      <c r="Y566">
        <v>4.8</v>
      </c>
      <c r="Z566">
        <v>5.9</v>
      </c>
      <c r="AA566">
        <v>3.5</v>
      </c>
      <c r="AB566">
        <v>2.6</v>
      </c>
      <c r="AC566">
        <v>7</v>
      </c>
      <c r="AD566" t="s">
        <v>53</v>
      </c>
      <c r="AE566" t="str">
        <f>IF(AND(data[[#This Row],[Age]]&gt;=18,data[[#This Row],[Age]]&lt;=24),"18-24",IF(AND(data[[#This Row],[Age]]&gt;=25,data[[#This Row],[Age]]&lt;=34),"25-34",IF(AND(data[[#This Row],[Age]]&gt;35,data[[#This Row],[Age]]&lt;=44),"35-44",IF(data[[#This Row],[Age]]&gt;44,"45+",IF(data[[#This Row],[Age]]&lt;18,"below 18 ")))))</f>
        <v>25-34</v>
      </c>
    </row>
    <row r="567" spans="1:31" x14ac:dyDescent="0.25">
      <c r="A567" t="s">
        <v>620</v>
      </c>
      <c r="B567">
        <v>32</v>
      </c>
      <c r="C567" t="s">
        <v>50</v>
      </c>
      <c r="D567" t="s">
        <v>32</v>
      </c>
      <c r="E567" t="s">
        <v>40</v>
      </c>
      <c r="F567" t="s">
        <v>41</v>
      </c>
      <c r="G567">
        <v>3.7</v>
      </c>
      <c r="H567">
        <v>2</v>
      </c>
      <c r="I567">
        <v>4</v>
      </c>
      <c r="J567" t="s">
        <v>35</v>
      </c>
      <c r="K567" t="s">
        <v>52</v>
      </c>
      <c r="L567">
        <v>105</v>
      </c>
      <c r="M567">
        <v>5.2</v>
      </c>
      <c r="N567">
        <v>2.8</v>
      </c>
      <c r="O567">
        <v>5.6</v>
      </c>
      <c r="P567">
        <v>4.0999999999999996</v>
      </c>
      <c r="Q567" t="s">
        <v>42</v>
      </c>
      <c r="R567" t="s">
        <v>42</v>
      </c>
      <c r="S567">
        <v>4.8</v>
      </c>
      <c r="T567">
        <v>4.3</v>
      </c>
      <c r="U567">
        <v>3.6</v>
      </c>
      <c r="V567">
        <v>4.7</v>
      </c>
      <c r="X567">
        <v>8.6999999999999993</v>
      </c>
      <c r="Y567">
        <v>2.2000000000000002</v>
      </c>
      <c r="Z567">
        <v>4.5</v>
      </c>
      <c r="AB567">
        <v>3.5</v>
      </c>
      <c r="AC567">
        <v>7.3</v>
      </c>
      <c r="AD567" t="s">
        <v>37</v>
      </c>
      <c r="AE567" t="str">
        <f>IF(AND(data[[#This Row],[Age]]&gt;=18,data[[#This Row],[Age]]&lt;=24),"18-24",IF(AND(data[[#This Row],[Age]]&gt;=25,data[[#This Row],[Age]]&lt;=34),"25-34",IF(AND(data[[#This Row],[Age]]&gt;35,data[[#This Row],[Age]]&lt;=44),"35-44",IF(data[[#This Row],[Age]]&gt;44,"45+",IF(data[[#This Row],[Age]]&lt;18,"below 18 ")))))</f>
        <v>25-34</v>
      </c>
    </row>
    <row r="568" spans="1:31" x14ac:dyDescent="0.25">
      <c r="A568" t="s">
        <v>621</v>
      </c>
      <c r="B568">
        <v>31</v>
      </c>
      <c r="C568" t="s">
        <v>31</v>
      </c>
      <c r="D568" t="s">
        <v>32</v>
      </c>
      <c r="E568" t="s">
        <v>58</v>
      </c>
      <c r="F568" t="s">
        <v>51</v>
      </c>
      <c r="G568">
        <v>4.4000000000000004</v>
      </c>
      <c r="H568">
        <v>5</v>
      </c>
      <c r="I568">
        <v>3</v>
      </c>
      <c r="J568" t="s">
        <v>35</v>
      </c>
      <c r="K568" t="s">
        <v>36</v>
      </c>
      <c r="L568">
        <v>14</v>
      </c>
      <c r="M568">
        <v>7.4</v>
      </c>
      <c r="N568">
        <v>6.8</v>
      </c>
      <c r="O568">
        <v>5</v>
      </c>
      <c r="P568">
        <v>3.5</v>
      </c>
      <c r="Q568" t="s">
        <v>42</v>
      </c>
      <c r="R568" t="s">
        <v>42</v>
      </c>
      <c r="S568">
        <v>3.8</v>
      </c>
      <c r="T568">
        <v>4.2</v>
      </c>
      <c r="U568">
        <v>5.7</v>
      </c>
      <c r="V568">
        <v>1.9</v>
      </c>
      <c r="W568">
        <v>0.1</v>
      </c>
      <c r="X568">
        <v>4.4000000000000004</v>
      </c>
      <c r="Y568">
        <v>6.5</v>
      </c>
      <c r="Z568">
        <v>5.8</v>
      </c>
      <c r="AA568">
        <v>4.5</v>
      </c>
      <c r="AB568">
        <v>3.9</v>
      </c>
      <c r="AC568">
        <v>4.8</v>
      </c>
      <c r="AD568" t="s">
        <v>43</v>
      </c>
      <c r="AE568" t="str">
        <f>IF(AND(data[[#This Row],[Age]]&gt;=18,data[[#This Row],[Age]]&lt;=24),"18-24",IF(AND(data[[#This Row],[Age]]&gt;=25,data[[#This Row],[Age]]&lt;=34),"25-34",IF(AND(data[[#This Row],[Age]]&gt;35,data[[#This Row],[Age]]&lt;=44),"35-44",IF(data[[#This Row],[Age]]&gt;44,"45+",IF(data[[#This Row],[Age]]&lt;18,"below 18 ")))))</f>
        <v>25-34</v>
      </c>
    </row>
    <row r="569" spans="1:31" x14ac:dyDescent="0.25">
      <c r="A569" t="s">
        <v>622</v>
      </c>
      <c r="B569">
        <v>25</v>
      </c>
      <c r="C569" t="s">
        <v>47</v>
      </c>
      <c r="D569" t="s">
        <v>64</v>
      </c>
      <c r="E569" t="s">
        <v>33</v>
      </c>
      <c r="F569" t="s">
        <v>70</v>
      </c>
      <c r="G569">
        <v>2.8</v>
      </c>
      <c r="H569">
        <v>2</v>
      </c>
      <c r="I569">
        <v>2</v>
      </c>
      <c r="J569" t="s">
        <v>42</v>
      </c>
      <c r="K569" t="s">
        <v>36</v>
      </c>
      <c r="L569">
        <v>22</v>
      </c>
      <c r="M569">
        <v>5.8</v>
      </c>
      <c r="N569">
        <v>2.8</v>
      </c>
      <c r="O569">
        <v>8.8000000000000007</v>
      </c>
      <c r="P569">
        <v>5.6</v>
      </c>
      <c r="Q569" t="s">
        <v>42</v>
      </c>
      <c r="R569" t="s">
        <v>35</v>
      </c>
      <c r="S569">
        <v>1.1000000000000001</v>
      </c>
      <c r="T569">
        <v>5.9</v>
      </c>
      <c r="U569">
        <v>7.2</v>
      </c>
      <c r="V569">
        <v>7.5</v>
      </c>
      <c r="W569">
        <v>3.3</v>
      </c>
      <c r="X569">
        <v>6.9</v>
      </c>
      <c r="Y569">
        <v>7.6</v>
      </c>
      <c r="Z569">
        <v>5.5</v>
      </c>
      <c r="AB569">
        <v>0</v>
      </c>
      <c r="AC569">
        <v>6.5</v>
      </c>
      <c r="AD569" t="s">
        <v>45</v>
      </c>
      <c r="AE569" t="str">
        <f>IF(AND(data[[#This Row],[Age]]&gt;=18,data[[#This Row],[Age]]&lt;=24),"18-24",IF(AND(data[[#This Row],[Age]]&gt;=25,data[[#This Row],[Age]]&lt;=34),"25-34",IF(AND(data[[#This Row],[Age]]&gt;35,data[[#This Row],[Age]]&lt;=44),"35-44",IF(data[[#This Row],[Age]]&gt;44,"45+",IF(data[[#This Row],[Age]]&lt;18,"below 18 ")))))</f>
        <v>25-34</v>
      </c>
    </row>
    <row r="570" spans="1:31" x14ac:dyDescent="0.25">
      <c r="A570" t="s">
        <v>623</v>
      </c>
      <c r="B570">
        <v>37</v>
      </c>
      <c r="C570" t="s">
        <v>47</v>
      </c>
      <c r="D570" t="s">
        <v>57</v>
      </c>
      <c r="E570" t="s">
        <v>33</v>
      </c>
      <c r="F570" t="s">
        <v>41</v>
      </c>
      <c r="G570">
        <v>9.1999999999999993</v>
      </c>
      <c r="H570">
        <v>3</v>
      </c>
      <c r="I570">
        <v>4</v>
      </c>
      <c r="J570" t="s">
        <v>35</v>
      </c>
      <c r="K570" t="s">
        <v>52</v>
      </c>
      <c r="L570">
        <v>98</v>
      </c>
      <c r="M570">
        <v>3.8</v>
      </c>
      <c r="N570">
        <v>4.8</v>
      </c>
      <c r="O570">
        <v>5.5</v>
      </c>
      <c r="P570">
        <v>4</v>
      </c>
      <c r="Q570" t="s">
        <v>35</v>
      </c>
      <c r="R570" t="s">
        <v>35</v>
      </c>
      <c r="S570">
        <v>3.2</v>
      </c>
      <c r="T570">
        <v>3.2</v>
      </c>
      <c r="U570">
        <v>5.6</v>
      </c>
      <c r="V570">
        <v>4.5999999999999996</v>
      </c>
      <c r="W570">
        <v>6.3</v>
      </c>
      <c r="X570">
        <v>7</v>
      </c>
      <c r="Y570">
        <v>0.4</v>
      </c>
      <c r="Z570">
        <v>3.7</v>
      </c>
      <c r="AA570">
        <v>4</v>
      </c>
      <c r="AB570">
        <v>2.7</v>
      </c>
      <c r="AC570">
        <v>7.3</v>
      </c>
      <c r="AD570" t="s">
        <v>53</v>
      </c>
      <c r="AE570" t="str">
        <f>IF(AND(data[[#This Row],[Age]]&gt;=18,data[[#This Row],[Age]]&lt;=24),"18-24",IF(AND(data[[#This Row],[Age]]&gt;=25,data[[#This Row],[Age]]&lt;=34),"25-34",IF(AND(data[[#This Row],[Age]]&gt;35,data[[#This Row],[Age]]&lt;=44),"35-44",IF(data[[#This Row],[Age]]&gt;44,"45+",IF(data[[#This Row],[Age]]&lt;18,"below 18 ")))))</f>
        <v>35-44</v>
      </c>
    </row>
    <row r="571" spans="1:31" x14ac:dyDescent="0.25">
      <c r="A571" t="s">
        <v>624</v>
      </c>
      <c r="B571">
        <v>33</v>
      </c>
      <c r="C571" t="s">
        <v>47</v>
      </c>
      <c r="D571" t="s">
        <v>64</v>
      </c>
      <c r="E571" t="s">
        <v>58</v>
      </c>
      <c r="F571" t="s">
        <v>59</v>
      </c>
      <c r="G571">
        <v>5.6</v>
      </c>
      <c r="H571">
        <v>3</v>
      </c>
      <c r="I571">
        <v>2</v>
      </c>
      <c r="J571" t="s">
        <v>35</v>
      </c>
      <c r="K571" t="s">
        <v>52</v>
      </c>
      <c r="L571">
        <v>59</v>
      </c>
      <c r="M571">
        <v>4.3</v>
      </c>
      <c r="N571">
        <v>8.5</v>
      </c>
      <c r="O571">
        <v>4.5</v>
      </c>
      <c r="P571">
        <v>7.1</v>
      </c>
      <c r="Q571" t="s">
        <v>42</v>
      </c>
      <c r="R571" t="s">
        <v>42</v>
      </c>
      <c r="S571">
        <v>9.6</v>
      </c>
      <c r="T571">
        <v>5.9</v>
      </c>
      <c r="U571">
        <v>3.4</v>
      </c>
      <c r="V571">
        <v>9</v>
      </c>
      <c r="W571">
        <v>4.2</v>
      </c>
      <c r="X571">
        <v>8.9</v>
      </c>
      <c r="Y571">
        <v>1.7</v>
      </c>
      <c r="Z571">
        <v>7.5</v>
      </c>
      <c r="AA571">
        <v>3.6</v>
      </c>
      <c r="AB571">
        <v>3.3</v>
      </c>
      <c r="AC571">
        <v>6.1</v>
      </c>
      <c r="AD571" t="s">
        <v>53</v>
      </c>
      <c r="AE571" t="str">
        <f>IF(AND(data[[#This Row],[Age]]&gt;=18,data[[#This Row],[Age]]&lt;=24),"18-24",IF(AND(data[[#This Row],[Age]]&gt;=25,data[[#This Row],[Age]]&lt;=34),"25-34",IF(AND(data[[#This Row],[Age]]&gt;35,data[[#This Row],[Age]]&lt;=44),"35-44",IF(data[[#This Row],[Age]]&gt;44,"45+",IF(data[[#This Row],[Age]]&lt;18,"below 18 ")))))</f>
        <v>25-34</v>
      </c>
    </row>
    <row r="572" spans="1:31" x14ac:dyDescent="0.25">
      <c r="A572" t="s">
        <v>625</v>
      </c>
      <c r="B572">
        <v>15</v>
      </c>
      <c r="C572" t="s">
        <v>31</v>
      </c>
      <c r="D572" t="s">
        <v>32</v>
      </c>
      <c r="E572" t="s">
        <v>58</v>
      </c>
      <c r="F572" t="s">
        <v>51</v>
      </c>
      <c r="G572">
        <v>0.5</v>
      </c>
      <c r="H572">
        <v>3</v>
      </c>
      <c r="I572">
        <v>6</v>
      </c>
      <c r="J572" t="s">
        <v>35</v>
      </c>
      <c r="K572" t="s">
        <v>36</v>
      </c>
      <c r="L572">
        <v>63</v>
      </c>
      <c r="M572">
        <v>8</v>
      </c>
      <c r="N572">
        <v>7.6</v>
      </c>
      <c r="O572">
        <v>7.3</v>
      </c>
      <c r="P572">
        <v>3.2</v>
      </c>
      <c r="Q572" t="s">
        <v>42</v>
      </c>
      <c r="R572" t="s">
        <v>42</v>
      </c>
      <c r="S572">
        <v>4.0999999999999996</v>
      </c>
      <c r="T572">
        <v>3.5</v>
      </c>
      <c r="U572">
        <v>2</v>
      </c>
      <c r="V572">
        <v>2.1</v>
      </c>
      <c r="W572">
        <v>7.2</v>
      </c>
      <c r="X572">
        <v>6.8</v>
      </c>
      <c r="Y572">
        <v>7.5</v>
      </c>
      <c r="Z572">
        <v>4.4000000000000004</v>
      </c>
      <c r="AA572">
        <v>3.7</v>
      </c>
      <c r="AB572">
        <v>3.1</v>
      </c>
      <c r="AC572">
        <v>5</v>
      </c>
      <c r="AD572" t="s">
        <v>43</v>
      </c>
      <c r="AE572" t="str">
        <f>IF(AND(data[[#This Row],[Age]]&gt;=18,data[[#This Row],[Age]]&lt;=24),"18-24",IF(AND(data[[#This Row],[Age]]&gt;=25,data[[#This Row],[Age]]&lt;=34),"25-34",IF(AND(data[[#This Row],[Age]]&gt;35,data[[#This Row],[Age]]&lt;=44),"35-44",IF(data[[#This Row],[Age]]&gt;44,"45+",IF(data[[#This Row],[Age]]&lt;18,"below 18 ")))))</f>
        <v xml:space="preserve">below 18 </v>
      </c>
    </row>
    <row r="573" spans="1:31" x14ac:dyDescent="0.25">
      <c r="A573" t="s">
        <v>626</v>
      </c>
      <c r="B573">
        <v>17</v>
      </c>
      <c r="C573" t="s">
        <v>47</v>
      </c>
      <c r="D573" t="s">
        <v>32</v>
      </c>
      <c r="E573" t="s">
        <v>33</v>
      </c>
      <c r="F573" t="s">
        <v>34</v>
      </c>
      <c r="G573">
        <v>6.3</v>
      </c>
      <c r="H573">
        <v>1</v>
      </c>
      <c r="I573">
        <v>3</v>
      </c>
      <c r="J573" t="s">
        <v>35</v>
      </c>
      <c r="K573" t="s">
        <v>36</v>
      </c>
      <c r="L573">
        <v>26</v>
      </c>
      <c r="M573">
        <v>6.4</v>
      </c>
      <c r="N573">
        <v>7.5</v>
      </c>
      <c r="O573">
        <v>5.0999999999999996</v>
      </c>
      <c r="P573">
        <v>7</v>
      </c>
      <c r="Q573" t="s">
        <v>42</v>
      </c>
      <c r="R573" t="s">
        <v>42</v>
      </c>
      <c r="S573">
        <v>8</v>
      </c>
      <c r="T573">
        <v>7.2</v>
      </c>
      <c r="U573">
        <v>5.2</v>
      </c>
      <c r="V573">
        <v>3.1</v>
      </c>
      <c r="W573">
        <v>2.2000000000000002</v>
      </c>
      <c r="X573">
        <v>6.8</v>
      </c>
      <c r="Y573">
        <v>4.5999999999999996</v>
      </c>
      <c r="Z573">
        <v>6.8</v>
      </c>
      <c r="AA573">
        <v>1.4</v>
      </c>
      <c r="AC573">
        <v>4</v>
      </c>
      <c r="AD573" t="s">
        <v>43</v>
      </c>
      <c r="AE573" t="str">
        <f>IF(AND(data[[#This Row],[Age]]&gt;=18,data[[#This Row],[Age]]&lt;=24),"18-24",IF(AND(data[[#This Row],[Age]]&gt;=25,data[[#This Row],[Age]]&lt;=34),"25-34",IF(AND(data[[#This Row],[Age]]&gt;35,data[[#This Row],[Age]]&lt;=44),"35-44",IF(data[[#This Row],[Age]]&gt;44,"45+",IF(data[[#This Row],[Age]]&lt;18,"below 18 ")))))</f>
        <v xml:space="preserve">below 18 </v>
      </c>
    </row>
    <row r="574" spans="1:31" x14ac:dyDescent="0.25">
      <c r="A574" t="s">
        <v>627</v>
      </c>
      <c r="B574">
        <v>35</v>
      </c>
      <c r="D574" t="s">
        <v>64</v>
      </c>
      <c r="E574" t="s">
        <v>33</v>
      </c>
      <c r="F574" t="s">
        <v>51</v>
      </c>
      <c r="G574">
        <v>2.7</v>
      </c>
      <c r="H574">
        <v>1</v>
      </c>
      <c r="I574">
        <v>6</v>
      </c>
      <c r="J574" t="s">
        <v>42</v>
      </c>
      <c r="K574" t="s">
        <v>52</v>
      </c>
      <c r="L574">
        <v>20</v>
      </c>
      <c r="M574">
        <v>2.8</v>
      </c>
      <c r="N574">
        <v>4.8</v>
      </c>
      <c r="O574">
        <v>10</v>
      </c>
      <c r="P574">
        <v>6.9</v>
      </c>
      <c r="Q574" t="s">
        <v>35</v>
      </c>
      <c r="R574" t="s">
        <v>35</v>
      </c>
      <c r="S574">
        <v>4.4000000000000004</v>
      </c>
      <c r="U574">
        <v>8.6999999999999993</v>
      </c>
      <c r="V574">
        <v>7.1</v>
      </c>
      <c r="W574">
        <v>5.9</v>
      </c>
      <c r="X574">
        <v>7.3</v>
      </c>
      <c r="Y574">
        <v>7.5</v>
      </c>
      <c r="Z574">
        <v>5.8</v>
      </c>
      <c r="AA574">
        <v>5.5</v>
      </c>
      <c r="AB574">
        <v>2.9</v>
      </c>
      <c r="AC574">
        <v>6.4</v>
      </c>
      <c r="AD574" t="s">
        <v>53</v>
      </c>
      <c r="AE574" t="b">
        <f>IF(AND(data[[#This Row],[Age]]&gt;=18,data[[#This Row],[Age]]&lt;=24),"18-24",IF(AND(data[[#This Row],[Age]]&gt;=25,data[[#This Row],[Age]]&lt;=34),"25-34",IF(AND(data[[#This Row],[Age]]&gt;35,data[[#This Row],[Age]]&lt;=44),"35-44",IF(data[[#This Row],[Age]]&gt;44,"45+",IF(data[[#This Row],[Age]]&lt;18,"below 18 ")))))</f>
        <v>0</v>
      </c>
    </row>
    <row r="575" spans="1:31" x14ac:dyDescent="0.25">
      <c r="A575" t="s">
        <v>628</v>
      </c>
      <c r="B575">
        <v>30</v>
      </c>
      <c r="D575" t="s">
        <v>39</v>
      </c>
      <c r="F575" t="s">
        <v>59</v>
      </c>
      <c r="G575">
        <v>4</v>
      </c>
      <c r="H575">
        <v>6</v>
      </c>
      <c r="I575">
        <v>3</v>
      </c>
      <c r="J575" t="s">
        <v>35</v>
      </c>
      <c r="K575" t="s">
        <v>52</v>
      </c>
      <c r="L575">
        <v>53</v>
      </c>
      <c r="M575">
        <v>7.4</v>
      </c>
      <c r="N575">
        <v>5.8</v>
      </c>
      <c r="O575">
        <v>10</v>
      </c>
      <c r="P575">
        <v>6.9</v>
      </c>
      <c r="Q575" t="s">
        <v>35</v>
      </c>
      <c r="R575" t="s">
        <v>42</v>
      </c>
      <c r="S575">
        <v>1.4</v>
      </c>
      <c r="T575">
        <v>4.5999999999999996</v>
      </c>
      <c r="U575">
        <v>3.7</v>
      </c>
      <c r="V575">
        <v>5.0999999999999996</v>
      </c>
      <c r="W575">
        <v>6.2</v>
      </c>
      <c r="X575">
        <v>10</v>
      </c>
      <c r="Y575">
        <v>5.0999999999999996</v>
      </c>
      <c r="AA575">
        <v>2.2999999999999998</v>
      </c>
      <c r="AB575">
        <v>0</v>
      </c>
      <c r="AC575">
        <v>6.1</v>
      </c>
      <c r="AD575" t="s">
        <v>45</v>
      </c>
      <c r="AE575" t="str">
        <f>IF(AND(data[[#This Row],[Age]]&gt;=18,data[[#This Row],[Age]]&lt;=24),"18-24",IF(AND(data[[#This Row],[Age]]&gt;=25,data[[#This Row],[Age]]&lt;=34),"25-34",IF(AND(data[[#This Row],[Age]]&gt;35,data[[#This Row],[Age]]&lt;=44),"35-44",IF(data[[#This Row],[Age]]&gt;44,"45+",IF(data[[#This Row],[Age]]&lt;18,"below 18 ")))))</f>
        <v>25-34</v>
      </c>
    </row>
    <row r="576" spans="1:31" x14ac:dyDescent="0.25">
      <c r="A576" t="s">
        <v>629</v>
      </c>
      <c r="B576">
        <v>35</v>
      </c>
      <c r="C576" t="s">
        <v>47</v>
      </c>
      <c r="D576" t="s">
        <v>39</v>
      </c>
      <c r="E576" t="s">
        <v>58</v>
      </c>
      <c r="F576" t="s">
        <v>51</v>
      </c>
      <c r="H576">
        <v>3</v>
      </c>
      <c r="I576">
        <v>5</v>
      </c>
      <c r="J576" t="s">
        <v>35</v>
      </c>
      <c r="K576" t="s">
        <v>36</v>
      </c>
      <c r="L576">
        <v>97</v>
      </c>
      <c r="M576">
        <v>4.9000000000000004</v>
      </c>
      <c r="N576">
        <v>3.7</v>
      </c>
      <c r="O576">
        <v>4.5</v>
      </c>
      <c r="P576">
        <v>5.4</v>
      </c>
      <c r="Q576" t="s">
        <v>35</v>
      </c>
      <c r="R576" t="s">
        <v>42</v>
      </c>
      <c r="S576">
        <v>5.5</v>
      </c>
      <c r="T576">
        <v>8.3000000000000007</v>
      </c>
      <c r="U576">
        <v>7.8</v>
      </c>
      <c r="V576">
        <v>6.2</v>
      </c>
      <c r="W576">
        <v>8</v>
      </c>
      <c r="X576">
        <v>6.7</v>
      </c>
      <c r="Y576">
        <v>5.7</v>
      </c>
      <c r="Z576">
        <v>2.7</v>
      </c>
      <c r="AA576">
        <v>3.6</v>
      </c>
      <c r="AB576">
        <v>4.7</v>
      </c>
      <c r="AC576">
        <v>5.5</v>
      </c>
      <c r="AD576" t="s">
        <v>45</v>
      </c>
      <c r="AE576" t="b">
        <f>IF(AND(data[[#This Row],[Age]]&gt;=18,data[[#This Row],[Age]]&lt;=24),"18-24",IF(AND(data[[#This Row],[Age]]&gt;=25,data[[#This Row],[Age]]&lt;=34),"25-34",IF(AND(data[[#This Row],[Age]]&gt;35,data[[#This Row],[Age]]&lt;=44),"35-44",IF(data[[#This Row],[Age]]&gt;44,"45+",IF(data[[#This Row],[Age]]&lt;18,"below 18 ")))))</f>
        <v>0</v>
      </c>
    </row>
    <row r="577" spans="1:31" x14ac:dyDescent="0.25">
      <c r="A577" t="s">
        <v>630</v>
      </c>
      <c r="B577">
        <v>32</v>
      </c>
      <c r="C577" t="s">
        <v>47</v>
      </c>
      <c r="D577" t="s">
        <v>39</v>
      </c>
      <c r="E577" t="s">
        <v>33</v>
      </c>
      <c r="F577" t="s">
        <v>59</v>
      </c>
      <c r="G577">
        <v>6.4</v>
      </c>
      <c r="H577">
        <v>2</v>
      </c>
      <c r="I577">
        <v>4</v>
      </c>
      <c r="J577" t="s">
        <v>42</v>
      </c>
      <c r="K577" t="s">
        <v>52</v>
      </c>
      <c r="L577">
        <v>60</v>
      </c>
      <c r="M577">
        <v>8.3000000000000007</v>
      </c>
      <c r="N577">
        <v>6</v>
      </c>
      <c r="O577">
        <v>0.8</v>
      </c>
      <c r="P577">
        <v>4.8</v>
      </c>
      <c r="Q577" t="s">
        <v>42</v>
      </c>
      <c r="R577" t="s">
        <v>35</v>
      </c>
      <c r="S577">
        <v>9.3000000000000007</v>
      </c>
      <c r="T577">
        <v>3.1</v>
      </c>
      <c r="U577">
        <v>4.9000000000000004</v>
      </c>
      <c r="V577">
        <v>6.7</v>
      </c>
      <c r="W577">
        <v>3.9</v>
      </c>
      <c r="X577">
        <v>7.5</v>
      </c>
      <c r="Y577">
        <v>4.5999999999999996</v>
      </c>
      <c r="Z577">
        <v>4.5999999999999996</v>
      </c>
      <c r="AA577">
        <v>0.9</v>
      </c>
      <c r="AB577">
        <v>4.0999999999999996</v>
      </c>
      <c r="AC577">
        <v>6.1</v>
      </c>
      <c r="AD577" t="s">
        <v>53</v>
      </c>
      <c r="AE577" t="str">
        <f>IF(AND(data[[#This Row],[Age]]&gt;=18,data[[#This Row],[Age]]&lt;=24),"18-24",IF(AND(data[[#This Row],[Age]]&gt;=25,data[[#This Row],[Age]]&lt;=34),"25-34",IF(AND(data[[#This Row],[Age]]&gt;35,data[[#This Row],[Age]]&lt;=44),"35-44",IF(data[[#This Row],[Age]]&gt;44,"45+",IF(data[[#This Row],[Age]]&lt;18,"below 18 ")))))</f>
        <v>25-34</v>
      </c>
    </row>
    <row r="578" spans="1:31" x14ac:dyDescent="0.25">
      <c r="A578" t="s">
        <v>631</v>
      </c>
      <c r="B578">
        <v>25</v>
      </c>
      <c r="C578" t="s">
        <v>47</v>
      </c>
      <c r="D578" t="s">
        <v>32</v>
      </c>
      <c r="E578" t="s">
        <v>33</v>
      </c>
      <c r="F578" t="s">
        <v>41</v>
      </c>
      <c r="G578">
        <v>4.4000000000000004</v>
      </c>
      <c r="H578">
        <v>5</v>
      </c>
      <c r="I578">
        <v>4</v>
      </c>
      <c r="J578" t="s">
        <v>35</v>
      </c>
      <c r="K578" t="s">
        <v>36</v>
      </c>
      <c r="L578">
        <v>64</v>
      </c>
      <c r="M578">
        <v>2.8</v>
      </c>
      <c r="N578">
        <v>4.5</v>
      </c>
      <c r="O578">
        <v>9.1</v>
      </c>
      <c r="P578">
        <v>6.9</v>
      </c>
      <c r="Q578" t="s">
        <v>42</v>
      </c>
      <c r="R578" t="s">
        <v>35</v>
      </c>
      <c r="S578">
        <v>6.8</v>
      </c>
      <c r="T578">
        <v>6</v>
      </c>
      <c r="U578">
        <v>4.8</v>
      </c>
      <c r="V578">
        <v>3.4</v>
      </c>
      <c r="W578">
        <v>5.0999999999999996</v>
      </c>
      <c r="X578">
        <v>7.5</v>
      </c>
      <c r="Y578">
        <v>7.1</v>
      </c>
      <c r="Z578">
        <v>3.6</v>
      </c>
      <c r="AA578">
        <v>4.7</v>
      </c>
      <c r="AB578">
        <v>2.5</v>
      </c>
      <c r="AC578">
        <v>5.3</v>
      </c>
      <c r="AD578" t="s">
        <v>45</v>
      </c>
      <c r="AE578" t="str">
        <f>IF(AND(data[[#This Row],[Age]]&gt;=18,data[[#This Row],[Age]]&lt;=24),"18-24",IF(AND(data[[#This Row],[Age]]&gt;=25,data[[#This Row],[Age]]&lt;=34),"25-34",IF(AND(data[[#This Row],[Age]]&gt;35,data[[#This Row],[Age]]&lt;=44),"35-44",IF(data[[#This Row],[Age]]&gt;44,"45+",IF(data[[#This Row],[Age]]&lt;18,"below 18 ")))))</f>
        <v>25-34</v>
      </c>
    </row>
    <row r="579" spans="1:31" x14ac:dyDescent="0.25">
      <c r="A579" t="s">
        <v>632</v>
      </c>
      <c r="B579">
        <v>15</v>
      </c>
      <c r="C579" t="s">
        <v>31</v>
      </c>
      <c r="D579" t="s">
        <v>64</v>
      </c>
      <c r="E579" t="s">
        <v>58</v>
      </c>
      <c r="F579" t="s">
        <v>41</v>
      </c>
      <c r="G579">
        <v>5.0999999999999996</v>
      </c>
      <c r="H579">
        <v>8</v>
      </c>
      <c r="I579">
        <v>4</v>
      </c>
      <c r="J579" t="s">
        <v>35</v>
      </c>
      <c r="K579" t="s">
        <v>62</v>
      </c>
      <c r="L579">
        <v>41</v>
      </c>
      <c r="N579">
        <v>9.1999999999999993</v>
      </c>
      <c r="O579">
        <v>8.4</v>
      </c>
      <c r="P579">
        <v>2.6</v>
      </c>
      <c r="Q579" t="s">
        <v>42</v>
      </c>
      <c r="R579" t="s">
        <v>35</v>
      </c>
      <c r="S579">
        <v>3.7</v>
      </c>
      <c r="U579">
        <v>3.8</v>
      </c>
      <c r="V579">
        <v>4.4000000000000004</v>
      </c>
      <c r="W579">
        <v>3.3</v>
      </c>
      <c r="Y579">
        <v>5.9</v>
      </c>
      <c r="Z579">
        <v>5.6</v>
      </c>
      <c r="AA579">
        <v>1.6</v>
      </c>
      <c r="AB579">
        <v>3.7</v>
      </c>
      <c r="AC579">
        <v>6.1</v>
      </c>
      <c r="AD579" t="s">
        <v>45</v>
      </c>
      <c r="AE579" t="str">
        <f>IF(AND(data[[#This Row],[Age]]&gt;=18,data[[#This Row],[Age]]&lt;=24),"18-24",IF(AND(data[[#This Row],[Age]]&gt;=25,data[[#This Row],[Age]]&lt;=34),"25-34",IF(AND(data[[#This Row],[Age]]&gt;35,data[[#This Row],[Age]]&lt;=44),"35-44",IF(data[[#This Row],[Age]]&gt;44,"45+",IF(data[[#This Row],[Age]]&lt;18,"below 18 ")))))</f>
        <v xml:space="preserve">below 18 </v>
      </c>
    </row>
    <row r="580" spans="1:31" x14ac:dyDescent="0.25">
      <c r="A580" t="s">
        <v>633</v>
      </c>
      <c r="B580">
        <v>15</v>
      </c>
      <c r="C580" t="s">
        <v>31</v>
      </c>
      <c r="D580" t="s">
        <v>39</v>
      </c>
      <c r="E580" t="s">
        <v>58</v>
      </c>
      <c r="F580" t="s">
        <v>48</v>
      </c>
      <c r="G580">
        <v>4.2</v>
      </c>
      <c r="H580">
        <v>3</v>
      </c>
      <c r="I580">
        <v>4</v>
      </c>
      <c r="J580" t="s">
        <v>35</v>
      </c>
      <c r="K580" t="s">
        <v>36</v>
      </c>
      <c r="L580">
        <v>5</v>
      </c>
      <c r="M580">
        <v>8.9</v>
      </c>
      <c r="N580">
        <v>7.4</v>
      </c>
      <c r="O580">
        <v>9.6999999999999993</v>
      </c>
      <c r="P580">
        <v>5.3</v>
      </c>
      <c r="Q580" t="s">
        <v>42</v>
      </c>
      <c r="R580" t="s">
        <v>42</v>
      </c>
      <c r="S580">
        <v>3.1</v>
      </c>
      <c r="T580">
        <v>1.5</v>
      </c>
      <c r="U580">
        <v>9.8000000000000007</v>
      </c>
      <c r="V580">
        <v>5.5</v>
      </c>
      <c r="W580">
        <v>7.5</v>
      </c>
      <c r="X580">
        <v>9.4</v>
      </c>
      <c r="Y580">
        <v>5</v>
      </c>
      <c r="Z580">
        <v>6.3</v>
      </c>
      <c r="AA580">
        <v>4.7</v>
      </c>
      <c r="AB580">
        <v>2.5</v>
      </c>
      <c r="AC580">
        <v>5.7</v>
      </c>
      <c r="AD580" t="s">
        <v>45</v>
      </c>
      <c r="AE580" t="str">
        <f>IF(AND(data[[#This Row],[Age]]&gt;=18,data[[#This Row],[Age]]&lt;=24),"18-24",IF(AND(data[[#This Row],[Age]]&gt;=25,data[[#This Row],[Age]]&lt;=34),"25-34",IF(AND(data[[#This Row],[Age]]&gt;35,data[[#This Row],[Age]]&lt;=44),"35-44",IF(data[[#This Row],[Age]]&gt;44,"45+",IF(data[[#This Row],[Age]]&lt;18,"below 18 ")))))</f>
        <v xml:space="preserve">below 18 </v>
      </c>
    </row>
    <row r="581" spans="1:31" x14ac:dyDescent="0.25">
      <c r="A581" t="s">
        <v>634</v>
      </c>
      <c r="B581">
        <v>17</v>
      </c>
      <c r="C581" t="s">
        <v>47</v>
      </c>
      <c r="D581" t="s">
        <v>39</v>
      </c>
      <c r="E581" t="s">
        <v>58</v>
      </c>
      <c r="F581" t="s">
        <v>59</v>
      </c>
      <c r="G581">
        <v>9.4</v>
      </c>
      <c r="H581">
        <v>3</v>
      </c>
      <c r="I581">
        <v>6</v>
      </c>
      <c r="J581" t="s">
        <v>42</v>
      </c>
      <c r="K581" t="s">
        <v>52</v>
      </c>
      <c r="L581">
        <v>29</v>
      </c>
      <c r="M581">
        <v>4.2</v>
      </c>
      <c r="N581">
        <v>4</v>
      </c>
      <c r="O581">
        <v>4.5</v>
      </c>
      <c r="P581">
        <v>6.5</v>
      </c>
      <c r="Q581" t="s">
        <v>35</v>
      </c>
      <c r="R581" t="s">
        <v>42</v>
      </c>
      <c r="S581">
        <v>2.8</v>
      </c>
      <c r="T581">
        <v>1.4</v>
      </c>
      <c r="U581">
        <v>0</v>
      </c>
      <c r="V581">
        <v>4.0999999999999996</v>
      </c>
      <c r="W581">
        <v>6.5</v>
      </c>
      <c r="X581">
        <v>6.1</v>
      </c>
      <c r="Z581">
        <v>2.7</v>
      </c>
      <c r="AA581">
        <v>2.5</v>
      </c>
      <c r="AB581">
        <v>3.5</v>
      </c>
      <c r="AC581">
        <v>7</v>
      </c>
      <c r="AD581" t="s">
        <v>53</v>
      </c>
      <c r="AE581" t="str">
        <f>IF(AND(data[[#This Row],[Age]]&gt;=18,data[[#This Row],[Age]]&lt;=24),"18-24",IF(AND(data[[#This Row],[Age]]&gt;=25,data[[#This Row],[Age]]&lt;=34),"25-34",IF(AND(data[[#This Row],[Age]]&gt;35,data[[#This Row],[Age]]&lt;=44),"35-44",IF(data[[#This Row],[Age]]&gt;44,"45+",IF(data[[#This Row],[Age]]&lt;18,"below 18 ")))))</f>
        <v xml:space="preserve">below 18 </v>
      </c>
    </row>
    <row r="582" spans="1:31" x14ac:dyDescent="0.25">
      <c r="A582" t="s">
        <v>635</v>
      </c>
      <c r="B582">
        <v>18</v>
      </c>
      <c r="C582" t="s">
        <v>31</v>
      </c>
      <c r="D582" t="s">
        <v>39</v>
      </c>
      <c r="E582" t="s">
        <v>33</v>
      </c>
      <c r="F582" t="s">
        <v>34</v>
      </c>
      <c r="G582">
        <v>4.4000000000000004</v>
      </c>
      <c r="H582">
        <v>2</v>
      </c>
      <c r="I582">
        <v>3</v>
      </c>
      <c r="J582" t="s">
        <v>42</v>
      </c>
      <c r="K582" t="s">
        <v>62</v>
      </c>
      <c r="L582">
        <v>5</v>
      </c>
      <c r="M582">
        <v>3.8</v>
      </c>
      <c r="N582">
        <v>4.5</v>
      </c>
      <c r="O582">
        <v>4</v>
      </c>
      <c r="P582">
        <v>5.8</v>
      </c>
      <c r="Q582" t="s">
        <v>35</v>
      </c>
      <c r="R582" t="s">
        <v>35</v>
      </c>
      <c r="S582">
        <v>4.2</v>
      </c>
      <c r="T582">
        <v>4.2</v>
      </c>
      <c r="U582">
        <v>4.3</v>
      </c>
      <c r="V582">
        <v>5.2</v>
      </c>
      <c r="W582">
        <v>2.9</v>
      </c>
      <c r="X582">
        <v>5.0999999999999996</v>
      </c>
      <c r="Y582">
        <v>6.7</v>
      </c>
      <c r="Z582">
        <v>5</v>
      </c>
      <c r="AA582">
        <v>5.8</v>
      </c>
      <c r="AB582">
        <v>4.7</v>
      </c>
      <c r="AC582">
        <v>8.5</v>
      </c>
      <c r="AD582" t="s">
        <v>37</v>
      </c>
      <c r="AE582" t="str">
        <f>IF(AND(data[[#This Row],[Age]]&gt;=18,data[[#This Row],[Age]]&lt;=24),"18-24",IF(AND(data[[#This Row],[Age]]&gt;=25,data[[#This Row],[Age]]&lt;=34),"25-34",IF(AND(data[[#This Row],[Age]]&gt;35,data[[#This Row],[Age]]&lt;=44),"35-44",IF(data[[#This Row],[Age]]&gt;44,"45+",IF(data[[#This Row],[Age]]&lt;18,"below 18 ")))))</f>
        <v>18-24</v>
      </c>
    </row>
    <row r="583" spans="1:31" x14ac:dyDescent="0.25">
      <c r="A583" t="s">
        <v>636</v>
      </c>
      <c r="B583">
        <v>38</v>
      </c>
      <c r="C583" t="s">
        <v>31</v>
      </c>
      <c r="D583" t="s">
        <v>32</v>
      </c>
      <c r="E583" t="s">
        <v>58</v>
      </c>
      <c r="F583" t="s">
        <v>34</v>
      </c>
      <c r="H583">
        <v>1</v>
      </c>
      <c r="I583">
        <v>7</v>
      </c>
      <c r="J583" t="s">
        <v>42</v>
      </c>
      <c r="K583" t="s">
        <v>52</v>
      </c>
      <c r="L583">
        <v>76</v>
      </c>
      <c r="M583">
        <v>2.6</v>
      </c>
      <c r="N583">
        <v>7.4</v>
      </c>
      <c r="O583">
        <v>4.4000000000000004</v>
      </c>
      <c r="P583">
        <v>8.4</v>
      </c>
      <c r="Q583" t="s">
        <v>35</v>
      </c>
      <c r="R583" t="s">
        <v>42</v>
      </c>
      <c r="S583">
        <v>6</v>
      </c>
      <c r="T583">
        <v>2.7</v>
      </c>
      <c r="U583">
        <v>3.6</v>
      </c>
      <c r="V583">
        <v>4.0999999999999996</v>
      </c>
      <c r="W583">
        <v>3.6</v>
      </c>
      <c r="X583">
        <v>7.4</v>
      </c>
      <c r="Y583">
        <v>10</v>
      </c>
      <c r="Z583">
        <v>4.7</v>
      </c>
      <c r="AA583">
        <v>2.5</v>
      </c>
      <c r="AB583">
        <v>1.2</v>
      </c>
      <c r="AC583">
        <v>4.7</v>
      </c>
      <c r="AD583" t="s">
        <v>43</v>
      </c>
      <c r="AE583" t="str">
        <f>IF(AND(data[[#This Row],[Age]]&gt;=18,data[[#This Row],[Age]]&lt;=24),"18-24",IF(AND(data[[#This Row],[Age]]&gt;=25,data[[#This Row],[Age]]&lt;=34),"25-34",IF(AND(data[[#This Row],[Age]]&gt;35,data[[#This Row],[Age]]&lt;=44),"35-44",IF(data[[#This Row],[Age]]&gt;44,"45+",IF(data[[#This Row],[Age]]&lt;18,"below 18 ")))))</f>
        <v>35-44</v>
      </c>
    </row>
    <row r="584" spans="1:31" x14ac:dyDescent="0.25">
      <c r="A584" t="s">
        <v>637</v>
      </c>
      <c r="B584">
        <v>37</v>
      </c>
      <c r="C584" t="s">
        <v>31</v>
      </c>
      <c r="D584" t="s">
        <v>39</v>
      </c>
      <c r="E584" t="s">
        <v>58</v>
      </c>
      <c r="F584" t="s">
        <v>41</v>
      </c>
      <c r="G584">
        <v>1.7</v>
      </c>
      <c r="H584">
        <v>4</v>
      </c>
      <c r="I584">
        <v>4</v>
      </c>
      <c r="J584" t="s">
        <v>35</v>
      </c>
      <c r="K584" t="s">
        <v>36</v>
      </c>
      <c r="L584">
        <v>48</v>
      </c>
      <c r="N584">
        <v>9.1999999999999993</v>
      </c>
      <c r="O584">
        <v>6.1</v>
      </c>
      <c r="P584">
        <v>5.9</v>
      </c>
      <c r="Q584" t="s">
        <v>35</v>
      </c>
      <c r="R584" t="s">
        <v>35</v>
      </c>
      <c r="S584">
        <v>8.8000000000000007</v>
      </c>
      <c r="T584">
        <v>7.3</v>
      </c>
      <c r="U584">
        <v>3.4</v>
      </c>
      <c r="V584">
        <v>4.0999999999999996</v>
      </c>
      <c r="W584">
        <v>3.7</v>
      </c>
      <c r="X584">
        <v>7.6</v>
      </c>
      <c r="Y584">
        <v>4.8</v>
      </c>
      <c r="Z584">
        <v>6.3</v>
      </c>
      <c r="AA584">
        <v>3.1</v>
      </c>
      <c r="AB584">
        <v>2.2000000000000002</v>
      </c>
      <c r="AC584">
        <v>5.2</v>
      </c>
      <c r="AD584" t="s">
        <v>45</v>
      </c>
      <c r="AE584" t="str">
        <f>IF(AND(data[[#This Row],[Age]]&gt;=18,data[[#This Row],[Age]]&lt;=24),"18-24",IF(AND(data[[#This Row],[Age]]&gt;=25,data[[#This Row],[Age]]&lt;=34),"25-34",IF(AND(data[[#This Row],[Age]]&gt;35,data[[#This Row],[Age]]&lt;=44),"35-44",IF(data[[#This Row],[Age]]&gt;44,"45+",IF(data[[#This Row],[Age]]&lt;18,"below 18 ")))))</f>
        <v>35-44</v>
      </c>
    </row>
    <row r="585" spans="1:31" x14ac:dyDescent="0.25">
      <c r="A585" t="s">
        <v>638</v>
      </c>
      <c r="B585">
        <v>43</v>
      </c>
      <c r="C585" t="s">
        <v>31</v>
      </c>
      <c r="D585" t="s">
        <v>39</v>
      </c>
      <c r="E585" t="s">
        <v>33</v>
      </c>
      <c r="F585" t="s">
        <v>51</v>
      </c>
      <c r="G585">
        <v>4.5</v>
      </c>
      <c r="H585">
        <v>4</v>
      </c>
      <c r="I585">
        <v>0</v>
      </c>
      <c r="J585" t="s">
        <v>42</v>
      </c>
      <c r="K585" t="s">
        <v>62</v>
      </c>
      <c r="L585">
        <v>48</v>
      </c>
      <c r="M585">
        <v>3</v>
      </c>
      <c r="N585">
        <v>5.2</v>
      </c>
      <c r="O585">
        <v>6.4</v>
      </c>
      <c r="P585">
        <v>6</v>
      </c>
      <c r="Q585" t="s">
        <v>42</v>
      </c>
      <c r="R585" t="s">
        <v>42</v>
      </c>
      <c r="S585">
        <v>1.8</v>
      </c>
      <c r="T585">
        <v>3.5</v>
      </c>
      <c r="U585">
        <v>4.4000000000000004</v>
      </c>
      <c r="V585">
        <v>6.7</v>
      </c>
      <c r="W585">
        <v>6.9</v>
      </c>
      <c r="X585">
        <v>5.5</v>
      </c>
      <c r="Y585">
        <v>3.7</v>
      </c>
      <c r="Z585">
        <v>2.5</v>
      </c>
      <c r="AA585">
        <v>2.9</v>
      </c>
      <c r="AB585">
        <v>5.6</v>
      </c>
      <c r="AC585">
        <v>8</v>
      </c>
      <c r="AD585" t="s">
        <v>37</v>
      </c>
      <c r="AE585" t="str">
        <f>IF(AND(data[[#This Row],[Age]]&gt;=18,data[[#This Row],[Age]]&lt;=24),"18-24",IF(AND(data[[#This Row],[Age]]&gt;=25,data[[#This Row],[Age]]&lt;=34),"25-34",IF(AND(data[[#This Row],[Age]]&gt;35,data[[#This Row],[Age]]&lt;=44),"35-44",IF(data[[#This Row],[Age]]&gt;44,"45+",IF(data[[#This Row],[Age]]&lt;18,"below 18 ")))))</f>
        <v>35-44</v>
      </c>
    </row>
    <row r="586" spans="1:31" x14ac:dyDescent="0.25">
      <c r="A586" t="s">
        <v>639</v>
      </c>
      <c r="B586">
        <v>24</v>
      </c>
      <c r="C586" t="s">
        <v>31</v>
      </c>
      <c r="D586" t="s">
        <v>39</v>
      </c>
      <c r="E586" t="s">
        <v>58</v>
      </c>
      <c r="F586" t="s">
        <v>70</v>
      </c>
      <c r="G586">
        <v>3.5</v>
      </c>
      <c r="H586">
        <v>3</v>
      </c>
      <c r="I586">
        <v>0</v>
      </c>
      <c r="J586" t="s">
        <v>35</v>
      </c>
      <c r="K586" t="s">
        <v>36</v>
      </c>
      <c r="L586">
        <v>30</v>
      </c>
      <c r="M586">
        <v>8.9</v>
      </c>
      <c r="N586">
        <v>6</v>
      </c>
      <c r="O586">
        <v>3.3</v>
      </c>
      <c r="P586">
        <v>1.6</v>
      </c>
      <c r="Q586" t="s">
        <v>35</v>
      </c>
      <c r="R586" t="s">
        <v>35</v>
      </c>
      <c r="S586">
        <v>7</v>
      </c>
      <c r="T586">
        <v>6.6</v>
      </c>
      <c r="U586">
        <v>4.7</v>
      </c>
      <c r="V586">
        <v>3.5</v>
      </c>
      <c r="W586">
        <v>10</v>
      </c>
      <c r="X586">
        <v>4.3</v>
      </c>
      <c r="Y586">
        <v>8.3000000000000007</v>
      </c>
      <c r="Z586">
        <v>4.3</v>
      </c>
      <c r="AA586">
        <v>3.4</v>
      </c>
      <c r="AB586">
        <v>2.5</v>
      </c>
      <c r="AC586">
        <v>6.7</v>
      </c>
      <c r="AD586" t="s">
        <v>53</v>
      </c>
      <c r="AE586" t="str">
        <f>IF(AND(data[[#This Row],[Age]]&gt;=18,data[[#This Row],[Age]]&lt;=24),"18-24",IF(AND(data[[#This Row],[Age]]&gt;=25,data[[#This Row],[Age]]&lt;=34),"25-34",IF(AND(data[[#This Row],[Age]]&gt;35,data[[#This Row],[Age]]&lt;=44),"35-44",IF(data[[#This Row],[Age]]&gt;44,"45+",IF(data[[#This Row],[Age]]&lt;18,"below 18 ")))))</f>
        <v>18-24</v>
      </c>
    </row>
    <row r="587" spans="1:31" x14ac:dyDescent="0.25">
      <c r="A587" t="s">
        <v>640</v>
      </c>
      <c r="B587">
        <v>18</v>
      </c>
      <c r="C587" t="s">
        <v>31</v>
      </c>
      <c r="D587" t="s">
        <v>39</v>
      </c>
      <c r="E587" t="s">
        <v>58</v>
      </c>
      <c r="F587" t="s">
        <v>34</v>
      </c>
      <c r="G587">
        <v>4.9000000000000004</v>
      </c>
      <c r="H587">
        <v>1</v>
      </c>
      <c r="I587">
        <v>4</v>
      </c>
      <c r="J587" t="s">
        <v>42</v>
      </c>
      <c r="K587" t="s">
        <v>36</v>
      </c>
      <c r="L587">
        <v>91</v>
      </c>
      <c r="M587">
        <v>4.0999999999999996</v>
      </c>
      <c r="N587">
        <v>5.9</v>
      </c>
      <c r="O587">
        <v>6.6</v>
      </c>
      <c r="P587">
        <v>6.5</v>
      </c>
      <c r="Q587" t="s">
        <v>35</v>
      </c>
      <c r="R587" t="s">
        <v>35</v>
      </c>
      <c r="S587">
        <v>3.1</v>
      </c>
      <c r="T587">
        <v>6.2</v>
      </c>
      <c r="U587">
        <v>1.5</v>
      </c>
      <c r="W587">
        <v>4.2</v>
      </c>
      <c r="X587">
        <v>7.1</v>
      </c>
      <c r="Y587">
        <v>5.9</v>
      </c>
      <c r="Z587">
        <v>3.6</v>
      </c>
      <c r="AA587">
        <v>1.6</v>
      </c>
      <c r="AB587">
        <v>4.8</v>
      </c>
      <c r="AC587">
        <v>6.3</v>
      </c>
      <c r="AD587" t="s">
        <v>53</v>
      </c>
      <c r="AE587" t="str">
        <f>IF(AND(data[[#This Row],[Age]]&gt;=18,data[[#This Row],[Age]]&lt;=24),"18-24",IF(AND(data[[#This Row],[Age]]&gt;=25,data[[#This Row],[Age]]&lt;=34),"25-34",IF(AND(data[[#This Row],[Age]]&gt;35,data[[#This Row],[Age]]&lt;=44),"35-44",IF(data[[#This Row],[Age]]&gt;44,"45+",IF(data[[#This Row],[Age]]&lt;18,"below 18 ")))))</f>
        <v>18-24</v>
      </c>
    </row>
    <row r="588" spans="1:31" x14ac:dyDescent="0.25">
      <c r="A588" t="s">
        <v>641</v>
      </c>
      <c r="B588">
        <v>36</v>
      </c>
      <c r="C588" t="s">
        <v>47</v>
      </c>
      <c r="D588" t="s">
        <v>39</v>
      </c>
      <c r="F588" t="s">
        <v>34</v>
      </c>
      <c r="G588">
        <v>5.4</v>
      </c>
      <c r="H588">
        <v>3</v>
      </c>
      <c r="I588">
        <v>2</v>
      </c>
      <c r="J588" t="s">
        <v>35</v>
      </c>
      <c r="K588" t="s">
        <v>62</v>
      </c>
      <c r="L588">
        <v>54</v>
      </c>
      <c r="M588">
        <v>5.3</v>
      </c>
      <c r="N588">
        <v>5.7</v>
      </c>
      <c r="O588">
        <v>4.5999999999999996</v>
      </c>
      <c r="P588">
        <v>7.1</v>
      </c>
      <c r="Q588" t="s">
        <v>42</v>
      </c>
      <c r="R588" t="s">
        <v>35</v>
      </c>
      <c r="S588">
        <v>7.3</v>
      </c>
      <c r="T588">
        <v>6</v>
      </c>
      <c r="U588">
        <v>2.8</v>
      </c>
      <c r="V588">
        <v>7.7</v>
      </c>
      <c r="W588">
        <v>5.5</v>
      </c>
      <c r="X588">
        <v>7.7</v>
      </c>
      <c r="Y588">
        <v>1.4</v>
      </c>
      <c r="Z588">
        <v>7</v>
      </c>
      <c r="AA588">
        <v>1.5</v>
      </c>
      <c r="AB588">
        <v>6.2</v>
      </c>
      <c r="AC588">
        <v>8.1</v>
      </c>
      <c r="AD588" t="s">
        <v>37</v>
      </c>
      <c r="AE588" t="str">
        <f>IF(AND(data[[#This Row],[Age]]&gt;=18,data[[#This Row],[Age]]&lt;=24),"18-24",IF(AND(data[[#This Row],[Age]]&gt;=25,data[[#This Row],[Age]]&lt;=34),"25-34",IF(AND(data[[#This Row],[Age]]&gt;35,data[[#This Row],[Age]]&lt;=44),"35-44",IF(data[[#This Row],[Age]]&gt;44,"45+",IF(data[[#This Row],[Age]]&lt;18,"below 18 ")))))</f>
        <v>35-44</v>
      </c>
    </row>
    <row r="589" spans="1:31" x14ac:dyDescent="0.25">
      <c r="A589" t="s">
        <v>642</v>
      </c>
      <c r="B589">
        <v>21</v>
      </c>
      <c r="C589" t="s">
        <v>31</v>
      </c>
      <c r="D589" t="s">
        <v>32</v>
      </c>
      <c r="E589" t="s">
        <v>40</v>
      </c>
      <c r="F589" t="s">
        <v>41</v>
      </c>
      <c r="G589">
        <v>2</v>
      </c>
      <c r="H589">
        <v>3</v>
      </c>
      <c r="I589">
        <v>5</v>
      </c>
      <c r="J589" t="s">
        <v>42</v>
      </c>
      <c r="K589" t="s">
        <v>36</v>
      </c>
      <c r="L589">
        <v>89</v>
      </c>
      <c r="M589">
        <v>4.3</v>
      </c>
      <c r="N589">
        <v>4.3</v>
      </c>
      <c r="O589">
        <v>8</v>
      </c>
      <c r="P589">
        <v>2.9</v>
      </c>
      <c r="Q589" t="s">
        <v>42</v>
      </c>
      <c r="R589" t="s">
        <v>35</v>
      </c>
      <c r="S589">
        <v>1.5</v>
      </c>
      <c r="T589">
        <v>0.4</v>
      </c>
      <c r="U589">
        <v>0.2</v>
      </c>
      <c r="V589">
        <v>5.9</v>
      </c>
      <c r="W589">
        <v>6</v>
      </c>
      <c r="X589">
        <v>6.7</v>
      </c>
      <c r="Y589">
        <v>8.4</v>
      </c>
      <c r="Z589">
        <v>3.7</v>
      </c>
      <c r="AA589">
        <v>4</v>
      </c>
      <c r="AB589">
        <v>8.3000000000000007</v>
      </c>
      <c r="AC589">
        <v>7.9</v>
      </c>
      <c r="AD589" t="s">
        <v>37</v>
      </c>
      <c r="AE589" t="str">
        <f>IF(AND(data[[#This Row],[Age]]&gt;=18,data[[#This Row],[Age]]&lt;=24),"18-24",IF(AND(data[[#This Row],[Age]]&gt;=25,data[[#This Row],[Age]]&lt;=34),"25-34",IF(AND(data[[#This Row],[Age]]&gt;35,data[[#This Row],[Age]]&lt;=44),"35-44",IF(data[[#This Row],[Age]]&gt;44,"45+",IF(data[[#This Row],[Age]]&lt;18,"below 18 ")))))</f>
        <v>18-24</v>
      </c>
    </row>
    <row r="590" spans="1:31" x14ac:dyDescent="0.25">
      <c r="A590" t="s">
        <v>643</v>
      </c>
      <c r="B590">
        <v>28</v>
      </c>
      <c r="C590" t="s">
        <v>31</v>
      </c>
      <c r="D590" t="s">
        <v>32</v>
      </c>
      <c r="E590" t="s">
        <v>58</v>
      </c>
      <c r="F590" t="s">
        <v>51</v>
      </c>
      <c r="G590">
        <v>4.7</v>
      </c>
      <c r="H590">
        <v>3</v>
      </c>
      <c r="I590">
        <v>3</v>
      </c>
      <c r="J590" t="s">
        <v>35</v>
      </c>
      <c r="K590" t="s">
        <v>36</v>
      </c>
      <c r="L590">
        <v>5</v>
      </c>
      <c r="M590">
        <v>7.5</v>
      </c>
      <c r="N590">
        <v>4.5</v>
      </c>
      <c r="O590">
        <v>6.7</v>
      </c>
      <c r="P590">
        <v>3.4</v>
      </c>
      <c r="Q590" t="s">
        <v>35</v>
      </c>
      <c r="R590" t="s">
        <v>42</v>
      </c>
      <c r="S590">
        <v>5.4</v>
      </c>
      <c r="T590">
        <v>0.5</v>
      </c>
      <c r="U590">
        <v>1.2</v>
      </c>
      <c r="V590">
        <v>3.9</v>
      </c>
      <c r="W590">
        <v>8.8000000000000007</v>
      </c>
      <c r="X590">
        <v>6</v>
      </c>
      <c r="Y590">
        <v>8.5</v>
      </c>
      <c r="Z590">
        <v>2.9</v>
      </c>
      <c r="AA590">
        <v>4</v>
      </c>
      <c r="AB590">
        <v>5.8</v>
      </c>
      <c r="AC590">
        <v>5.3</v>
      </c>
      <c r="AD590" t="s">
        <v>45</v>
      </c>
      <c r="AE590" t="str">
        <f>IF(AND(data[[#This Row],[Age]]&gt;=18,data[[#This Row],[Age]]&lt;=24),"18-24",IF(AND(data[[#This Row],[Age]]&gt;=25,data[[#This Row],[Age]]&lt;=34),"25-34",IF(AND(data[[#This Row],[Age]]&gt;35,data[[#This Row],[Age]]&lt;=44),"35-44",IF(data[[#This Row],[Age]]&gt;44,"45+",IF(data[[#This Row],[Age]]&lt;18,"below 18 ")))))</f>
        <v>25-34</v>
      </c>
    </row>
    <row r="591" spans="1:31" x14ac:dyDescent="0.25">
      <c r="A591" t="s">
        <v>644</v>
      </c>
      <c r="B591">
        <v>39</v>
      </c>
      <c r="C591" t="s">
        <v>31</v>
      </c>
      <c r="D591" t="s">
        <v>39</v>
      </c>
      <c r="E591" t="s">
        <v>33</v>
      </c>
      <c r="F591" t="s">
        <v>59</v>
      </c>
      <c r="G591">
        <v>3</v>
      </c>
      <c r="H591">
        <v>2</v>
      </c>
      <c r="I591">
        <v>6</v>
      </c>
      <c r="J591" t="s">
        <v>42</v>
      </c>
      <c r="K591" t="s">
        <v>36</v>
      </c>
      <c r="L591">
        <v>107</v>
      </c>
      <c r="M591">
        <v>6.5</v>
      </c>
      <c r="N591">
        <v>5.0999999999999996</v>
      </c>
      <c r="P591">
        <v>6.8</v>
      </c>
      <c r="Q591" t="s">
        <v>35</v>
      </c>
      <c r="R591" t="s">
        <v>35</v>
      </c>
      <c r="S591">
        <v>5.2</v>
      </c>
      <c r="T591">
        <v>4</v>
      </c>
      <c r="U591">
        <v>1.5</v>
      </c>
      <c r="V591">
        <v>6.9</v>
      </c>
      <c r="W591">
        <v>8.5</v>
      </c>
      <c r="X591">
        <v>7.3</v>
      </c>
      <c r="Y591">
        <v>5.7</v>
      </c>
      <c r="Z591">
        <v>5</v>
      </c>
      <c r="AA591">
        <v>4.2</v>
      </c>
      <c r="AC591">
        <v>7.1</v>
      </c>
      <c r="AD591" t="s">
        <v>53</v>
      </c>
      <c r="AE591" t="str">
        <f>IF(AND(data[[#This Row],[Age]]&gt;=18,data[[#This Row],[Age]]&lt;=24),"18-24",IF(AND(data[[#This Row],[Age]]&gt;=25,data[[#This Row],[Age]]&lt;=34),"25-34",IF(AND(data[[#This Row],[Age]]&gt;35,data[[#This Row],[Age]]&lt;=44),"35-44",IF(data[[#This Row],[Age]]&gt;44,"45+",IF(data[[#This Row],[Age]]&lt;18,"below 18 ")))))</f>
        <v>35-44</v>
      </c>
    </row>
    <row r="592" spans="1:31" x14ac:dyDescent="0.25">
      <c r="A592" t="s">
        <v>645</v>
      </c>
      <c r="B592">
        <v>43</v>
      </c>
      <c r="C592" t="s">
        <v>50</v>
      </c>
      <c r="D592" t="s">
        <v>32</v>
      </c>
      <c r="E592" t="s">
        <v>58</v>
      </c>
      <c r="F592" t="s">
        <v>34</v>
      </c>
      <c r="G592">
        <v>3</v>
      </c>
      <c r="H592">
        <v>2</v>
      </c>
      <c r="I592">
        <v>6</v>
      </c>
      <c r="J592" t="s">
        <v>42</v>
      </c>
      <c r="K592" t="s">
        <v>36</v>
      </c>
      <c r="L592">
        <v>43</v>
      </c>
      <c r="M592">
        <v>0.6</v>
      </c>
      <c r="N592">
        <v>6.3</v>
      </c>
      <c r="O592">
        <v>3.7</v>
      </c>
      <c r="P592">
        <v>5.2</v>
      </c>
      <c r="Q592" t="s">
        <v>42</v>
      </c>
      <c r="R592" t="s">
        <v>35</v>
      </c>
      <c r="S592">
        <v>7.8</v>
      </c>
      <c r="T592">
        <v>0</v>
      </c>
      <c r="U592">
        <v>3.1</v>
      </c>
      <c r="W592">
        <v>3.5</v>
      </c>
      <c r="X592">
        <v>6.3</v>
      </c>
      <c r="Y592">
        <v>4</v>
      </c>
      <c r="Z592">
        <v>6.1</v>
      </c>
      <c r="AA592">
        <v>1.9</v>
      </c>
      <c r="AB592">
        <v>3.2</v>
      </c>
      <c r="AC592">
        <v>7.2</v>
      </c>
      <c r="AD592" t="s">
        <v>37</v>
      </c>
      <c r="AE592" t="str">
        <f>IF(AND(data[[#This Row],[Age]]&gt;=18,data[[#This Row],[Age]]&lt;=24),"18-24",IF(AND(data[[#This Row],[Age]]&gt;=25,data[[#This Row],[Age]]&lt;=34),"25-34",IF(AND(data[[#This Row],[Age]]&gt;35,data[[#This Row],[Age]]&lt;=44),"35-44",IF(data[[#This Row],[Age]]&gt;44,"45+",IF(data[[#This Row],[Age]]&lt;18,"below 18 ")))))</f>
        <v>35-44</v>
      </c>
    </row>
    <row r="593" spans="1:31" x14ac:dyDescent="0.25">
      <c r="A593" t="s">
        <v>646</v>
      </c>
      <c r="B593">
        <v>37</v>
      </c>
      <c r="C593" t="s">
        <v>31</v>
      </c>
      <c r="D593" t="s">
        <v>39</v>
      </c>
      <c r="E593" t="s">
        <v>33</v>
      </c>
      <c r="F593" t="s">
        <v>51</v>
      </c>
      <c r="H593">
        <v>7</v>
      </c>
      <c r="I593">
        <v>2</v>
      </c>
      <c r="J593" t="s">
        <v>35</v>
      </c>
      <c r="K593" t="s">
        <v>52</v>
      </c>
      <c r="L593">
        <v>5</v>
      </c>
      <c r="M593">
        <v>5.8</v>
      </c>
      <c r="N593">
        <v>4.3</v>
      </c>
      <c r="O593">
        <v>7</v>
      </c>
      <c r="P593">
        <v>8.6</v>
      </c>
      <c r="Q593" t="s">
        <v>35</v>
      </c>
      <c r="R593" t="s">
        <v>42</v>
      </c>
      <c r="U593">
        <v>7.7</v>
      </c>
      <c r="V593">
        <v>3.7</v>
      </c>
      <c r="W593">
        <v>6.1</v>
      </c>
      <c r="X593">
        <v>7.9</v>
      </c>
      <c r="Y593">
        <v>7.8</v>
      </c>
      <c r="Z593">
        <v>2.2000000000000002</v>
      </c>
      <c r="AA593">
        <v>3.4</v>
      </c>
      <c r="AB593">
        <v>3.3</v>
      </c>
      <c r="AC593">
        <v>6.1</v>
      </c>
      <c r="AD593" t="s">
        <v>53</v>
      </c>
      <c r="AE593" t="str">
        <f>IF(AND(data[[#This Row],[Age]]&gt;=18,data[[#This Row],[Age]]&lt;=24),"18-24",IF(AND(data[[#This Row],[Age]]&gt;=25,data[[#This Row],[Age]]&lt;=34),"25-34",IF(AND(data[[#This Row],[Age]]&gt;35,data[[#This Row],[Age]]&lt;=44),"35-44",IF(data[[#This Row],[Age]]&gt;44,"45+",IF(data[[#This Row],[Age]]&lt;18,"below 18 ")))))</f>
        <v>35-44</v>
      </c>
    </row>
    <row r="594" spans="1:31" x14ac:dyDescent="0.25">
      <c r="A594" t="s">
        <v>647</v>
      </c>
      <c r="B594">
        <v>38</v>
      </c>
      <c r="C594" t="s">
        <v>47</v>
      </c>
      <c r="D594" t="s">
        <v>57</v>
      </c>
      <c r="E594" t="s">
        <v>58</v>
      </c>
      <c r="F594" t="s">
        <v>51</v>
      </c>
      <c r="G594">
        <v>4</v>
      </c>
      <c r="H594">
        <v>3</v>
      </c>
      <c r="I594">
        <v>7</v>
      </c>
      <c r="J594" t="s">
        <v>42</v>
      </c>
      <c r="K594" t="s">
        <v>52</v>
      </c>
      <c r="L594">
        <v>26</v>
      </c>
      <c r="M594">
        <v>2.6</v>
      </c>
      <c r="N594">
        <v>2.8</v>
      </c>
      <c r="O594">
        <v>2.5</v>
      </c>
      <c r="P594">
        <v>9.6</v>
      </c>
      <c r="Q594" t="s">
        <v>35</v>
      </c>
      <c r="R594" t="s">
        <v>35</v>
      </c>
      <c r="S594">
        <v>5.6</v>
      </c>
      <c r="T594">
        <v>7.6</v>
      </c>
      <c r="U594">
        <v>3.3</v>
      </c>
      <c r="V594">
        <v>5.7</v>
      </c>
      <c r="W594">
        <v>3.4</v>
      </c>
      <c r="X594">
        <v>5.8</v>
      </c>
      <c r="Y594">
        <v>7</v>
      </c>
      <c r="Z594">
        <v>6.3</v>
      </c>
      <c r="AA594">
        <v>2.7</v>
      </c>
      <c r="AB594">
        <v>1.9</v>
      </c>
      <c r="AC594">
        <v>7.5</v>
      </c>
      <c r="AD594" t="s">
        <v>53</v>
      </c>
      <c r="AE594" t="str">
        <f>IF(AND(data[[#This Row],[Age]]&gt;=18,data[[#This Row],[Age]]&lt;=24),"18-24",IF(AND(data[[#This Row],[Age]]&gt;=25,data[[#This Row],[Age]]&lt;=34),"25-34",IF(AND(data[[#This Row],[Age]]&gt;35,data[[#This Row],[Age]]&lt;=44),"35-44",IF(data[[#This Row],[Age]]&gt;44,"45+",IF(data[[#This Row],[Age]]&lt;18,"below 18 ")))))</f>
        <v>35-44</v>
      </c>
    </row>
    <row r="595" spans="1:31" x14ac:dyDescent="0.25">
      <c r="A595" t="s">
        <v>648</v>
      </c>
      <c r="B595">
        <v>43</v>
      </c>
      <c r="C595" t="s">
        <v>50</v>
      </c>
      <c r="D595" t="s">
        <v>39</v>
      </c>
      <c r="E595" t="s">
        <v>58</v>
      </c>
      <c r="F595" t="s">
        <v>59</v>
      </c>
      <c r="G595">
        <v>3</v>
      </c>
      <c r="H595">
        <v>3</v>
      </c>
      <c r="I595">
        <v>5</v>
      </c>
      <c r="J595" t="s">
        <v>42</v>
      </c>
      <c r="K595" t="s">
        <v>36</v>
      </c>
      <c r="L595">
        <v>49</v>
      </c>
      <c r="M595">
        <v>4.3</v>
      </c>
      <c r="N595">
        <v>5.8</v>
      </c>
      <c r="O595">
        <v>5.8</v>
      </c>
      <c r="P595">
        <v>2.2000000000000002</v>
      </c>
      <c r="R595" t="s">
        <v>42</v>
      </c>
      <c r="S595">
        <v>4.2</v>
      </c>
      <c r="T595">
        <v>2</v>
      </c>
      <c r="U595">
        <v>6.2</v>
      </c>
      <c r="V595">
        <v>7.3</v>
      </c>
      <c r="W595">
        <v>2.2999999999999998</v>
      </c>
      <c r="X595">
        <v>6.8</v>
      </c>
      <c r="Y595">
        <v>4.0999999999999996</v>
      </c>
      <c r="Z595">
        <v>3.5</v>
      </c>
      <c r="AA595">
        <v>7.3</v>
      </c>
      <c r="AB595">
        <v>3.2</v>
      </c>
      <c r="AC595">
        <v>6.2</v>
      </c>
      <c r="AD595" t="s">
        <v>45</v>
      </c>
      <c r="AE595" t="str">
        <f>IF(AND(data[[#This Row],[Age]]&gt;=18,data[[#This Row],[Age]]&lt;=24),"18-24",IF(AND(data[[#This Row],[Age]]&gt;=25,data[[#This Row],[Age]]&lt;=34),"25-34",IF(AND(data[[#This Row],[Age]]&gt;35,data[[#This Row],[Age]]&lt;=44),"35-44",IF(data[[#This Row],[Age]]&gt;44,"45+",IF(data[[#This Row],[Age]]&lt;18,"below 18 ")))))</f>
        <v>35-44</v>
      </c>
    </row>
    <row r="596" spans="1:31" x14ac:dyDescent="0.25">
      <c r="A596" t="s">
        <v>649</v>
      </c>
      <c r="B596">
        <v>34</v>
      </c>
      <c r="C596" t="s">
        <v>47</v>
      </c>
      <c r="D596" t="s">
        <v>32</v>
      </c>
      <c r="F596" t="s">
        <v>41</v>
      </c>
      <c r="G596">
        <v>3</v>
      </c>
      <c r="H596">
        <v>4</v>
      </c>
      <c r="I596">
        <v>3</v>
      </c>
      <c r="J596" t="s">
        <v>35</v>
      </c>
      <c r="K596" t="s">
        <v>62</v>
      </c>
      <c r="L596">
        <v>50</v>
      </c>
      <c r="M596">
        <v>8.6999999999999993</v>
      </c>
      <c r="N596">
        <v>3</v>
      </c>
      <c r="P596">
        <v>3.6</v>
      </c>
      <c r="Q596" t="s">
        <v>35</v>
      </c>
      <c r="R596" t="s">
        <v>35</v>
      </c>
      <c r="S596">
        <v>4</v>
      </c>
      <c r="T596">
        <v>5.2</v>
      </c>
      <c r="U596">
        <v>6.3</v>
      </c>
      <c r="V596">
        <v>3.6</v>
      </c>
      <c r="W596">
        <v>7.1</v>
      </c>
      <c r="X596">
        <v>4.5999999999999996</v>
      </c>
      <c r="Y596">
        <v>4.9000000000000004</v>
      </c>
      <c r="Z596">
        <v>8.1</v>
      </c>
      <c r="AA596">
        <v>3.4</v>
      </c>
      <c r="AB596">
        <v>2.6</v>
      </c>
      <c r="AC596">
        <v>8.3000000000000007</v>
      </c>
      <c r="AD596" t="s">
        <v>37</v>
      </c>
      <c r="AE596" t="str">
        <f>IF(AND(data[[#This Row],[Age]]&gt;=18,data[[#This Row],[Age]]&lt;=24),"18-24",IF(AND(data[[#This Row],[Age]]&gt;=25,data[[#This Row],[Age]]&lt;=34),"25-34",IF(AND(data[[#This Row],[Age]]&gt;35,data[[#This Row],[Age]]&lt;=44),"35-44",IF(data[[#This Row],[Age]]&gt;44,"45+",IF(data[[#This Row],[Age]]&lt;18,"below 18 ")))))</f>
        <v>25-34</v>
      </c>
    </row>
    <row r="597" spans="1:31" x14ac:dyDescent="0.25">
      <c r="A597" t="s">
        <v>650</v>
      </c>
      <c r="B597">
        <v>26</v>
      </c>
      <c r="C597" t="s">
        <v>47</v>
      </c>
      <c r="D597" t="s">
        <v>57</v>
      </c>
      <c r="E597" t="s">
        <v>58</v>
      </c>
      <c r="F597" t="s">
        <v>41</v>
      </c>
      <c r="G597">
        <v>3.7</v>
      </c>
      <c r="H597">
        <v>3</v>
      </c>
      <c r="I597">
        <v>4</v>
      </c>
      <c r="J597" t="s">
        <v>42</v>
      </c>
      <c r="K597" t="s">
        <v>52</v>
      </c>
      <c r="L597">
        <v>58</v>
      </c>
      <c r="M597">
        <v>6.1</v>
      </c>
      <c r="N597">
        <v>8.6999999999999993</v>
      </c>
      <c r="O597">
        <v>4.7</v>
      </c>
      <c r="P597">
        <v>2.8</v>
      </c>
      <c r="Q597" t="s">
        <v>42</v>
      </c>
      <c r="R597" t="s">
        <v>35</v>
      </c>
      <c r="S597">
        <v>6.3</v>
      </c>
      <c r="T597">
        <v>5.7</v>
      </c>
      <c r="U597">
        <v>6.7</v>
      </c>
      <c r="W597">
        <v>4.8</v>
      </c>
      <c r="X597">
        <v>8.6999999999999993</v>
      </c>
      <c r="Y597">
        <v>6.6</v>
      </c>
      <c r="Z597">
        <v>6.2</v>
      </c>
      <c r="AA597">
        <v>2.8</v>
      </c>
      <c r="AB597">
        <v>7.8</v>
      </c>
      <c r="AC597">
        <v>7</v>
      </c>
      <c r="AD597" t="s">
        <v>53</v>
      </c>
      <c r="AE597" t="str">
        <f>IF(AND(data[[#This Row],[Age]]&gt;=18,data[[#This Row],[Age]]&lt;=24),"18-24",IF(AND(data[[#This Row],[Age]]&gt;=25,data[[#This Row],[Age]]&lt;=34),"25-34",IF(AND(data[[#This Row],[Age]]&gt;35,data[[#This Row],[Age]]&lt;=44),"35-44",IF(data[[#This Row],[Age]]&gt;44,"45+",IF(data[[#This Row],[Age]]&lt;18,"below 18 ")))))</f>
        <v>25-34</v>
      </c>
    </row>
    <row r="598" spans="1:31" x14ac:dyDescent="0.25">
      <c r="A598" t="s">
        <v>651</v>
      </c>
      <c r="B598">
        <v>39</v>
      </c>
      <c r="C598" t="s">
        <v>47</v>
      </c>
      <c r="D598" t="s">
        <v>39</v>
      </c>
      <c r="E598" t="s">
        <v>40</v>
      </c>
      <c r="F598" t="s">
        <v>48</v>
      </c>
      <c r="G598">
        <v>1.7</v>
      </c>
      <c r="H598">
        <v>6</v>
      </c>
      <c r="I598">
        <v>5</v>
      </c>
      <c r="J598" t="s">
        <v>35</v>
      </c>
      <c r="K598" t="s">
        <v>62</v>
      </c>
      <c r="L598">
        <v>140</v>
      </c>
      <c r="M598">
        <v>9.4</v>
      </c>
      <c r="N598">
        <v>6.1</v>
      </c>
      <c r="O598">
        <v>5</v>
      </c>
      <c r="P598">
        <v>4.0999999999999996</v>
      </c>
      <c r="Q598" t="s">
        <v>42</v>
      </c>
      <c r="R598" t="s">
        <v>35</v>
      </c>
      <c r="S598">
        <v>4.5999999999999996</v>
      </c>
      <c r="T598">
        <v>5.2</v>
      </c>
      <c r="V598">
        <v>5.6</v>
      </c>
      <c r="W598">
        <v>5.2</v>
      </c>
      <c r="X598">
        <v>7.7</v>
      </c>
      <c r="Y598">
        <v>6</v>
      </c>
      <c r="Z598">
        <v>9</v>
      </c>
      <c r="AB598">
        <v>2.1</v>
      </c>
      <c r="AC598">
        <v>8.1</v>
      </c>
      <c r="AD598" t="s">
        <v>37</v>
      </c>
      <c r="AE598" t="str">
        <f>IF(AND(data[[#This Row],[Age]]&gt;=18,data[[#This Row],[Age]]&lt;=24),"18-24",IF(AND(data[[#This Row],[Age]]&gt;=25,data[[#This Row],[Age]]&lt;=34),"25-34",IF(AND(data[[#This Row],[Age]]&gt;35,data[[#This Row],[Age]]&lt;=44),"35-44",IF(data[[#This Row],[Age]]&gt;44,"45+",IF(data[[#This Row],[Age]]&lt;18,"below 18 ")))))</f>
        <v>35-44</v>
      </c>
    </row>
    <row r="599" spans="1:31" x14ac:dyDescent="0.25">
      <c r="A599" t="s">
        <v>652</v>
      </c>
      <c r="B599">
        <v>26</v>
      </c>
      <c r="C599" t="s">
        <v>47</v>
      </c>
      <c r="D599" t="s">
        <v>39</v>
      </c>
      <c r="E599" t="s">
        <v>40</v>
      </c>
      <c r="F599" t="s">
        <v>34</v>
      </c>
      <c r="H599">
        <v>4</v>
      </c>
      <c r="I599">
        <v>2</v>
      </c>
      <c r="J599" t="s">
        <v>35</v>
      </c>
      <c r="K599" t="s">
        <v>62</v>
      </c>
      <c r="L599">
        <v>45</v>
      </c>
      <c r="M599">
        <v>7.8</v>
      </c>
      <c r="N599">
        <v>10</v>
      </c>
      <c r="P599">
        <v>5.3</v>
      </c>
      <c r="Q599" t="s">
        <v>42</v>
      </c>
      <c r="R599" t="s">
        <v>35</v>
      </c>
      <c r="S599">
        <v>3.9</v>
      </c>
      <c r="T599">
        <v>0.1</v>
      </c>
      <c r="U599">
        <v>2.4</v>
      </c>
      <c r="V599">
        <v>4.0999999999999996</v>
      </c>
      <c r="W599">
        <v>5.0999999999999996</v>
      </c>
      <c r="X599">
        <v>4.5999999999999996</v>
      </c>
      <c r="Y599">
        <v>5.0999999999999996</v>
      </c>
      <c r="Z599">
        <v>2.5</v>
      </c>
      <c r="AA599">
        <v>3.7</v>
      </c>
      <c r="AB599">
        <v>3.7</v>
      </c>
      <c r="AC599">
        <v>7.3</v>
      </c>
      <c r="AD599" t="s">
        <v>53</v>
      </c>
      <c r="AE599" t="str">
        <f>IF(AND(data[[#This Row],[Age]]&gt;=18,data[[#This Row],[Age]]&lt;=24),"18-24",IF(AND(data[[#This Row],[Age]]&gt;=25,data[[#This Row],[Age]]&lt;=34),"25-34",IF(AND(data[[#This Row],[Age]]&gt;35,data[[#This Row],[Age]]&lt;=44),"35-44",IF(data[[#This Row],[Age]]&gt;44,"45+",IF(data[[#This Row],[Age]]&lt;18,"below 18 ")))))</f>
        <v>25-34</v>
      </c>
    </row>
    <row r="600" spans="1:31" x14ac:dyDescent="0.25">
      <c r="A600" t="s">
        <v>653</v>
      </c>
      <c r="B600">
        <v>36</v>
      </c>
      <c r="C600" t="s">
        <v>31</v>
      </c>
      <c r="D600" t="s">
        <v>32</v>
      </c>
      <c r="E600" t="s">
        <v>33</v>
      </c>
      <c r="F600" t="s">
        <v>41</v>
      </c>
      <c r="G600">
        <v>5.8</v>
      </c>
      <c r="H600">
        <v>1</v>
      </c>
      <c r="I600">
        <v>5</v>
      </c>
      <c r="J600" t="s">
        <v>42</v>
      </c>
      <c r="K600" t="s">
        <v>62</v>
      </c>
      <c r="L600">
        <v>20</v>
      </c>
      <c r="M600">
        <v>6.9</v>
      </c>
      <c r="N600">
        <v>5.7</v>
      </c>
      <c r="O600">
        <v>5.3</v>
      </c>
      <c r="P600">
        <v>5.3</v>
      </c>
      <c r="Q600" t="s">
        <v>42</v>
      </c>
      <c r="R600" t="s">
        <v>42</v>
      </c>
      <c r="S600">
        <v>3.5</v>
      </c>
      <c r="T600">
        <v>4.4000000000000004</v>
      </c>
      <c r="U600">
        <v>0.9</v>
      </c>
      <c r="V600">
        <v>6.3</v>
      </c>
      <c r="W600">
        <v>3.8</v>
      </c>
      <c r="X600">
        <v>5.7</v>
      </c>
      <c r="Y600">
        <v>2.8</v>
      </c>
      <c r="Z600">
        <v>3.5</v>
      </c>
      <c r="AA600">
        <v>4.5</v>
      </c>
      <c r="AB600">
        <v>1.4</v>
      </c>
      <c r="AC600">
        <v>8.1</v>
      </c>
      <c r="AD600" t="s">
        <v>37</v>
      </c>
      <c r="AE600" t="str">
        <f>IF(AND(data[[#This Row],[Age]]&gt;=18,data[[#This Row],[Age]]&lt;=24),"18-24",IF(AND(data[[#This Row],[Age]]&gt;=25,data[[#This Row],[Age]]&lt;=34),"25-34",IF(AND(data[[#This Row],[Age]]&gt;35,data[[#This Row],[Age]]&lt;=44),"35-44",IF(data[[#This Row],[Age]]&gt;44,"45+",IF(data[[#This Row],[Age]]&lt;18,"below 18 ")))))</f>
        <v>35-44</v>
      </c>
    </row>
    <row r="601" spans="1:31" x14ac:dyDescent="0.25">
      <c r="A601" t="s">
        <v>654</v>
      </c>
      <c r="B601">
        <v>37</v>
      </c>
      <c r="C601" t="s">
        <v>31</v>
      </c>
      <c r="E601" t="s">
        <v>58</v>
      </c>
      <c r="F601" t="s">
        <v>59</v>
      </c>
      <c r="G601">
        <v>3.7</v>
      </c>
      <c r="H601">
        <v>2</v>
      </c>
      <c r="I601">
        <v>3</v>
      </c>
      <c r="J601" t="s">
        <v>42</v>
      </c>
      <c r="K601" t="s">
        <v>52</v>
      </c>
      <c r="L601">
        <v>122</v>
      </c>
      <c r="M601">
        <v>3.7</v>
      </c>
      <c r="N601">
        <v>4.9000000000000004</v>
      </c>
      <c r="O601">
        <v>0.9</v>
      </c>
      <c r="P601">
        <v>5.2</v>
      </c>
      <c r="Q601" t="s">
        <v>42</v>
      </c>
      <c r="R601" t="s">
        <v>35</v>
      </c>
      <c r="S601">
        <v>5.5</v>
      </c>
      <c r="T601">
        <v>6.3</v>
      </c>
      <c r="U601">
        <v>4.2</v>
      </c>
      <c r="V601">
        <v>8.8000000000000007</v>
      </c>
      <c r="W601">
        <v>4.4000000000000004</v>
      </c>
      <c r="X601">
        <v>6.7</v>
      </c>
      <c r="Y601">
        <v>4.4000000000000004</v>
      </c>
      <c r="Z601">
        <v>5.9</v>
      </c>
      <c r="AA601">
        <v>4.3</v>
      </c>
      <c r="AB601">
        <v>4.2</v>
      </c>
      <c r="AC601">
        <v>8.9</v>
      </c>
      <c r="AD601" t="s">
        <v>37</v>
      </c>
      <c r="AE601" t="str">
        <f>IF(AND(data[[#This Row],[Age]]&gt;=18,data[[#This Row],[Age]]&lt;=24),"18-24",IF(AND(data[[#This Row],[Age]]&gt;=25,data[[#This Row],[Age]]&lt;=34),"25-34",IF(AND(data[[#This Row],[Age]]&gt;35,data[[#This Row],[Age]]&lt;=44),"35-44",IF(data[[#This Row],[Age]]&gt;44,"45+",IF(data[[#This Row],[Age]]&lt;18,"below 18 ")))))</f>
        <v>35-44</v>
      </c>
    </row>
    <row r="602" spans="1:31" x14ac:dyDescent="0.25">
      <c r="A602" t="s">
        <v>655</v>
      </c>
      <c r="B602">
        <v>43</v>
      </c>
      <c r="C602" t="s">
        <v>31</v>
      </c>
      <c r="D602" t="s">
        <v>39</v>
      </c>
      <c r="E602" t="s">
        <v>58</v>
      </c>
      <c r="F602" t="s">
        <v>51</v>
      </c>
      <c r="G602">
        <v>5.0999999999999996</v>
      </c>
      <c r="H602">
        <v>3</v>
      </c>
      <c r="I602">
        <v>3</v>
      </c>
      <c r="J602" t="s">
        <v>35</v>
      </c>
      <c r="K602" t="s">
        <v>36</v>
      </c>
      <c r="L602">
        <v>39</v>
      </c>
      <c r="M602">
        <v>3.4</v>
      </c>
      <c r="N602">
        <v>4.2</v>
      </c>
      <c r="O602">
        <v>6.4</v>
      </c>
      <c r="P602">
        <v>6.4</v>
      </c>
      <c r="Q602" t="s">
        <v>42</v>
      </c>
      <c r="R602" t="s">
        <v>42</v>
      </c>
      <c r="S602">
        <v>5</v>
      </c>
      <c r="T602">
        <v>7.8</v>
      </c>
      <c r="V602">
        <v>4.2</v>
      </c>
      <c r="W602">
        <v>6.4</v>
      </c>
      <c r="X602">
        <v>6.3</v>
      </c>
      <c r="Y602">
        <v>6.4</v>
      </c>
      <c r="Z602">
        <v>9.4</v>
      </c>
      <c r="AA602">
        <v>3.8</v>
      </c>
      <c r="AB602">
        <v>2.6</v>
      </c>
      <c r="AC602">
        <v>6.2</v>
      </c>
      <c r="AD602" t="s">
        <v>53</v>
      </c>
      <c r="AE602" t="str">
        <f>IF(AND(data[[#This Row],[Age]]&gt;=18,data[[#This Row],[Age]]&lt;=24),"18-24",IF(AND(data[[#This Row],[Age]]&gt;=25,data[[#This Row],[Age]]&lt;=34),"25-34",IF(AND(data[[#This Row],[Age]]&gt;35,data[[#This Row],[Age]]&lt;=44),"35-44",IF(data[[#This Row],[Age]]&gt;44,"45+",IF(data[[#This Row],[Age]]&lt;18,"below 18 ")))))</f>
        <v>35-44</v>
      </c>
    </row>
    <row r="603" spans="1:31" x14ac:dyDescent="0.25">
      <c r="A603" t="s">
        <v>656</v>
      </c>
      <c r="B603">
        <v>19</v>
      </c>
      <c r="C603" t="s">
        <v>31</v>
      </c>
      <c r="D603" t="s">
        <v>32</v>
      </c>
      <c r="E603" t="s">
        <v>40</v>
      </c>
      <c r="F603" t="s">
        <v>41</v>
      </c>
      <c r="G603">
        <v>2.5</v>
      </c>
      <c r="H603">
        <v>1</v>
      </c>
      <c r="I603">
        <v>8</v>
      </c>
      <c r="J603" t="s">
        <v>42</v>
      </c>
      <c r="K603" t="s">
        <v>36</v>
      </c>
      <c r="L603">
        <v>21</v>
      </c>
      <c r="M603">
        <v>6.4</v>
      </c>
      <c r="N603">
        <v>5.0999999999999996</v>
      </c>
      <c r="O603">
        <v>6.9</v>
      </c>
      <c r="P603">
        <v>6.2</v>
      </c>
      <c r="Q603" t="s">
        <v>42</v>
      </c>
      <c r="R603" t="s">
        <v>35</v>
      </c>
      <c r="S603">
        <v>8.4</v>
      </c>
      <c r="T603">
        <v>3.5</v>
      </c>
      <c r="U603">
        <v>5.8</v>
      </c>
      <c r="V603">
        <v>5.4</v>
      </c>
      <c r="W603">
        <v>8.5</v>
      </c>
      <c r="X603">
        <v>4.5999999999999996</v>
      </c>
      <c r="Y603">
        <v>1.9</v>
      </c>
      <c r="Z603">
        <v>6</v>
      </c>
      <c r="AA603">
        <v>6.6</v>
      </c>
      <c r="AB603">
        <v>4.8</v>
      </c>
      <c r="AC603">
        <v>7.8</v>
      </c>
      <c r="AD603" t="s">
        <v>53</v>
      </c>
      <c r="AE603" t="str">
        <f>IF(AND(data[[#This Row],[Age]]&gt;=18,data[[#This Row],[Age]]&lt;=24),"18-24",IF(AND(data[[#This Row],[Age]]&gt;=25,data[[#This Row],[Age]]&lt;=34),"25-34",IF(AND(data[[#This Row],[Age]]&gt;35,data[[#This Row],[Age]]&lt;=44),"35-44",IF(data[[#This Row],[Age]]&gt;44,"45+",IF(data[[#This Row],[Age]]&lt;18,"below 18 ")))))</f>
        <v>18-24</v>
      </c>
    </row>
    <row r="604" spans="1:31" x14ac:dyDescent="0.25">
      <c r="A604" t="s">
        <v>657</v>
      </c>
      <c r="B604">
        <v>17</v>
      </c>
      <c r="C604" t="s">
        <v>47</v>
      </c>
      <c r="D604" t="s">
        <v>64</v>
      </c>
      <c r="E604" t="s">
        <v>33</v>
      </c>
      <c r="F604" t="s">
        <v>48</v>
      </c>
      <c r="G604">
        <v>4.7</v>
      </c>
      <c r="H604">
        <v>7</v>
      </c>
      <c r="I604">
        <v>2</v>
      </c>
      <c r="K604" t="s">
        <v>62</v>
      </c>
      <c r="L604">
        <v>5</v>
      </c>
      <c r="M604">
        <v>2.2999999999999998</v>
      </c>
      <c r="N604">
        <v>6.6</v>
      </c>
      <c r="O604">
        <v>5.2</v>
      </c>
      <c r="P604">
        <v>7.2</v>
      </c>
      <c r="Q604" t="s">
        <v>42</v>
      </c>
      <c r="R604" t="s">
        <v>35</v>
      </c>
      <c r="S604">
        <v>5</v>
      </c>
      <c r="T604">
        <v>5.7</v>
      </c>
      <c r="U604">
        <v>3.1</v>
      </c>
      <c r="V604">
        <v>7.4</v>
      </c>
      <c r="W604">
        <v>6.6</v>
      </c>
      <c r="X604">
        <v>7.2</v>
      </c>
      <c r="Y604">
        <v>5.9</v>
      </c>
      <c r="Z604">
        <v>7.3</v>
      </c>
      <c r="AA604">
        <v>4.5999999999999996</v>
      </c>
      <c r="AB604">
        <v>4.3</v>
      </c>
      <c r="AC604">
        <v>9.1999999999999993</v>
      </c>
      <c r="AD604" t="s">
        <v>37</v>
      </c>
      <c r="AE604" t="str">
        <f>IF(AND(data[[#This Row],[Age]]&gt;=18,data[[#This Row],[Age]]&lt;=24),"18-24",IF(AND(data[[#This Row],[Age]]&gt;=25,data[[#This Row],[Age]]&lt;=34),"25-34",IF(AND(data[[#This Row],[Age]]&gt;35,data[[#This Row],[Age]]&lt;=44),"35-44",IF(data[[#This Row],[Age]]&gt;44,"45+",IF(data[[#This Row],[Age]]&lt;18,"below 18 ")))))</f>
        <v xml:space="preserve">below 18 </v>
      </c>
    </row>
    <row r="605" spans="1:31" x14ac:dyDescent="0.25">
      <c r="A605" t="s">
        <v>658</v>
      </c>
      <c r="B605">
        <v>44</v>
      </c>
      <c r="C605" t="s">
        <v>47</v>
      </c>
      <c r="D605" t="s">
        <v>32</v>
      </c>
      <c r="E605" t="s">
        <v>40</v>
      </c>
      <c r="F605" t="s">
        <v>34</v>
      </c>
      <c r="G605">
        <v>1.3</v>
      </c>
      <c r="H605">
        <v>2</v>
      </c>
      <c r="I605">
        <v>3</v>
      </c>
      <c r="J605" t="s">
        <v>35</v>
      </c>
      <c r="K605" t="s">
        <v>52</v>
      </c>
      <c r="L605">
        <v>87</v>
      </c>
      <c r="M605">
        <v>3.9</v>
      </c>
      <c r="N605">
        <v>6.2</v>
      </c>
      <c r="O605">
        <v>3.5</v>
      </c>
      <c r="P605">
        <v>7.7</v>
      </c>
      <c r="Q605" t="s">
        <v>42</v>
      </c>
      <c r="R605" t="s">
        <v>35</v>
      </c>
      <c r="S605">
        <v>2.6</v>
      </c>
      <c r="T605">
        <v>7.2</v>
      </c>
      <c r="U605">
        <v>5.5</v>
      </c>
      <c r="V605">
        <v>5</v>
      </c>
      <c r="W605">
        <v>10</v>
      </c>
      <c r="X605">
        <v>7.8</v>
      </c>
      <c r="Y605">
        <v>8</v>
      </c>
      <c r="Z605">
        <v>0.7</v>
      </c>
      <c r="AA605">
        <v>6.1</v>
      </c>
      <c r="AB605">
        <v>1.3</v>
      </c>
      <c r="AC605">
        <v>7.7</v>
      </c>
      <c r="AD605" t="s">
        <v>37</v>
      </c>
      <c r="AE605" t="str">
        <f>IF(AND(data[[#This Row],[Age]]&gt;=18,data[[#This Row],[Age]]&lt;=24),"18-24",IF(AND(data[[#This Row],[Age]]&gt;=25,data[[#This Row],[Age]]&lt;=34),"25-34",IF(AND(data[[#This Row],[Age]]&gt;35,data[[#This Row],[Age]]&lt;=44),"35-44",IF(data[[#This Row],[Age]]&gt;44,"45+",IF(data[[#This Row],[Age]]&lt;18,"below 18 ")))))</f>
        <v>35-44</v>
      </c>
    </row>
    <row r="606" spans="1:31" x14ac:dyDescent="0.25">
      <c r="A606" t="s">
        <v>659</v>
      </c>
      <c r="B606">
        <v>22</v>
      </c>
      <c r="C606" t="s">
        <v>31</v>
      </c>
      <c r="D606" t="s">
        <v>39</v>
      </c>
      <c r="E606" t="s">
        <v>58</v>
      </c>
      <c r="F606" t="s">
        <v>34</v>
      </c>
      <c r="G606">
        <v>4.4000000000000004</v>
      </c>
      <c r="H606">
        <v>3</v>
      </c>
      <c r="I606">
        <v>3</v>
      </c>
      <c r="J606" t="s">
        <v>35</v>
      </c>
      <c r="K606" t="s">
        <v>36</v>
      </c>
      <c r="L606">
        <v>61</v>
      </c>
      <c r="M606">
        <v>2</v>
      </c>
      <c r="N606">
        <v>6</v>
      </c>
      <c r="O606">
        <v>3.5</v>
      </c>
      <c r="P606">
        <v>5.6</v>
      </c>
      <c r="Q606" t="s">
        <v>42</v>
      </c>
      <c r="R606" t="s">
        <v>42</v>
      </c>
      <c r="S606">
        <v>5.2</v>
      </c>
      <c r="T606">
        <v>2.6</v>
      </c>
      <c r="U606">
        <v>5.7</v>
      </c>
      <c r="W606">
        <v>7.5</v>
      </c>
      <c r="X606">
        <v>6.5</v>
      </c>
      <c r="Y606">
        <v>5.5</v>
      </c>
      <c r="Z606">
        <v>2.5</v>
      </c>
      <c r="AA606">
        <v>1.1000000000000001</v>
      </c>
      <c r="AB606">
        <v>5</v>
      </c>
      <c r="AC606">
        <v>7.5</v>
      </c>
      <c r="AD606" t="s">
        <v>37</v>
      </c>
      <c r="AE606" t="str">
        <f>IF(AND(data[[#This Row],[Age]]&gt;=18,data[[#This Row],[Age]]&lt;=24),"18-24",IF(AND(data[[#This Row],[Age]]&gt;=25,data[[#This Row],[Age]]&lt;=34),"25-34",IF(AND(data[[#This Row],[Age]]&gt;35,data[[#This Row],[Age]]&lt;=44),"35-44",IF(data[[#This Row],[Age]]&gt;44,"45+",IF(data[[#This Row],[Age]]&lt;18,"below 18 ")))))</f>
        <v>18-24</v>
      </c>
    </row>
    <row r="607" spans="1:31" x14ac:dyDescent="0.25">
      <c r="A607" t="s">
        <v>660</v>
      </c>
      <c r="B607">
        <v>24</v>
      </c>
      <c r="C607" t="s">
        <v>47</v>
      </c>
      <c r="D607" t="s">
        <v>32</v>
      </c>
      <c r="E607" t="s">
        <v>33</v>
      </c>
      <c r="F607" t="s">
        <v>41</v>
      </c>
      <c r="G607">
        <v>4.7</v>
      </c>
      <c r="H607">
        <v>3</v>
      </c>
      <c r="I607">
        <v>3</v>
      </c>
      <c r="J607" t="s">
        <v>42</v>
      </c>
      <c r="K607" t="s">
        <v>36</v>
      </c>
      <c r="L607">
        <v>52</v>
      </c>
      <c r="M607">
        <v>8.8000000000000007</v>
      </c>
      <c r="N607">
        <v>1</v>
      </c>
      <c r="O607">
        <v>6</v>
      </c>
      <c r="P607">
        <v>5.5</v>
      </c>
      <c r="Q607" t="s">
        <v>42</v>
      </c>
      <c r="R607" t="s">
        <v>42</v>
      </c>
      <c r="S607">
        <v>5</v>
      </c>
      <c r="T607">
        <v>8.6</v>
      </c>
      <c r="U607">
        <v>5.0999999999999996</v>
      </c>
      <c r="V607">
        <v>8.8000000000000007</v>
      </c>
      <c r="W607">
        <v>7.9</v>
      </c>
      <c r="X607">
        <v>7.4</v>
      </c>
      <c r="Y607">
        <v>3.1</v>
      </c>
      <c r="Z607">
        <v>7.3</v>
      </c>
      <c r="AA607">
        <v>3.1</v>
      </c>
      <c r="AB607">
        <v>3.5</v>
      </c>
      <c r="AC607">
        <v>5.8</v>
      </c>
      <c r="AD607" t="s">
        <v>45</v>
      </c>
      <c r="AE607" t="str">
        <f>IF(AND(data[[#This Row],[Age]]&gt;=18,data[[#This Row],[Age]]&lt;=24),"18-24",IF(AND(data[[#This Row],[Age]]&gt;=25,data[[#This Row],[Age]]&lt;=34),"25-34",IF(AND(data[[#This Row],[Age]]&gt;35,data[[#This Row],[Age]]&lt;=44),"35-44",IF(data[[#This Row],[Age]]&gt;44,"45+",IF(data[[#This Row],[Age]]&lt;18,"below 18 ")))))</f>
        <v>18-24</v>
      </c>
    </row>
    <row r="608" spans="1:31" x14ac:dyDescent="0.25">
      <c r="A608" t="s">
        <v>661</v>
      </c>
      <c r="B608">
        <v>37</v>
      </c>
      <c r="C608" t="s">
        <v>47</v>
      </c>
      <c r="D608" t="s">
        <v>57</v>
      </c>
      <c r="E608" t="s">
        <v>58</v>
      </c>
      <c r="F608" t="s">
        <v>51</v>
      </c>
      <c r="G608">
        <v>3.7</v>
      </c>
      <c r="H608">
        <v>3</v>
      </c>
      <c r="I608">
        <v>2</v>
      </c>
      <c r="J608" t="s">
        <v>35</v>
      </c>
      <c r="K608" t="s">
        <v>36</v>
      </c>
      <c r="L608">
        <v>49</v>
      </c>
      <c r="M608">
        <v>8.5</v>
      </c>
      <c r="N608">
        <v>5.8</v>
      </c>
      <c r="O608">
        <v>0.8</v>
      </c>
      <c r="P608">
        <v>4.9000000000000004</v>
      </c>
      <c r="Q608" t="s">
        <v>35</v>
      </c>
      <c r="R608" t="s">
        <v>42</v>
      </c>
      <c r="S608">
        <v>4.7</v>
      </c>
      <c r="T608">
        <v>7</v>
      </c>
      <c r="U608">
        <v>4.3</v>
      </c>
      <c r="V608">
        <v>6.1</v>
      </c>
      <c r="W608">
        <v>4</v>
      </c>
      <c r="X608">
        <v>7</v>
      </c>
      <c r="Y608">
        <v>4.5</v>
      </c>
      <c r="Z608">
        <v>1.4</v>
      </c>
      <c r="AA608">
        <v>4.7</v>
      </c>
      <c r="AB608">
        <v>1.5</v>
      </c>
      <c r="AC608">
        <v>5.6</v>
      </c>
      <c r="AD608" t="s">
        <v>45</v>
      </c>
      <c r="AE608" t="str">
        <f>IF(AND(data[[#This Row],[Age]]&gt;=18,data[[#This Row],[Age]]&lt;=24),"18-24",IF(AND(data[[#This Row],[Age]]&gt;=25,data[[#This Row],[Age]]&lt;=34),"25-34",IF(AND(data[[#This Row],[Age]]&gt;35,data[[#This Row],[Age]]&lt;=44),"35-44",IF(data[[#This Row],[Age]]&gt;44,"45+",IF(data[[#This Row],[Age]]&lt;18,"below 18 ")))))</f>
        <v>35-44</v>
      </c>
    </row>
    <row r="609" spans="1:31" x14ac:dyDescent="0.25">
      <c r="A609" t="s">
        <v>662</v>
      </c>
      <c r="B609">
        <v>25</v>
      </c>
      <c r="C609" t="s">
        <v>47</v>
      </c>
      <c r="D609" t="s">
        <v>39</v>
      </c>
      <c r="E609" t="s">
        <v>40</v>
      </c>
      <c r="F609" t="s">
        <v>51</v>
      </c>
      <c r="G609">
        <v>6.1</v>
      </c>
      <c r="H609">
        <v>3</v>
      </c>
      <c r="I609">
        <v>5</v>
      </c>
      <c r="J609" t="s">
        <v>35</v>
      </c>
      <c r="K609" t="s">
        <v>36</v>
      </c>
      <c r="L609">
        <v>27</v>
      </c>
      <c r="M609">
        <v>2.7</v>
      </c>
      <c r="N609">
        <v>4.5999999999999996</v>
      </c>
      <c r="O609">
        <v>8.5</v>
      </c>
      <c r="P609">
        <v>4.5999999999999996</v>
      </c>
      <c r="Q609" t="s">
        <v>42</v>
      </c>
      <c r="R609" t="s">
        <v>35</v>
      </c>
      <c r="S609">
        <v>4.4000000000000004</v>
      </c>
      <c r="T609">
        <v>1.2</v>
      </c>
      <c r="U609">
        <v>2</v>
      </c>
      <c r="W609">
        <v>1.5</v>
      </c>
      <c r="X609">
        <v>8.5</v>
      </c>
      <c r="Y609">
        <v>5.2</v>
      </c>
      <c r="Z609">
        <v>2.8</v>
      </c>
      <c r="AA609">
        <v>2.4</v>
      </c>
      <c r="AC609">
        <v>5.7</v>
      </c>
      <c r="AD609" t="s">
        <v>45</v>
      </c>
      <c r="AE609" t="str">
        <f>IF(AND(data[[#This Row],[Age]]&gt;=18,data[[#This Row],[Age]]&lt;=24),"18-24",IF(AND(data[[#This Row],[Age]]&gt;=25,data[[#This Row],[Age]]&lt;=34),"25-34",IF(AND(data[[#This Row],[Age]]&gt;35,data[[#This Row],[Age]]&lt;=44),"35-44",IF(data[[#This Row],[Age]]&gt;44,"45+",IF(data[[#This Row],[Age]]&lt;18,"below 18 ")))))</f>
        <v>25-34</v>
      </c>
    </row>
    <row r="610" spans="1:31" x14ac:dyDescent="0.25">
      <c r="A610" t="s">
        <v>663</v>
      </c>
      <c r="B610">
        <v>41</v>
      </c>
      <c r="C610" t="s">
        <v>31</v>
      </c>
      <c r="D610" t="s">
        <v>32</v>
      </c>
      <c r="E610" t="s">
        <v>40</v>
      </c>
      <c r="F610" t="s">
        <v>34</v>
      </c>
      <c r="G610">
        <v>2.8</v>
      </c>
      <c r="H610">
        <v>4</v>
      </c>
      <c r="I610">
        <v>4</v>
      </c>
      <c r="J610" t="s">
        <v>42</v>
      </c>
      <c r="K610" t="s">
        <v>62</v>
      </c>
      <c r="L610">
        <v>73</v>
      </c>
      <c r="M610">
        <v>5.6</v>
      </c>
      <c r="N610">
        <v>4.3</v>
      </c>
      <c r="O610">
        <v>5.4</v>
      </c>
      <c r="P610">
        <v>3.5</v>
      </c>
      <c r="Q610" t="s">
        <v>35</v>
      </c>
      <c r="R610" t="s">
        <v>35</v>
      </c>
      <c r="S610">
        <v>3.7</v>
      </c>
      <c r="T610">
        <v>6.8</v>
      </c>
      <c r="U610">
        <v>4.2</v>
      </c>
      <c r="V610">
        <v>5.7</v>
      </c>
      <c r="W610">
        <v>4.5</v>
      </c>
      <c r="X610">
        <v>7</v>
      </c>
      <c r="Y610">
        <v>5.3</v>
      </c>
      <c r="Z610">
        <v>7.8</v>
      </c>
      <c r="AA610">
        <v>3.1</v>
      </c>
      <c r="AB610">
        <v>5</v>
      </c>
      <c r="AC610">
        <v>8.5</v>
      </c>
      <c r="AD610" t="s">
        <v>37</v>
      </c>
      <c r="AE610" t="str">
        <f>IF(AND(data[[#This Row],[Age]]&gt;=18,data[[#This Row],[Age]]&lt;=24),"18-24",IF(AND(data[[#This Row],[Age]]&gt;=25,data[[#This Row],[Age]]&lt;=34),"25-34",IF(AND(data[[#This Row],[Age]]&gt;35,data[[#This Row],[Age]]&lt;=44),"35-44",IF(data[[#This Row],[Age]]&gt;44,"45+",IF(data[[#This Row],[Age]]&lt;18,"below 18 ")))))</f>
        <v>35-44</v>
      </c>
    </row>
    <row r="611" spans="1:31" x14ac:dyDescent="0.25">
      <c r="A611" t="s">
        <v>664</v>
      </c>
      <c r="B611">
        <v>23</v>
      </c>
      <c r="C611" t="s">
        <v>47</v>
      </c>
      <c r="D611" t="s">
        <v>32</v>
      </c>
      <c r="E611" t="s">
        <v>33</v>
      </c>
      <c r="F611" t="s">
        <v>48</v>
      </c>
      <c r="G611">
        <v>4.8</v>
      </c>
      <c r="H611">
        <v>2</v>
      </c>
      <c r="I611">
        <v>4</v>
      </c>
      <c r="J611" t="s">
        <v>42</v>
      </c>
      <c r="K611" t="s">
        <v>36</v>
      </c>
      <c r="L611">
        <v>76</v>
      </c>
      <c r="M611">
        <v>8.6</v>
      </c>
      <c r="N611">
        <v>2.8</v>
      </c>
      <c r="O611">
        <v>10</v>
      </c>
      <c r="P611">
        <v>5</v>
      </c>
      <c r="Q611" t="s">
        <v>35</v>
      </c>
      <c r="R611" t="s">
        <v>42</v>
      </c>
      <c r="S611">
        <v>4.2</v>
      </c>
      <c r="T611">
        <v>5.3</v>
      </c>
      <c r="U611">
        <v>3.2</v>
      </c>
      <c r="V611">
        <v>7</v>
      </c>
      <c r="W611">
        <v>2.9</v>
      </c>
      <c r="X611">
        <v>7.8</v>
      </c>
      <c r="Y611">
        <v>7.6</v>
      </c>
      <c r="Z611">
        <v>10</v>
      </c>
      <c r="AA611">
        <v>1.9</v>
      </c>
      <c r="AB611">
        <v>5.4</v>
      </c>
      <c r="AC611">
        <v>4.5</v>
      </c>
      <c r="AD611" t="s">
        <v>45</v>
      </c>
      <c r="AE611" t="str">
        <f>IF(AND(data[[#This Row],[Age]]&gt;=18,data[[#This Row],[Age]]&lt;=24),"18-24",IF(AND(data[[#This Row],[Age]]&gt;=25,data[[#This Row],[Age]]&lt;=34),"25-34",IF(AND(data[[#This Row],[Age]]&gt;35,data[[#This Row],[Age]]&lt;=44),"35-44",IF(data[[#This Row],[Age]]&gt;44,"45+",IF(data[[#This Row],[Age]]&lt;18,"below 18 ")))))</f>
        <v>18-24</v>
      </c>
    </row>
    <row r="612" spans="1:31" x14ac:dyDescent="0.25">
      <c r="A612" t="s">
        <v>665</v>
      </c>
      <c r="B612">
        <v>21</v>
      </c>
      <c r="C612" t="s">
        <v>31</v>
      </c>
      <c r="D612" t="s">
        <v>32</v>
      </c>
      <c r="E612" t="s">
        <v>33</v>
      </c>
      <c r="F612" t="s">
        <v>51</v>
      </c>
      <c r="G612">
        <v>5.7</v>
      </c>
      <c r="H612">
        <v>1</v>
      </c>
      <c r="I612">
        <v>3</v>
      </c>
      <c r="J612" t="s">
        <v>42</v>
      </c>
      <c r="K612" t="s">
        <v>36</v>
      </c>
      <c r="L612">
        <v>48</v>
      </c>
      <c r="M612">
        <v>3.3</v>
      </c>
      <c r="N612">
        <v>5.7</v>
      </c>
      <c r="O612">
        <v>7.3</v>
      </c>
      <c r="P612">
        <v>1.9</v>
      </c>
      <c r="Q612" t="s">
        <v>35</v>
      </c>
      <c r="R612" t="s">
        <v>42</v>
      </c>
      <c r="S612">
        <v>4.2</v>
      </c>
      <c r="T612">
        <v>5.6</v>
      </c>
      <c r="U612">
        <v>4.7</v>
      </c>
      <c r="W612">
        <v>5.0999999999999996</v>
      </c>
      <c r="X612">
        <v>6</v>
      </c>
      <c r="Y612">
        <v>5.0999999999999996</v>
      </c>
      <c r="Z612">
        <v>1.9</v>
      </c>
      <c r="AA612">
        <v>5.4</v>
      </c>
      <c r="AC612">
        <v>4.9000000000000004</v>
      </c>
      <c r="AD612" t="s">
        <v>45</v>
      </c>
      <c r="AE612" t="str">
        <f>IF(AND(data[[#This Row],[Age]]&gt;=18,data[[#This Row],[Age]]&lt;=24),"18-24",IF(AND(data[[#This Row],[Age]]&gt;=25,data[[#This Row],[Age]]&lt;=34),"25-34",IF(AND(data[[#This Row],[Age]]&gt;35,data[[#This Row],[Age]]&lt;=44),"35-44",IF(data[[#This Row],[Age]]&gt;44,"45+",IF(data[[#This Row],[Age]]&lt;18,"below 18 ")))))</f>
        <v>18-24</v>
      </c>
    </row>
    <row r="613" spans="1:31" x14ac:dyDescent="0.25">
      <c r="A613" t="s">
        <v>666</v>
      </c>
      <c r="B613">
        <v>41</v>
      </c>
      <c r="C613" t="s">
        <v>31</v>
      </c>
      <c r="E613" t="s">
        <v>40</v>
      </c>
      <c r="F613" t="s">
        <v>51</v>
      </c>
      <c r="G613">
        <v>5.6</v>
      </c>
      <c r="H613">
        <v>6</v>
      </c>
      <c r="I613">
        <v>4</v>
      </c>
      <c r="J613" t="s">
        <v>35</v>
      </c>
      <c r="K613" t="s">
        <v>36</v>
      </c>
      <c r="L613">
        <v>68</v>
      </c>
      <c r="M613">
        <v>6.1</v>
      </c>
      <c r="N613">
        <v>4.0999999999999996</v>
      </c>
      <c r="O613">
        <v>3.2</v>
      </c>
      <c r="P613">
        <v>6.6</v>
      </c>
      <c r="Q613" t="s">
        <v>35</v>
      </c>
      <c r="R613" t="s">
        <v>35</v>
      </c>
      <c r="S613">
        <v>4.4000000000000004</v>
      </c>
      <c r="T613">
        <v>2.7</v>
      </c>
      <c r="U613">
        <v>4.4000000000000004</v>
      </c>
      <c r="V613">
        <v>3.3</v>
      </c>
      <c r="W613">
        <v>5.8</v>
      </c>
      <c r="X613">
        <v>3.5</v>
      </c>
      <c r="Z613">
        <v>5.0999999999999996</v>
      </c>
      <c r="AA613">
        <v>0.2</v>
      </c>
      <c r="AC613">
        <v>5.9</v>
      </c>
      <c r="AD613" t="s">
        <v>45</v>
      </c>
      <c r="AE613" t="str">
        <f>IF(AND(data[[#This Row],[Age]]&gt;=18,data[[#This Row],[Age]]&lt;=24),"18-24",IF(AND(data[[#This Row],[Age]]&gt;=25,data[[#This Row],[Age]]&lt;=34),"25-34",IF(AND(data[[#This Row],[Age]]&gt;35,data[[#This Row],[Age]]&lt;=44),"35-44",IF(data[[#This Row],[Age]]&gt;44,"45+",IF(data[[#This Row],[Age]]&lt;18,"below 18 ")))))</f>
        <v>35-44</v>
      </c>
    </row>
    <row r="614" spans="1:31" x14ac:dyDescent="0.25">
      <c r="A614" t="s">
        <v>667</v>
      </c>
      <c r="B614">
        <v>32</v>
      </c>
      <c r="C614" t="s">
        <v>47</v>
      </c>
      <c r="D614" t="s">
        <v>39</v>
      </c>
      <c r="E614" t="s">
        <v>58</v>
      </c>
      <c r="F614" t="s">
        <v>34</v>
      </c>
      <c r="G614">
        <v>4.4000000000000004</v>
      </c>
      <c r="H614">
        <v>8</v>
      </c>
      <c r="I614">
        <v>4</v>
      </c>
      <c r="J614" t="s">
        <v>42</v>
      </c>
      <c r="K614" t="s">
        <v>36</v>
      </c>
      <c r="L614">
        <v>88</v>
      </c>
      <c r="M614">
        <v>7.1</v>
      </c>
      <c r="N614">
        <v>5.7</v>
      </c>
      <c r="O614">
        <v>5.4</v>
      </c>
      <c r="P614">
        <v>6.8</v>
      </c>
      <c r="Q614" t="s">
        <v>42</v>
      </c>
      <c r="R614" t="s">
        <v>42</v>
      </c>
      <c r="S614">
        <v>6.2</v>
      </c>
      <c r="T614">
        <v>3.9</v>
      </c>
      <c r="U614">
        <v>3.2</v>
      </c>
      <c r="V614">
        <v>3.5</v>
      </c>
      <c r="W614">
        <v>2.4</v>
      </c>
      <c r="X614">
        <v>4.0999999999999996</v>
      </c>
      <c r="Y614">
        <v>2.1</v>
      </c>
      <c r="Z614">
        <v>3</v>
      </c>
      <c r="AA614">
        <v>7.2</v>
      </c>
      <c r="AB614">
        <v>2</v>
      </c>
      <c r="AC614">
        <v>5</v>
      </c>
      <c r="AD614" t="s">
        <v>43</v>
      </c>
      <c r="AE614" t="str">
        <f>IF(AND(data[[#This Row],[Age]]&gt;=18,data[[#This Row],[Age]]&lt;=24),"18-24",IF(AND(data[[#This Row],[Age]]&gt;=25,data[[#This Row],[Age]]&lt;=34),"25-34",IF(AND(data[[#This Row],[Age]]&gt;35,data[[#This Row],[Age]]&lt;=44),"35-44",IF(data[[#This Row],[Age]]&gt;44,"45+",IF(data[[#This Row],[Age]]&lt;18,"below 18 ")))))</f>
        <v>25-34</v>
      </c>
    </row>
    <row r="615" spans="1:31" x14ac:dyDescent="0.25">
      <c r="A615" t="s">
        <v>668</v>
      </c>
      <c r="B615">
        <v>31</v>
      </c>
      <c r="C615" t="s">
        <v>47</v>
      </c>
      <c r="D615" t="s">
        <v>39</v>
      </c>
      <c r="E615" t="s">
        <v>40</v>
      </c>
      <c r="F615" t="s">
        <v>34</v>
      </c>
      <c r="G615">
        <v>8</v>
      </c>
      <c r="H615">
        <v>3</v>
      </c>
      <c r="I615">
        <v>4</v>
      </c>
      <c r="J615" t="s">
        <v>35</v>
      </c>
      <c r="K615" t="s">
        <v>36</v>
      </c>
      <c r="L615">
        <v>40</v>
      </c>
      <c r="M615">
        <v>7.8</v>
      </c>
      <c r="N615">
        <v>6.8</v>
      </c>
      <c r="O615">
        <v>3.9</v>
      </c>
      <c r="P615">
        <v>2.9</v>
      </c>
      <c r="Q615" t="s">
        <v>35</v>
      </c>
      <c r="R615" t="s">
        <v>42</v>
      </c>
      <c r="S615">
        <v>5.8</v>
      </c>
      <c r="T615">
        <v>5.6</v>
      </c>
      <c r="U615">
        <v>5.5</v>
      </c>
      <c r="V615">
        <v>4.4000000000000004</v>
      </c>
      <c r="X615">
        <v>9.1999999999999993</v>
      </c>
      <c r="Z615">
        <v>6.2</v>
      </c>
      <c r="AA615">
        <v>3.8</v>
      </c>
      <c r="AB615">
        <v>1.8</v>
      </c>
      <c r="AC615">
        <v>5</v>
      </c>
      <c r="AD615" t="s">
        <v>43</v>
      </c>
      <c r="AE615" t="str">
        <f>IF(AND(data[[#This Row],[Age]]&gt;=18,data[[#This Row],[Age]]&lt;=24),"18-24",IF(AND(data[[#This Row],[Age]]&gt;=25,data[[#This Row],[Age]]&lt;=34),"25-34",IF(AND(data[[#This Row],[Age]]&gt;35,data[[#This Row],[Age]]&lt;=44),"35-44",IF(data[[#This Row],[Age]]&gt;44,"45+",IF(data[[#This Row],[Age]]&lt;18,"below 18 ")))))</f>
        <v>25-34</v>
      </c>
    </row>
    <row r="616" spans="1:31" x14ac:dyDescent="0.25">
      <c r="A616" t="s">
        <v>669</v>
      </c>
      <c r="B616">
        <v>22</v>
      </c>
      <c r="C616" t="s">
        <v>47</v>
      </c>
      <c r="D616" t="s">
        <v>64</v>
      </c>
      <c r="E616" t="s">
        <v>58</v>
      </c>
      <c r="F616" t="s">
        <v>41</v>
      </c>
      <c r="G616">
        <v>6.2</v>
      </c>
      <c r="H616">
        <v>2</v>
      </c>
      <c r="I616">
        <v>6</v>
      </c>
      <c r="J616" t="s">
        <v>42</v>
      </c>
      <c r="K616" t="s">
        <v>36</v>
      </c>
      <c r="L616">
        <v>46</v>
      </c>
      <c r="N616">
        <v>4.7</v>
      </c>
      <c r="O616">
        <v>8.3000000000000007</v>
      </c>
      <c r="P616">
        <v>7.5</v>
      </c>
      <c r="Q616" t="s">
        <v>35</v>
      </c>
      <c r="R616" t="s">
        <v>35</v>
      </c>
      <c r="S616">
        <v>7.7</v>
      </c>
      <c r="T616">
        <v>0</v>
      </c>
      <c r="U616">
        <v>5.4</v>
      </c>
      <c r="V616">
        <v>4</v>
      </c>
      <c r="W616">
        <v>6</v>
      </c>
      <c r="X616">
        <v>5.9</v>
      </c>
      <c r="Y616">
        <v>4.3</v>
      </c>
      <c r="Z616">
        <v>4.5</v>
      </c>
      <c r="AA616">
        <v>2.7</v>
      </c>
      <c r="AB616">
        <v>4.9000000000000004</v>
      </c>
      <c r="AC616">
        <v>4.8</v>
      </c>
      <c r="AD616" t="s">
        <v>43</v>
      </c>
      <c r="AE616" t="str">
        <f>IF(AND(data[[#This Row],[Age]]&gt;=18,data[[#This Row],[Age]]&lt;=24),"18-24",IF(AND(data[[#This Row],[Age]]&gt;=25,data[[#This Row],[Age]]&lt;=34),"25-34",IF(AND(data[[#This Row],[Age]]&gt;35,data[[#This Row],[Age]]&lt;=44),"35-44",IF(data[[#This Row],[Age]]&gt;44,"45+",IF(data[[#This Row],[Age]]&lt;18,"below 18 ")))))</f>
        <v>18-24</v>
      </c>
    </row>
    <row r="617" spans="1:31" x14ac:dyDescent="0.25">
      <c r="A617" t="s">
        <v>670</v>
      </c>
      <c r="B617">
        <v>37</v>
      </c>
      <c r="C617" t="s">
        <v>50</v>
      </c>
      <c r="D617" t="s">
        <v>39</v>
      </c>
      <c r="E617" t="s">
        <v>58</v>
      </c>
      <c r="F617" t="s">
        <v>59</v>
      </c>
      <c r="G617">
        <v>5.9</v>
      </c>
      <c r="H617">
        <v>1</v>
      </c>
      <c r="I617">
        <v>4</v>
      </c>
      <c r="J617" t="s">
        <v>42</v>
      </c>
      <c r="K617" t="s">
        <v>36</v>
      </c>
      <c r="L617">
        <v>65</v>
      </c>
      <c r="M617">
        <v>5.2</v>
      </c>
      <c r="N617">
        <v>4.7</v>
      </c>
      <c r="O617">
        <v>3</v>
      </c>
      <c r="P617">
        <v>7.2</v>
      </c>
      <c r="Q617" t="s">
        <v>35</v>
      </c>
      <c r="R617" t="s">
        <v>42</v>
      </c>
      <c r="S617">
        <v>8.6</v>
      </c>
      <c r="T617">
        <v>7.9</v>
      </c>
      <c r="U617">
        <v>6.8</v>
      </c>
      <c r="V617">
        <v>7.2</v>
      </c>
      <c r="W617">
        <v>8</v>
      </c>
      <c r="X617">
        <v>9.1</v>
      </c>
      <c r="Y617">
        <v>4.8</v>
      </c>
      <c r="Z617">
        <v>6.7</v>
      </c>
      <c r="AA617">
        <v>2.2000000000000002</v>
      </c>
      <c r="AB617">
        <v>0.9</v>
      </c>
      <c r="AC617">
        <v>6.2</v>
      </c>
      <c r="AD617" t="s">
        <v>45</v>
      </c>
      <c r="AE617" t="str">
        <f>IF(AND(data[[#This Row],[Age]]&gt;=18,data[[#This Row],[Age]]&lt;=24),"18-24",IF(AND(data[[#This Row],[Age]]&gt;=25,data[[#This Row],[Age]]&lt;=34),"25-34",IF(AND(data[[#This Row],[Age]]&gt;35,data[[#This Row],[Age]]&lt;=44),"35-44",IF(data[[#This Row],[Age]]&gt;44,"45+",IF(data[[#This Row],[Age]]&lt;18,"below 18 ")))))</f>
        <v>35-44</v>
      </c>
    </row>
    <row r="618" spans="1:31" x14ac:dyDescent="0.25">
      <c r="A618" t="s">
        <v>671</v>
      </c>
      <c r="B618">
        <v>39</v>
      </c>
      <c r="C618" t="s">
        <v>31</v>
      </c>
      <c r="D618" t="s">
        <v>39</v>
      </c>
      <c r="E618" t="s">
        <v>33</v>
      </c>
      <c r="F618" t="s">
        <v>48</v>
      </c>
      <c r="G618">
        <v>3</v>
      </c>
      <c r="H618">
        <v>1</v>
      </c>
      <c r="I618">
        <v>2</v>
      </c>
      <c r="J618" t="s">
        <v>42</v>
      </c>
      <c r="K618" t="s">
        <v>52</v>
      </c>
      <c r="L618">
        <v>70</v>
      </c>
      <c r="M618">
        <v>4.5999999999999996</v>
      </c>
      <c r="N618">
        <v>5.0999999999999996</v>
      </c>
      <c r="O618">
        <v>3.4</v>
      </c>
      <c r="P618">
        <v>4.0999999999999996</v>
      </c>
      <c r="Q618" t="s">
        <v>42</v>
      </c>
      <c r="R618" t="s">
        <v>35</v>
      </c>
      <c r="S618">
        <v>5</v>
      </c>
      <c r="T618">
        <v>5.7</v>
      </c>
      <c r="U618">
        <v>3.6</v>
      </c>
      <c r="V618">
        <v>4.3</v>
      </c>
      <c r="W618">
        <v>6.4</v>
      </c>
      <c r="X618">
        <v>9.1999999999999993</v>
      </c>
      <c r="Y618">
        <v>4.4000000000000004</v>
      </c>
      <c r="Z618">
        <v>3.3</v>
      </c>
      <c r="AA618">
        <v>4.2</v>
      </c>
      <c r="AB618">
        <v>3.4</v>
      </c>
      <c r="AC618">
        <v>9</v>
      </c>
      <c r="AD618" t="s">
        <v>37</v>
      </c>
      <c r="AE618" t="str">
        <f>IF(AND(data[[#This Row],[Age]]&gt;=18,data[[#This Row],[Age]]&lt;=24),"18-24",IF(AND(data[[#This Row],[Age]]&gt;=25,data[[#This Row],[Age]]&lt;=34),"25-34",IF(AND(data[[#This Row],[Age]]&gt;35,data[[#This Row],[Age]]&lt;=44),"35-44",IF(data[[#This Row],[Age]]&gt;44,"45+",IF(data[[#This Row],[Age]]&lt;18,"below 18 ")))))</f>
        <v>35-44</v>
      </c>
    </row>
    <row r="619" spans="1:31" x14ac:dyDescent="0.25">
      <c r="A619" t="s">
        <v>672</v>
      </c>
      <c r="B619">
        <v>36</v>
      </c>
      <c r="C619" t="s">
        <v>47</v>
      </c>
      <c r="D619" t="s">
        <v>32</v>
      </c>
      <c r="E619" t="s">
        <v>40</v>
      </c>
      <c r="F619" t="s">
        <v>41</v>
      </c>
      <c r="H619">
        <v>2</v>
      </c>
      <c r="I619">
        <v>4</v>
      </c>
      <c r="J619" t="s">
        <v>35</v>
      </c>
      <c r="K619" t="s">
        <v>36</v>
      </c>
      <c r="L619">
        <v>58</v>
      </c>
      <c r="N619">
        <v>7.8</v>
      </c>
      <c r="O619">
        <v>2.1</v>
      </c>
      <c r="P619">
        <v>5</v>
      </c>
      <c r="Q619" t="s">
        <v>42</v>
      </c>
      <c r="R619" t="s">
        <v>42</v>
      </c>
      <c r="S619">
        <v>6</v>
      </c>
      <c r="V619">
        <v>4.8</v>
      </c>
      <c r="W619">
        <v>0.3</v>
      </c>
      <c r="X619">
        <v>6.5</v>
      </c>
      <c r="Y619">
        <v>6.4</v>
      </c>
      <c r="Z619">
        <v>6</v>
      </c>
      <c r="AA619">
        <v>2.2999999999999998</v>
      </c>
      <c r="AB619">
        <v>2.9</v>
      </c>
      <c r="AC619">
        <v>4.9000000000000004</v>
      </c>
      <c r="AD619" t="s">
        <v>43</v>
      </c>
      <c r="AE619" t="str">
        <f>IF(AND(data[[#This Row],[Age]]&gt;=18,data[[#This Row],[Age]]&lt;=24),"18-24",IF(AND(data[[#This Row],[Age]]&gt;=25,data[[#This Row],[Age]]&lt;=34),"25-34",IF(AND(data[[#This Row],[Age]]&gt;35,data[[#This Row],[Age]]&lt;=44),"35-44",IF(data[[#This Row],[Age]]&gt;44,"45+",IF(data[[#This Row],[Age]]&lt;18,"below 18 ")))))</f>
        <v>35-44</v>
      </c>
    </row>
    <row r="620" spans="1:31" x14ac:dyDescent="0.25">
      <c r="A620" t="s">
        <v>673</v>
      </c>
      <c r="B620">
        <v>19</v>
      </c>
      <c r="C620" t="s">
        <v>31</v>
      </c>
      <c r="D620" t="s">
        <v>39</v>
      </c>
      <c r="E620" t="s">
        <v>58</v>
      </c>
      <c r="F620" t="s">
        <v>41</v>
      </c>
      <c r="G620">
        <v>3.4</v>
      </c>
      <c r="H620">
        <v>5</v>
      </c>
      <c r="I620">
        <v>3</v>
      </c>
      <c r="J620" t="s">
        <v>42</v>
      </c>
      <c r="K620" t="s">
        <v>36</v>
      </c>
      <c r="L620">
        <v>8</v>
      </c>
      <c r="M620">
        <v>8.3000000000000007</v>
      </c>
      <c r="N620">
        <v>7.2</v>
      </c>
      <c r="O620">
        <v>6.8</v>
      </c>
      <c r="P620">
        <v>6</v>
      </c>
      <c r="Q620" t="s">
        <v>35</v>
      </c>
      <c r="R620" t="s">
        <v>35</v>
      </c>
      <c r="S620">
        <v>5.6</v>
      </c>
      <c r="T620">
        <v>9.8000000000000007</v>
      </c>
      <c r="U620">
        <v>1.6</v>
      </c>
      <c r="V620">
        <v>5.7</v>
      </c>
      <c r="W620">
        <v>0</v>
      </c>
      <c r="X620">
        <v>4.5999999999999996</v>
      </c>
      <c r="Y620">
        <v>0.6</v>
      </c>
      <c r="Z620">
        <v>3.6</v>
      </c>
      <c r="AA620">
        <v>0</v>
      </c>
      <c r="AB620">
        <v>3.8</v>
      </c>
      <c r="AC620">
        <v>5.2</v>
      </c>
      <c r="AD620" t="s">
        <v>45</v>
      </c>
      <c r="AE620" t="str">
        <f>IF(AND(data[[#This Row],[Age]]&gt;=18,data[[#This Row],[Age]]&lt;=24),"18-24",IF(AND(data[[#This Row],[Age]]&gt;=25,data[[#This Row],[Age]]&lt;=34),"25-34",IF(AND(data[[#This Row],[Age]]&gt;35,data[[#This Row],[Age]]&lt;=44),"35-44",IF(data[[#This Row],[Age]]&gt;44,"45+",IF(data[[#This Row],[Age]]&lt;18,"below 18 ")))))</f>
        <v>18-24</v>
      </c>
    </row>
    <row r="621" spans="1:31" x14ac:dyDescent="0.25">
      <c r="A621" t="s">
        <v>674</v>
      </c>
      <c r="B621">
        <v>29</v>
      </c>
      <c r="C621" t="s">
        <v>47</v>
      </c>
      <c r="D621" t="s">
        <v>39</v>
      </c>
      <c r="E621" t="s">
        <v>40</v>
      </c>
      <c r="F621" t="s">
        <v>59</v>
      </c>
      <c r="G621">
        <v>8.8000000000000007</v>
      </c>
      <c r="H621">
        <v>4</v>
      </c>
      <c r="I621">
        <v>7</v>
      </c>
      <c r="J621" t="s">
        <v>42</v>
      </c>
      <c r="K621" t="s">
        <v>52</v>
      </c>
      <c r="L621">
        <v>18</v>
      </c>
      <c r="M621">
        <v>6.4</v>
      </c>
      <c r="N621">
        <v>6.4</v>
      </c>
      <c r="O621">
        <v>2.2000000000000002</v>
      </c>
      <c r="P621">
        <v>7.6</v>
      </c>
      <c r="Q621" t="s">
        <v>42</v>
      </c>
      <c r="R621" t="s">
        <v>35</v>
      </c>
      <c r="S621">
        <v>6.6</v>
      </c>
      <c r="T621">
        <v>3.7</v>
      </c>
      <c r="U621">
        <v>4.8</v>
      </c>
      <c r="V621">
        <v>4.5</v>
      </c>
      <c r="W621">
        <v>9.4</v>
      </c>
      <c r="X621">
        <v>7.1</v>
      </c>
      <c r="Y621">
        <v>6.7</v>
      </c>
      <c r="Z621">
        <v>2.8</v>
      </c>
      <c r="AA621">
        <v>2.8</v>
      </c>
      <c r="AB621">
        <v>4.7</v>
      </c>
      <c r="AC621">
        <v>5.2</v>
      </c>
      <c r="AD621" t="s">
        <v>45</v>
      </c>
      <c r="AE621" t="str">
        <f>IF(AND(data[[#This Row],[Age]]&gt;=18,data[[#This Row],[Age]]&lt;=24),"18-24",IF(AND(data[[#This Row],[Age]]&gt;=25,data[[#This Row],[Age]]&lt;=34),"25-34",IF(AND(data[[#This Row],[Age]]&gt;35,data[[#This Row],[Age]]&lt;=44),"35-44",IF(data[[#This Row],[Age]]&gt;44,"45+",IF(data[[#This Row],[Age]]&lt;18,"below 18 ")))))</f>
        <v>25-34</v>
      </c>
    </row>
    <row r="622" spans="1:31" x14ac:dyDescent="0.25">
      <c r="A622" t="s">
        <v>675</v>
      </c>
      <c r="B622">
        <v>18</v>
      </c>
      <c r="C622" t="s">
        <v>47</v>
      </c>
      <c r="D622" t="s">
        <v>32</v>
      </c>
      <c r="E622" t="s">
        <v>33</v>
      </c>
      <c r="F622" t="s">
        <v>48</v>
      </c>
      <c r="G622">
        <v>5.3</v>
      </c>
      <c r="H622">
        <v>2</v>
      </c>
      <c r="I622">
        <v>5</v>
      </c>
      <c r="J622" t="s">
        <v>42</v>
      </c>
      <c r="K622" t="s">
        <v>62</v>
      </c>
      <c r="L622">
        <v>81</v>
      </c>
      <c r="M622">
        <v>5.7</v>
      </c>
      <c r="N622">
        <v>8.8000000000000007</v>
      </c>
      <c r="O622">
        <v>2.2999999999999998</v>
      </c>
      <c r="P622">
        <v>6.5</v>
      </c>
      <c r="Q622" t="s">
        <v>42</v>
      </c>
      <c r="R622" t="s">
        <v>42</v>
      </c>
      <c r="S622">
        <v>3.1</v>
      </c>
      <c r="T622">
        <v>0</v>
      </c>
      <c r="U622">
        <v>7.2</v>
      </c>
      <c r="V622">
        <v>4.3</v>
      </c>
      <c r="W622">
        <v>5.6</v>
      </c>
      <c r="X622">
        <v>7.9</v>
      </c>
      <c r="Y622">
        <v>8.6</v>
      </c>
      <c r="Z622">
        <v>4.0999999999999996</v>
      </c>
      <c r="AA622">
        <v>3.2</v>
      </c>
      <c r="AB622">
        <v>1</v>
      </c>
      <c r="AC622">
        <v>4.8</v>
      </c>
      <c r="AD622" t="s">
        <v>45</v>
      </c>
      <c r="AE622" t="str">
        <f>IF(AND(data[[#This Row],[Age]]&gt;=18,data[[#This Row],[Age]]&lt;=24),"18-24",IF(AND(data[[#This Row],[Age]]&gt;=25,data[[#This Row],[Age]]&lt;=34),"25-34",IF(AND(data[[#This Row],[Age]]&gt;35,data[[#This Row],[Age]]&lt;=44),"35-44",IF(data[[#This Row],[Age]]&gt;44,"45+",IF(data[[#This Row],[Age]]&lt;18,"below 18 ")))))</f>
        <v>18-24</v>
      </c>
    </row>
    <row r="623" spans="1:31" x14ac:dyDescent="0.25">
      <c r="A623" t="s">
        <v>676</v>
      </c>
      <c r="B623">
        <v>31</v>
      </c>
      <c r="C623" t="s">
        <v>47</v>
      </c>
      <c r="D623" t="s">
        <v>39</v>
      </c>
      <c r="E623" t="s">
        <v>33</v>
      </c>
      <c r="F623" t="s">
        <v>51</v>
      </c>
      <c r="G623">
        <v>2.9</v>
      </c>
      <c r="H623">
        <v>5</v>
      </c>
      <c r="I623">
        <v>6</v>
      </c>
      <c r="J623" t="s">
        <v>42</v>
      </c>
      <c r="K623" t="s">
        <v>36</v>
      </c>
      <c r="L623">
        <v>95</v>
      </c>
      <c r="M623">
        <v>9.3000000000000007</v>
      </c>
      <c r="N623">
        <v>5.2</v>
      </c>
      <c r="O623">
        <v>8.3000000000000007</v>
      </c>
      <c r="P623">
        <v>6</v>
      </c>
      <c r="Q623" t="s">
        <v>42</v>
      </c>
      <c r="R623" t="s">
        <v>42</v>
      </c>
      <c r="S623">
        <v>7.6</v>
      </c>
      <c r="T623">
        <v>4.7</v>
      </c>
      <c r="U623">
        <v>3.3</v>
      </c>
      <c r="V623">
        <v>6.7</v>
      </c>
      <c r="W623">
        <v>8.8000000000000007</v>
      </c>
      <c r="X623">
        <v>8</v>
      </c>
      <c r="Y623">
        <v>5.8</v>
      </c>
      <c r="Z623">
        <v>5.3</v>
      </c>
      <c r="AA623">
        <v>1.9</v>
      </c>
      <c r="AB623">
        <v>4.3</v>
      </c>
      <c r="AC623">
        <v>3.2</v>
      </c>
      <c r="AD623" t="s">
        <v>43</v>
      </c>
      <c r="AE623" t="str">
        <f>IF(AND(data[[#This Row],[Age]]&gt;=18,data[[#This Row],[Age]]&lt;=24),"18-24",IF(AND(data[[#This Row],[Age]]&gt;=25,data[[#This Row],[Age]]&lt;=34),"25-34",IF(AND(data[[#This Row],[Age]]&gt;35,data[[#This Row],[Age]]&lt;=44),"35-44",IF(data[[#This Row],[Age]]&gt;44,"45+",IF(data[[#This Row],[Age]]&lt;18,"below 18 ")))))</f>
        <v>25-34</v>
      </c>
    </row>
    <row r="624" spans="1:31" x14ac:dyDescent="0.25">
      <c r="A624" t="s">
        <v>677</v>
      </c>
      <c r="B624">
        <v>38</v>
      </c>
      <c r="C624" t="s">
        <v>47</v>
      </c>
      <c r="D624" t="s">
        <v>32</v>
      </c>
      <c r="E624" t="s">
        <v>58</v>
      </c>
      <c r="F624" t="s">
        <v>34</v>
      </c>
      <c r="G624">
        <v>6.3</v>
      </c>
      <c r="H624">
        <v>2</v>
      </c>
      <c r="I624">
        <v>3</v>
      </c>
      <c r="J624" t="s">
        <v>42</v>
      </c>
      <c r="K624" t="s">
        <v>36</v>
      </c>
      <c r="L624">
        <v>55</v>
      </c>
      <c r="M624">
        <v>4.3</v>
      </c>
      <c r="N624">
        <v>3.6</v>
      </c>
      <c r="O624">
        <v>1.3</v>
      </c>
      <c r="P624">
        <v>4.0999999999999996</v>
      </c>
      <c r="Q624" t="s">
        <v>42</v>
      </c>
      <c r="R624" t="s">
        <v>42</v>
      </c>
      <c r="S624">
        <v>4.7</v>
      </c>
      <c r="T624">
        <v>6.9</v>
      </c>
      <c r="U624">
        <v>1.4</v>
      </c>
      <c r="V624">
        <v>7.9</v>
      </c>
      <c r="W624">
        <v>7.1</v>
      </c>
      <c r="X624">
        <v>7.1</v>
      </c>
      <c r="Y624">
        <v>6.7</v>
      </c>
      <c r="Z624">
        <v>3.1</v>
      </c>
      <c r="AA624">
        <v>2</v>
      </c>
      <c r="AB624">
        <v>3.1</v>
      </c>
      <c r="AC624">
        <v>7.4</v>
      </c>
      <c r="AD624" t="s">
        <v>53</v>
      </c>
      <c r="AE624" t="str">
        <f>IF(AND(data[[#This Row],[Age]]&gt;=18,data[[#This Row],[Age]]&lt;=24),"18-24",IF(AND(data[[#This Row],[Age]]&gt;=25,data[[#This Row],[Age]]&lt;=34),"25-34",IF(AND(data[[#This Row],[Age]]&gt;35,data[[#This Row],[Age]]&lt;=44),"35-44",IF(data[[#This Row],[Age]]&gt;44,"45+",IF(data[[#This Row],[Age]]&lt;18,"below 18 ")))))</f>
        <v>35-44</v>
      </c>
    </row>
    <row r="625" spans="1:31" x14ac:dyDescent="0.25">
      <c r="A625" t="s">
        <v>678</v>
      </c>
      <c r="B625">
        <v>29</v>
      </c>
      <c r="C625" t="s">
        <v>47</v>
      </c>
      <c r="D625" t="s">
        <v>32</v>
      </c>
      <c r="E625" t="s">
        <v>33</v>
      </c>
      <c r="F625" t="s">
        <v>51</v>
      </c>
      <c r="G625">
        <v>6.8</v>
      </c>
      <c r="H625">
        <v>4</v>
      </c>
      <c r="I625">
        <v>6</v>
      </c>
      <c r="J625" t="s">
        <v>42</v>
      </c>
      <c r="K625" t="s">
        <v>52</v>
      </c>
      <c r="L625">
        <v>37</v>
      </c>
      <c r="M625">
        <v>7.6</v>
      </c>
      <c r="N625">
        <v>5.9</v>
      </c>
      <c r="O625">
        <v>1.6</v>
      </c>
      <c r="P625">
        <v>5.9</v>
      </c>
      <c r="Q625" t="s">
        <v>42</v>
      </c>
      <c r="R625" t="s">
        <v>42</v>
      </c>
      <c r="S625">
        <v>3.2</v>
      </c>
      <c r="T625">
        <v>3.3</v>
      </c>
      <c r="U625">
        <v>3.3</v>
      </c>
      <c r="V625">
        <v>7.1</v>
      </c>
      <c r="W625">
        <v>7.7</v>
      </c>
      <c r="X625">
        <v>4.5</v>
      </c>
      <c r="Y625">
        <v>5.6</v>
      </c>
      <c r="Z625">
        <v>3.4</v>
      </c>
      <c r="AA625">
        <v>1.4</v>
      </c>
      <c r="AB625">
        <v>4.9000000000000004</v>
      </c>
      <c r="AC625">
        <v>5.8</v>
      </c>
      <c r="AD625" t="s">
        <v>45</v>
      </c>
      <c r="AE625" t="str">
        <f>IF(AND(data[[#This Row],[Age]]&gt;=18,data[[#This Row],[Age]]&lt;=24),"18-24",IF(AND(data[[#This Row],[Age]]&gt;=25,data[[#This Row],[Age]]&lt;=34),"25-34",IF(AND(data[[#This Row],[Age]]&gt;35,data[[#This Row],[Age]]&lt;=44),"35-44",IF(data[[#This Row],[Age]]&gt;44,"45+",IF(data[[#This Row],[Age]]&lt;18,"below 18 ")))))</f>
        <v>25-34</v>
      </c>
    </row>
    <row r="626" spans="1:31" x14ac:dyDescent="0.25">
      <c r="A626" t="s">
        <v>679</v>
      </c>
      <c r="B626">
        <v>43</v>
      </c>
      <c r="C626" t="s">
        <v>31</v>
      </c>
      <c r="D626" t="s">
        <v>39</v>
      </c>
      <c r="E626" t="s">
        <v>40</v>
      </c>
      <c r="F626" t="s">
        <v>59</v>
      </c>
      <c r="G626">
        <v>3.3</v>
      </c>
      <c r="H626">
        <v>1</v>
      </c>
      <c r="I626">
        <v>5</v>
      </c>
      <c r="J626" t="s">
        <v>35</v>
      </c>
      <c r="K626" t="s">
        <v>36</v>
      </c>
      <c r="L626">
        <v>53</v>
      </c>
      <c r="M626">
        <v>6.9</v>
      </c>
      <c r="N626">
        <v>6.4</v>
      </c>
      <c r="O626">
        <v>5.8</v>
      </c>
      <c r="P626">
        <v>4.9000000000000004</v>
      </c>
      <c r="Q626" t="s">
        <v>42</v>
      </c>
      <c r="R626" t="s">
        <v>35</v>
      </c>
      <c r="S626">
        <v>1.4</v>
      </c>
      <c r="T626">
        <v>1</v>
      </c>
      <c r="U626">
        <v>6.7</v>
      </c>
      <c r="V626">
        <v>8.4</v>
      </c>
      <c r="W626">
        <v>3.7</v>
      </c>
      <c r="X626">
        <v>4.8</v>
      </c>
      <c r="Y626">
        <v>4</v>
      </c>
      <c r="Z626">
        <v>4.4000000000000004</v>
      </c>
      <c r="AA626">
        <v>3</v>
      </c>
      <c r="AB626">
        <v>5.0999999999999996</v>
      </c>
      <c r="AC626">
        <v>7</v>
      </c>
      <c r="AD626" t="s">
        <v>37</v>
      </c>
      <c r="AE626" t="str">
        <f>IF(AND(data[[#This Row],[Age]]&gt;=18,data[[#This Row],[Age]]&lt;=24),"18-24",IF(AND(data[[#This Row],[Age]]&gt;=25,data[[#This Row],[Age]]&lt;=34),"25-34",IF(AND(data[[#This Row],[Age]]&gt;35,data[[#This Row],[Age]]&lt;=44),"35-44",IF(data[[#This Row],[Age]]&gt;44,"45+",IF(data[[#This Row],[Age]]&lt;18,"below 18 ")))))</f>
        <v>35-44</v>
      </c>
    </row>
    <row r="627" spans="1:31" x14ac:dyDescent="0.25">
      <c r="A627" t="s">
        <v>680</v>
      </c>
      <c r="B627">
        <v>27</v>
      </c>
      <c r="C627" t="s">
        <v>47</v>
      </c>
      <c r="D627" t="s">
        <v>39</v>
      </c>
      <c r="E627" t="s">
        <v>33</v>
      </c>
      <c r="F627" t="s">
        <v>34</v>
      </c>
      <c r="G627">
        <v>4.9000000000000004</v>
      </c>
      <c r="H627">
        <v>6</v>
      </c>
      <c r="I627">
        <v>3</v>
      </c>
      <c r="J627" t="s">
        <v>42</v>
      </c>
      <c r="K627" t="s">
        <v>62</v>
      </c>
      <c r="L627">
        <v>88</v>
      </c>
      <c r="M627">
        <v>5.0999999999999996</v>
      </c>
      <c r="N627">
        <v>6.7</v>
      </c>
      <c r="O627">
        <v>5.6</v>
      </c>
      <c r="P627">
        <v>5.3</v>
      </c>
      <c r="Q627" t="s">
        <v>35</v>
      </c>
      <c r="R627" t="s">
        <v>35</v>
      </c>
      <c r="S627">
        <v>2</v>
      </c>
      <c r="T627">
        <v>3.1</v>
      </c>
      <c r="U627">
        <v>7.1</v>
      </c>
      <c r="V627">
        <v>4</v>
      </c>
      <c r="W627">
        <v>7.8</v>
      </c>
      <c r="X627">
        <v>5</v>
      </c>
      <c r="Z627">
        <v>5.8</v>
      </c>
      <c r="AA627">
        <v>5.7</v>
      </c>
      <c r="AB627">
        <v>1</v>
      </c>
      <c r="AC627">
        <v>7.2</v>
      </c>
      <c r="AD627" t="s">
        <v>37</v>
      </c>
      <c r="AE627" t="str">
        <f>IF(AND(data[[#This Row],[Age]]&gt;=18,data[[#This Row],[Age]]&lt;=24),"18-24",IF(AND(data[[#This Row],[Age]]&gt;=25,data[[#This Row],[Age]]&lt;=34),"25-34",IF(AND(data[[#This Row],[Age]]&gt;35,data[[#This Row],[Age]]&lt;=44),"35-44",IF(data[[#This Row],[Age]]&gt;44,"45+",IF(data[[#This Row],[Age]]&lt;18,"below 18 ")))))</f>
        <v>25-34</v>
      </c>
    </row>
    <row r="628" spans="1:31" x14ac:dyDescent="0.25">
      <c r="A628" t="s">
        <v>681</v>
      </c>
      <c r="B628">
        <v>19</v>
      </c>
      <c r="C628" t="s">
        <v>47</v>
      </c>
      <c r="D628" t="s">
        <v>64</v>
      </c>
      <c r="F628" t="s">
        <v>34</v>
      </c>
      <c r="G628">
        <v>9.8000000000000007</v>
      </c>
      <c r="H628">
        <v>1</v>
      </c>
      <c r="I628">
        <v>2</v>
      </c>
      <c r="J628" t="s">
        <v>42</v>
      </c>
      <c r="K628" t="s">
        <v>36</v>
      </c>
      <c r="L628">
        <v>35</v>
      </c>
      <c r="M628">
        <v>3.9</v>
      </c>
      <c r="N628">
        <v>3.3</v>
      </c>
      <c r="O628">
        <v>5.9</v>
      </c>
      <c r="P628">
        <v>6.9</v>
      </c>
      <c r="Q628" t="s">
        <v>42</v>
      </c>
      <c r="R628" t="s">
        <v>35</v>
      </c>
      <c r="S628">
        <v>5.7</v>
      </c>
      <c r="T628">
        <v>4.2</v>
      </c>
      <c r="U628">
        <v>3.6</v>
      </c>
      <c r="V628">
        <v>6.3</v>
      </c>
      <c r="W628">
        <v>5.4</v>
      </c>
      <c r="X628">
        <v>5.2</v>
      </c>
      <c r="Y628">
        <v>3.8</v>
      </c>
      <c r="Z628">
        <v>4.7</v>
      </c>
      <c r="AA628">
        <v>3.9</v>
      </c>
      <c r="AB628">
        <v>3.3</v>
      </c>
      <c r="AC628">
        <v>6.6</v>
      </c>
      <c r="AD628" t="s">
        <v>45</v>
      </c>
      <c r="AE628" t="str">
        <f>IF(AND(data[[#This Row],[Age]]&gt;=18,data[[#This Row],[Age]]&lt;=24),"18-24",IF(AND(data[[#This Row],[Age]]&gt;=25,data[[#This Row],[Age]]&lt;=34),"25-34",IF(AND(data[[#This Row],[Age]]&gt;35,data[[#This Row],[Age]]&lt;=44),"35-44",IF(data[[#This Row],[Age]]&gt;44,"45+",IF(data[[#This Row],[Age]]&lt;18,"below 18 ")))))</f>
        <v>18-24</v>
      </c>
    </row>
    <row r="629" spans="1:31" x14ac:dyDescent="0.25">
      <c r="A629" t="s">
        <v>682</v>
      </c>
      <c r="B629">
        <v>31</v>
      </c>
      <c r="C629" t="s">
        <v>47</v>
      </c>
      <c r="D629" t="s">
        <v>32</v>
      </c>
      <c r="E629" t="s">
        <v>58</v>
      </c>
      <c r="F629" t="s">
        <v>51</v>
      </c>
      <c r="G629">
        <v>4.5999999999999996</v>
      </c>
      <c r="H629">
        <v>3</v>
      </c>
      <c r="I629">
        <v>4</v>
      </c>
      <c r="J629" t="s">
        <v>42</v>
      </c>
      <c r="K629" t="s">
        <v>36</v>
      </c>
      <c r="L629">
        <v>98</v>
      </c>
      <c r="M629">
        <v>7.7</v>
      </c>
      <c r="N629">
        <v>4.2</v>
      </c>
      <c r="O629">
        <v>8</v>
      </c>
      <c r="P629">
        <v>5.0999999999999996</v>
      </c>
      <c r="Q629" t="s">
        <v>42</v>
      </c>
      <c r="R629" t="s">
        <v>35</v>
      </c>
      <c r="S629">
        <v>4.7</v>
      </c>
      <c r="T629">
        <v>0.4</v>
      </c>
      <c r="U629">
        <v>3.4</v>
      </c>
      <c r="V629">
        <v>3.1</v>
      </c>
      <c r="W629">
        <v>5.7</v>
      </c>
      <c r="X629">
        <v>6.8</v>
      </c>
      <c r="Y629">
        <v>2.6</v>
      </c>
      <c r="Z629">
        <v>2.2999999999999998</v>
      </c>
      <c r="AA629">
        <v>2.2000000000000002</v>
      </c>
      <c r="AB629">
        <v>4.9000000000000004</v>
      </c>
      <c r="AC629">
        <v>6.6</v>
      </c>
      <c r="AD629" t="s">
        <v>45</v>
      </c>
      <c r="AE629" t="str">
        <f>IF(AND(data[[#This Row],[Age]]&gt;=18,data[[#This Row],[Age]]&lt;=24),"18-24",IF(AND(data[[#This Row],[Age]]&gt;=25,data[[#This Row],[Age]]&lt;=34),"25-34",IF(AND(data[[#This Row],[Age]]&gt;35,data[[#This Row],[Age]]&lt;=44),"35-44",IF(data[[#This Row],[Age]]&gt;44,"45+",IF(data[[#This Row],[Age]]&lt;18,"below 18 ")))))</f>
        <v>25-34</v>
      </c>
    </row>
    <row r="630" spans="1:31" x14ac:dyDescent="0.25">
      <c r="A630" t="s">
        <v>683</v>
      </c>
      <c r="B630">
        <v>23</v>
      </c>
      <c r="C630" t="s">
        <v>50</v>
      </c>
      <c r="D630" t="s">
        <v>39</v>
      </c>
      <c r="E630" t="s">
        <v>40</v>
      </c>
      <c r="F630" t="s">
        <v>70</v>
      </c>
      <c r="G630">
        <v>5.3</v>
      </c>
      <c r="H630">
        <v>3</v>
      </c>
      <c r="I630">
        <v>3</v>
      </c>
      <c r="J630" t="s">
        <v>35</v>
      </c>
      <c r="K630" t="s">
        <v>36</v>
      </c>
      <c r="L630">
        <v>88</v>
      </c>
      <c r="M630">
        <v>5.3</v>
      </c>
      <c r="N630">
        <v>2</v>
      </c>
      <c r="O630">
        <v>3</v>
      </c>
      <c r="P630">
        <v>1.9</v>
      </c>
      <c r="Q630" t="s">
        <v>42</v>
      </c>
      <c r="R630" t="s">
        <v>35</v>
      </c>
      <c r="S630">
        <v>7.6</v>
      </c>
      <c r="T630">
        <v>4.3</v>
      </c>
      <c r="V630">
        <v>2.6</v>
      </c>
      <c r="W630">
        <v>7.3</v>
      </c>
      <c r="X630">
        <v>5.8</v>
      </c>
      <c r="Y630">
        <v>5.0999999999999996</v>
      </c>
      <c r="Z630">
        <v>4.9000000000000004</v>
      </c>
      <c r="AA630">
        <v>1.8</v>
      </c>
      <c r="AB630">
        <v>1</v>
      </c>
      <c r="AC630">
        <v>6.8</v>
      </c>
      <c r="AD630" t="s">
        <v>53</v>
      </c>
      <c r="AE630" t="str">
        <f>IF(AND(data[[#This Row],[Age]]&gt;=18,data[[#This Row],[Age]]&lt;=24),"18-24",IF(AND(data[[#This Row],[Age]]&gt;=25,data[[#This Row],[Age]]&lt;=34),"25-34",IF(AND(data[[#This Row],[Age]]&gt;35,data[[#This Row],[Age]]&lt;=44),"35-44",IF(data[[#This Row],[Age]]&gt;44,"45+",IF(data[[#This Row],[Age]]&lt;18,"below 18 ")))))</f>
        <v>18-24</v>
      </c>
    </row>
    <row r="631" spans="1:31" x14ac:dyDescent="0.25">
      <c r="A631" t="s">
        <v>684</v>
      </c>
      <c r="B631">
        <v>41</v>
      </c>
      <c r="C631" t="s">
        <v>31</v>
      </c>
      <c r="D631" t="s">
        <v>39</v>
      </c>
      <c r="E631" t="s">
        <v>58</v>
      </c>
      <c r="F631" t="s">
        <v>51</v>
      </c>
      <c r="G631">
        <v>11.1</v>
      </c>
      <c r="H631">
        <v>5</v>
      </c>
      <c r="I631">
        <v>3</v>
      </c>
      <c r="J631" t="s">
        <v>42</v>
      </c>
      <c r="K631" t="s">
        <v>36</v>
      </c>
      <c r="L631">
        <v>69</v>
      </c>
      <c r="M631">
        <v>7.1</v>
      </c>
      <c r="N631">
        <v>4.9000000000000004</v>
      </c>
      <c r="O631">
        <v>8.1</v>
      </c>
      <c r="P631">
        <v>4.5</v>
      </c>
      <c r="Q631" t="s">
        <v>35</v>
      </c>
      <c r="R631" t="s">
        <v>42</v>
      </c>
      <c r="S631">
        <v>6.9</v>
      </c>
      <c r="U631">
        <v>3.9</v>
      </c>
      <c r="V631">
        <v>7.7</v>
      </c>
      <c r="W631">
        <v>3.4</v>
      </c>
      <c r="X631">
        <v>8.1</v>
      </c>
      <c r="Y631">
        <v>7.9</v>
      </c>
      <c r="Z631">
        <v>5.6</v>
      </c>
      <c r="AA631">
        <v>6.9</v>
      </c>
      <c r="AB631">
        <v>4.5999999999999996</v>
      </c>
      <c r="AC631">
        <v>2.7</v>
      </c>
      <c r="AD631" t="s">
        <v>43</v>
      </c>
      <c r="AE631" t="str">
        <f>IF(AND(data[[#This Row],[Age]]&gt;=18,data[[#This Row],[Age]]&lt;=24),"18-24",IF(AND(data[[#This Row],[Age]]&gt;=25,data[[#This Row],[Age]]&lt;=34),"25-34",IF(AND(data[[#This Row],[Age]]&gt;35,data[[#This Row],[Age]]&lt;=44),"35-44",IF(data[[#This Row],[Age]]&gt;44,"45+",IF(data[[#This Row],[Age]]&lt;18,"below 18 ")))))</f>
        <v>35-44</v>
      </c>
    </row>
    <row r="632" spans="1:31" x14ac:dyDescent="0.25">
      <c r="A632" t="s">
        <v>685</v>
      </c>
      <c r="B632">
        <v>36</v>
      </c>
      <c r="C632" t="s">
        <v>31</v>
      </c>
      <c r="D632" t="s">
        <v>32</v>
      </c>
      <c r="E632" t="s">
        <v>40</v>
      </c>
      <c r="F632" t="s">
        <v>41</v>
      </c>
      <c r="G632">
        <v>4.5</v>
      </c>
      <c r="H632">
        <v>2</v>
      </c>
      <c r="I632">
        <v>4</v>
      </c>
      <c r="J632" t="s">
        <v>42</v>
      </c>
      <c r="K632" t="s">
        <v>52</v>
      </c>
      <c r="L632">
        <v>104</v>
      </c>
      <c r="M632">
        <v>5.2</v>
      </c>
      <c r="N632">
        <v>2</v>
      </c>
      <c r="O632">
        <v>6.3</v>
      </c>
      <c r="P632">
        <v>3.6</v>
      </c>
      <c r="Q632" t="s">
        <v>42</v>
      </c>
      <c r="R632" t="s">
        <v>42</v>
      </c>
      <c r="S632">
        <v>6.2</v>
      </c>
      <c r="U632">
        <v>3.1</v>
      </c>
      <c r="V632">
        <v>5.6</v>
      </c>
      <c r="W632">
        <v>6.5</v>
      </c>
      <c r="X632">
        <v>7.2</v>
      </c>
      <c r="Y632">
        <v>3.6</v>
      </c>
      <c r="Z632">
        <v>2.8</v>
      </c>
      <c r="AA632">
        <v>2.2000000000000002</v>
      </c>
      <c r="AB632">
        <v>1.7</v>
      </c>
      <c r="AC632">
        <v>5.5</v>
      </c>
      <c r="AD632" t="s">
        <v>45</v>
      </c>
      <c r="AE632" t="str">
        <f>IF(AND(data[[#This Row],[Age]]&gt;=18,data[[#This Row],[Age]]&lt;=24),"18-24",IF(AND(data[[#This Row],[Age]]&gt;=25,data[[#This Row],[Age]]&lt;=34),"25-34",IF(AND(data[[#This Row],[Age]]&gt;35,data[[#This Row],[Age]]&lt;=44),"35-44",IF(data[[#This Row],[Age]]&gt;44,"45+",IF(data[[#This Row],[Age]]&lt;18,"below 18 ")))))</f>
        <v>35-44</v>
      </c>
    </row>
    <row r="633" spans="1:31" x14ac:dyDescent="0.25">
      <c r="A633" t="s">
        <v>686</v>
      </c>
      <c r="B633">
        <v>42</v>
      </c>
      <c r="C633" t="s">
        <v>47</v>
      </c>
      <c r="D633" t="s">
        <v>64</v>
      </c>
      <c r="E633" t="s">
        <v>58</v>
      </c>
      <c r="F633" t="s">
        <v>41</v>
      </c>
      <c r="G633">
        <v>2</v>
      </c>
      <c r="H633">
        <v>6</v>
      </c>
      <c r="I633">
        <v>2</v>
      </c>
      <c r="J633" t="s">
        <v>35</v>
      </c>
      <c r="K633" t="s">
        <v>36</v>
      </c>
      <c r="L633">
        <v>34</v>
      </c>
      <c r="N633">
        <v>10</v>
      </c>
      <c r="O633">
        <v>4.5</v>
      </c>
      <c r="P633">
        <v>2.6</v>
      </c>
      <c r="Q633" t="s">
        <v>42</v>
      </c>
      <c r="R633" t="s">
        <v>42</v>
      </c>
      <c r="S633">
        <v>3.2</v>
      </c>
      <c r="T633">
        <v>2</v>
      </c>
      <c r="U633">
        <v>4.2</v>
      </c>
      <c r="V633">
        <v>3.7</v>
      </c>
      <c r="W633">
        <v>3.8</v>
      </c>
      <c r="X633">
        <v>8.6</v>
      </c>
      <c r="Y633">
        <v>6.7</v>
      </c>
      <c r="Z633">
        <v>3.4</v>
      </c>
      <c r="AA633">
        <v>4.2</v>
      </c>
      <c r="AB633">
        <v>5.0999999999999996</v>
      </c>
      <c r="AC633">
        <v>5.6</v>
      </c>
      <c r="AD633" t="s">
        <v>43</v>
      </c>
      <c r="AE633" t="str">
        <f>IF(AND(data[[#This Row],[Age]]&gt;=18,data[[#This Row],[Age]]&lt;=24),"18-24",IF(AND(data[[#This Row],[Age]]&gt;=25,data[[#This Row],[Age]]&lt;=34),"25-34",IF(AND(data[[#This Row],[Age]]&gt;35,data[[#This Row],[Age]]&lt;=44),"35-44",IF(data[[#This Row],[Age]]&gt;44,"45+",IF(data[[#This Row],[Age]]&lt;18,"below 18 ")))))</f>
        <v>35-44</v>
      </c>
    </row>
    <row r="634" spans="1:31" x14ac:dyDescent="0.25">
      <c r="A634" t="s">
        <v>687</v>
      </c>
      <c r="B634">
        <v>15</v>
      </c>
      <c r="C634" t="s">
        <v>31</v>
      </c>
      <c r="D634" t="s">
        <v>39</v>
      </c>
      <c r="F634" t="s">
        <v>41</v>
      </c>
      <c r="G634">
        <v>2.5</v>
      </c>
      <c r="H634">
        <v>4</v>
      </c>
      <c r="I634">
        <v>2</v>
      </c>
      <c r="J634" t="s">
        <v>42</v>
      </c>
      <c r="K634" t="s">
        <v>62</v>
      </c>
      <c r="L634">
        <v>109</v>
      </c>
      <c r="M634">
        <v>4.5</v>
      </c>
      <c r="N634">
        <v>6.4</v>
      </c>
      <c r="O634">
        <v>0.4</v>
      </c>
      <c r="P634">
        <v>7.8</v>
      </c>
      <c r="Q634" t="s">
        <v>35</v>
      </c>
      <c r="R634" t="s">
        <v>35</v>
      </c>
      <c r="S634">
        <v>3.5</v>
      </c>
      <c r="T634">
        <v>4.7</v>
      </c>
      <c r="U634">
        <v>3.8</v>
      </c>
      <c r="V634">
        <v>0.9</v>
      </c>
      <c r="W634">
        <v>1.9</v>
      </c>
      <c r="X634">
        <v>7.4</v>
      </c>
      <c r="Y634">
        <v>7.5</v>
      </c>
      <c r="Z634">
        <v>2.6</v>
      </c>
      <c r="AA634">
        <v>1.6</v>
      </c>
      <c r="AC634">
        <v>6.5</v>
      </c>
      <c r="AD634" t="s">
        <v>53</v>
      </c>
      <c r="AE634" t="str">
        <f>IF(AND(data[[#This Row],[Age]]&gt;=18,data[[#This Row],[Age]]&lt;=24),"18-24",IF(AND(data[[#This Row],[Age]]&gt;=25,data[[#This Row],[Age]]&lt;=34),"25-34",IF(AND(data[[#This Row],[Age]]&gt;35,data[[#This Row],[Age]]&lt;=44),"35-44",IF(data[[#This Row],[Age]]&gt;44,"45+",IF(data[[#This Row],[Age]]&lt;18,"below 18 ")))))</f>
        <v xml:space="preserve">below 18 </v>
      </c>
    </row>
    <row r="635" spans="1:31" x14ac:dyDescent="0.25">
      <c r="A635" t="s">
        <v>688</v>
      </c>
      <c r="B635">
        <v>43</v>
      </c>
      <c r="C635" t="s">
        <v>47</v>
      </c>
      <c r="D635" t="s">
        <v>57</v>
      </c>
      <c r="E635" t="s">
        <v>40</v>
      </c>
      <c r="F635" t="s">
        <v>51</v>
      </c>
      <c r="G635">
        <v>4.8</v>
      </c>
      <c r="H635">
        <v>6</v>
      </c>
      <c r="I635">
        <v>0</v>
      </c>
      <c r="J635" t="s">
        <v>42</v>
      </c>
      <c r="K635" t="s">
        <v>52</v>
      </c>
      <c r="L635">
        <v>9</v>
      </c>
      <c r="M635">
        <v>4.9000000000000004</v>
      </c>
      <c r="N635">
        <v>4.4000000000000004</v>
      </c>
      <c r="O635">
        <v>3.8</v>
      </c>
      <c r="P635">
        <v>7.1</v>
      </c>
      <c r="Q635" t="s">
        <v>42</v>
      </c>
      <c r="R635" t="s">
        <v>42</v>
      </c>
      <c r="S635">
        <v>6.5</v>
      </c>
      <c r="T635">
        <v>7.7</v>
      </c>
      <c r="U635">
        <v>1.8</v>
      </c>
      <c r="V635">
        <v>2.7</v>
      </c>
      <c r="W635">
        <v>4</v>
      </c>
      <c r="X635">
        <v>5.7</v>
      </c>
      <c r="Y635">
        <v>2.8</v>
      </c>
      <c r="Z635">
        <v>2.5</v>
      </c>
      <c r="AA635">
        <v>4.0999999999999996</v>
      </c>
      <c r="AB635">
        <v>1.7</v>
      </c>
      <c r="AC635">
        <v>5.3</v>
      </c>
      <c r="AD635" t="s">
        <v>43</v>
      </c>
      <c r="AE635" t="str">
        <f>IF(AND(data[[#This Row],[Age]]&gt;=18,data[[#This Row],[Age]]&lt;=24),"18-24",IF(AND(data[[#This Row],[Age]]&gt;=25,data[[#This Row],[Age]]&lt;=34),"25-34",IF(AND(data[[#This Row],[Age]]&gt;35,data[[#This Row],[Age]]&lt;=44),"35-44",IF(data[[#This Row],[Age]]&gt;44,"45+",IF(data[[#This Row],[Age]]&lt;18,"below 18 ")))))</f>
        <v>35-44</v>
      </c>
    </row>
    <row r="636" spans="1:31" x14ac:dyDescent="0.25">
      <c r="A636" t="s">
        <v>689</v>
      </c>
      <c r="B636">
        <v>22</v>
      </c>
      <c r="C636" t="s">
        <v>31</v>
      </c>
      <c r="D636" t="s">
        <v>39</v>
      </c>
      <c r="E636" t="s">
        <v>33</v>
      </c>
      <c r="F636" t="s">
        <v>34</v>
      </c>
      <c r="G636">
        <v>6.2</v>
      </c>
      <c r="H636">
        <v>1</v>
      </c>
      <c r="I636">
        <v>5</v>
      </c>
      <c r="J636" t="s">
        <v>35</v>
      </c>
      <c r="K636" t="s">
        <v>52</v>
      </c>
      <c r="L636">
        <v>76</v>
      </c>
      <c r="M636">
        <v>6.6</v>
      </c>
      <c r="N636">
        <v>8.1999999999999993</v>
      </c>
      <c r="O636">
        <v>7.4</v>
      </c>
      <c r="P636">
        <v>7</v>
      </c>
      <c r="Q636" t="s">
        <v>42</v>
      </c>
      <c r="R636" t="s">
        <v>35</v>
      </c>
      <c r="S636">
        <v>7.7</v>
      </c>
      <c r="T636">
        <v>2.6</v>
      </c>
      <c r="V636">
        <v>6</v>
      </c>
      <c r="W636">
        <v>3.6</v>
      </c>
      <c r="X636">
        <v>5.7</v>
      </c>
      <c r="Y636">
        <v>1.4</v>
      </c>
      <c r="Z636">
        <v>2.9</v>
      </c>
      <c r="AA636">
        <v>3.6</v>
      </c>
      <c r="AB636">
        <v>5.7</v>
      </c>
      <c r="AC636">
        <v>5.0999999999999996</v>
      </c>
      <c r="AD636" t="s">
        <v>45</v>
      </c>
      <c r="AE636" t="str">
        <f>IF(AND(data[[#This Row],[Age]]&gt;=18,data[[#This Row],[Age]]&lt;=24),"18-24",IF(AND(data[[#This Row],[Age]]&gt;=25,data[[#This Row],[Age]]&lt;=34),"25-34",IF(AND(data[[#This Row],[Age]]&gt;35,data[[#This Row],[Age]]&lt;=44),"35-44",IF(data[[#This Row],[Age]]&gt;44,"45+",IF(data[[#This Row],[Age]]&lt;18,"below 18 ")))))</f>
        <v>18-24</v>
      </c>
    </row>
    <row r="637" spans="1:31" x14ac:dyDescent="0.25">
      <c r="A637" t="s">
        <v>690</v>
      </c>
      <c r="B637">
        <v>26</v>
      </c>
      <c r="C637" t="s">
        <v>31</v>
      </c>
      <c r="D637" t="s">
        <v>32</v>
      </c>
      <c r="E637" t="s">
        <v>40</v>
      </c>
      <c r="F637" t="s">
        <v>59</v>
      </c>
      <c r="G637">
        <v>2.6</v>
      </c>
      <c r="H637">
        <v>2</v>
      </c>
      <c r="I637">
        <v>5</v>
      </c>
      <c r="J637" t="s">
        <v>42</v>
      </c>
      <c r="K637" t="s">
        <v>52</v>
      </c>
      <c r="L637">
        <v>5</v>
      </c>
      <c r="M637">
        <v>1.6</v>
      </c>
      <c r="N637">
        <v>4.7</v>
      </c>
      <c r="O637">
        <v>2.2000000000000002</v>
      </c>
      <c r="P637">
        <v>0.8</v>
      </c>
      <c r="Q637" t="s">
        <v>42</v>
      </c>
      <c r="R637" t="s">
        <v>42</v>
      </c>
      <c r="S637">
        <v>2.2999999999999998</v>
      </c>
      <c r="T637">
        <v>2.1</v>
      </c>
      <c r="U637">
        <v>1.1000000000000001</v>
      </c>
      <c r="V637">
        <v>3.8</v>
      </c>
      <c r="W637">
        <v>4.4000000000000004</v>
      </c>
      <c r="X637">
        <v>4.3</v>
      </c>
      <c r="Y637">
        <v>5.5</v>
      </c>
      <c r="Z637">
        <v>3.7</v>
      </c>
      <c r="AA637">
        <v>0</v>
      </c>
      <c r="AB637">
        <v>0</v>
      </c>
      <c r="AC637">
        <v>7.2</v>
      </c>
      <c r="AD637" t="s">
        <v>37</v>
      </c>
      <c r="AE637" t="str">
        <f>IF(AND(data[[#This Row],[Age]]&gt;=18,data[[#This Row],[Age]]&lt;=24),"18-24",IF(AND(data[[#This Row],[Age]]&gt;=25,data[[#This Row],[Age]]&lt;=34),"25-34",IF(AND(data[[#This Row],[Age]]&gt;35,data[[#This Row],[Age]]&lt;=44),"35-44",IF(data[[#This Row],[Age]]&gt;44,"45+",IF(data[[#This Row],[Age]]&lt;18,"below 18 ")))))</f>
        <v>25-34</v>
      </c>
    </row>
    <row r="638" spans="1:31" x14ac:dyDescent="0.25">
      <c r="A638" t="s">
        <v>691</v>
      </c>
      <c r="B638">
        <v>41</v>
      </c>
      <c r="C638" t="s">
        <v>47</v>
      </c>
      <c r="D638" t="s">
        <v>32</v>
      </c>
      <c r="E638" t="s">
        <v>40</v>
      </c>
      <c r="F638" t="s">
        <v>59</v>
      </c>
      <c r="G638">
        <v>0.5</v>
      </c>
      <c r="H638">
        <v>4</v>
      </c>
      <c r="I638">
        <v>3</v>
      </c>
      <c r="J638" t="s">
        <v>42</v>
      </c>
      <c r="K638" t="s">
        <v>36</v>
      </c>
      <c r="L638">
        <v>37</v>
      </c>
      <c r="M638">
        <v>6.1</v>
      </c>
      <c r="N638">
        <v>2</v>
      </c>
      <c r="O638">
        <v>5</v>
      </c>
      <c r="P638">
        <v>9.6999999999999993</v>
      </c>
      <c r="Q638" t="s">
        <v>35</v>
      </c>
      <c r="R638" t="s">
        <v>42</v>
      </c>
      <c r="S638">
        <v>8.8000000000000007</v>
      </c>
      <c r="T638">
        <v>7.5</v>
      </c>
      <c r="U638">
        <v>5.3</v>
      </c>
      <c r="V638">
        <v>5.6</v>
      </c>
      <c r="W638">
        <v>5.8</v>
      </c>
      <c r="X638">
        <v>8.4</v>
      </c>
      <c r="Y638">
        <v>7.2</v>
      </c>
      <c r="Z638">
        <v>3.1</v>
      </c>
      <c r="AA638">
        <v>5.3</v>
      </c>
      <c r="AB638">
        <v>3.7</v>
      </c>
      <c r="AC638">
        <v>5.5</v>
      </c>
      <c r="AD638" t="s">
        <v>45</v>
      </c>
      <c r="AE638" t="str">
        <f>IF(AND(data[[#This Row],[Age]]&gt;=18,data[[#This Row],[Age]]&lt;=24),"18-24",IF(AND(data[[#This Row],[Age]]&gt;=25,data[[#This Row],[Age]]&lt;=34),"25-34",IF(AND(data[[#This Row],[Age]]&gt;35,data[[#This Row],[Age]]&lt;=44),"35-44",IF(data[[#This Row],[Age]]&gt;44,"45+",IF(data[[#This Row],[Age]]&lt;18,"below 18 ")))))</f>
        <v>35-44</v>
      </c>
    </row>
    <row r="639" spans="1:31" x14ac:dyDescent="0.25">
      <c r="A639" t="s">
        <v>692</v>
      </c>
      <c r="B639">
        <v>20</v>
      </c>
      <c r="C639" t="s">
        <v>31</v>
      </c>
      <c r="D639" t="s">
        <v>32</v>
      </c>
      <c r="E639" t="s">
        <v>58</v>
      </c>
      <c r="F639" t="s">
        <v>59</v>
      </c>
      <c r="G639">
        <v>5.7</v>
      </c>
      <c r="H639">
        <v>3</v>
      </c>
      <c r="I639">
        <v>3</v>
      </c>
      <c r="J639" t="s">
        <v>42</v>
      </c>
      <c r="K639" t="s">
        <v>36</v>
      </c>
      <c r="L639">
        <v>39</v>
      </c>
      <c r="M639">
        <v>9.8000000000000007</v>
      </c>
      <c r="N639">
        <v>5.4</v>
      </c>
      <c r="O639">
        <v>5.0999999999999996</v>
      </c>
      <c r="P639">
        <v>4.7</v>
      </c>
      <c r="Q639" t="s">
        <v>42</v>
      </c>
      <c r="R639" t="s">
        <v>35</v>
      </c>
      <c r="S639">
        <v>3.4</v>
      </c>
      <c r="T639">
        <v>1.6</v>
      </c>
      <c r="U639">
        <v>3.5</v>
      </c>
      <c r="V639">
        <v>5.5</v>
      </c>
      <c r="W639">
        <v>4.2</v>
      </c>
      <c r="X639">
        <v>8.6</v>
      </c>
      <c r="Y639">
        <v>7.4</v>
      </c>
      <c r="Z639">
        <v>3.1</v>
      </c>
      <c r="AA639">
        <v>2.1</v>
      </c>
      <c r="AB639">
        <v>4.3</v>
      </c>
      <c r="AC639">
        <v>5.5</v>
      </c>
      <c r="AD639" t="s">
        <v>45</v>
      </c>
      <c r="AE639" t="str">
        <f>IF(AND(data[[#This Row],[Age]]&gt;=18,data[[#This Row],[Age]]&lt;=24),"18-24",IF(AND(data[[#This Row],[Age]]&gt;=25,data[[#This Row],[Age]]&lt;=34),"25-34",IF(AND(data[[#This Row],[Age]]&gt;35,data[[#This Row],[Age]]&lt;=44),"35-44",IF(data[[#This Row],[Age]]&gt;44,"45+",IF(data[[#This Row],[Age]]&lt;18,"below 18 ")))))</f>
        <v>18-24</v>
      </c>
    </row>
    <row r="640" spans="1:31" x14ac:dyDescent="0.25">
      <c r="A640" t="s">
        <v>693</v>
      </c>
      <c r="B640">
        <v>27</v>
      </c>
      <c r="C640" t="s">
        <v>31</v>
      </c>
      <c r="D640" t="s">
        <v>39</v>
      </c>
      <c r="E640" t="s">
        <v>58</v>
      </c>
      <c r="F640" t="s">
        <v>41</v>
      </c>
      <c r="G640">
        <v>4</v>
      </c>
      <c r="H640">
        <v>1</v>
      </c>
      <c r="I640">
        <v>8</v>
      </c>
      <c r="J640" t="s">
        <v>42</v>
      </c>
      <c r="K640" t="s">
        <v>36</v>
      </c>
      <c r="L640">
        <v>121</v>
      </c>
      <c r="M640">
        <v>6.7</v>
      </c>
      <c r="N640">
        <v>6</v>
      </c>
      <c r="O640">
        <v>6.4</v>
      </c>
      <c r="P640">
        <v>4.0999999999999996</v>
      </c>
      <c r="Q640" t="s">
        <v>35</v>
      </c>
      <c r="R640" t="s">
        <v>35</v>
      </c>
      <c r="S640">
        <v>6.2</v>
      </c>
      <c r="T640">
        <v>5.0999999999999996</v>
      </c>
      <c r="U640">
        <v>4.2</v>
      </c>
      <c r="V640">
        <v>6.3</v>
      </c>
      <c r="W640">
        <v>4.0999999999999996</v>
      </c>
      <c r="X640">
        <v>8.3000000000000007</v>
      </c>
      <c r="Y640">
        <v>8</v>
      </c>
      <c r="Z640">
        <v>4.7</v>
      </c>
      <c r="AA640">
        <v>5.0999999999999996</v>
      </c>
      <c r="AB640">
        <v>3</v>
      </c>
      <c r="AC640">
        <v>4.7</v>
      </c>
      <c r="AD640" t="s">
        <v>43</v>
      </c>
      <c r="AE640" t="str">
        <f>IF(AND(data[[#This Row],[Age]]&gt;=18,data[[#This Row],[Age]]&lt;=24),"18-24",IF(AND(data[[#This Row],[Age]]&gt;=25,data[[#This Row],[Age]]&lt;=34),"25-34",IF(AND(data[[#This Row],[Age]]&gt;35,data[[#This Row],[Age]]&lt;=44),"35-44",IF(data[[#This Row],[Age]]&gt;44,"45+",IF(data[[#This Row],[Age]]&lt;18,"below 18 ")))))</f>
        <v>25-34</v>
      </c>
    </row>
    <row r="641" spans="1:31" x14ac:dyDescent="0.25">
      <c r="A641" t="s">
        <v>694</v>
      </c>
      <c r="B641">
        <v>16</v>
      </c>
      <c r="C641" t="s">
        <v>31</v>
      </c>
      <c r="D641" t="s">
        <v>39</v>
      </c>
      <c r="E641" t="s">
        <v>58</v>
      </c>
      <c r="F641" t="s">
        <v>41</v>
      </c>
      <c r="H641">
        <v>5</v>
      </c>
      <c r="I641">
        <v>5</v>
      </c>
      <c r="J641" t="s">
        <v>42</v>
      </c>
      <c r="K641" t="s">
        <v>62</v>
      </c>
      <c r="L641">
        <v>18</v>
      </c>
      <c r="M641">
        <v>5</v>
      </c>
      <c r="N641">
        <v>7.1</v>
      </c>
      <c r="O641">
        <v>9.3000000000000007</v>
      </c>
      <c r="P641">
        <v>3</v>
      </c>
      <c r="Q641" t="s">
        <v>35</v>
      </c>
      <c r="R641" t="s">
        <v>35</v>
      </c>
      <c r="S641">
        <v>3.9</v>
      </c>
      <c r="T641">
        <v>5.4</v>
      </c>
      <c r="U641">
        <v>0.3</v>
      </c>
      <c r="V641">
        <v>5.3</v>
      </c>
      <c r="W641">
        <v>4.2</v>
      </c>
      <c r="X641">
        <v>5.2</v>
      </c>
      <c r="Y641">
        <v>5.9</v>
      </c>
      <c r="Z641">
        <v>2.1</v>
      </c>
      <c r="AA641">
        <v>0.6</v>
      </c>
      <c r="AB641">
        <v>4.0999999999999996</v>
      </c>
      <c r="AC641">
        <v>6.9</v>
      </c>
      <c r="AD641" t="s">
        <v>53</v>
      </c>
      <c r="AE641" t="str">
        <f>IF(AND(data[[#This Row],[Age]]&gt;=18,data[[#This Row],[Age]]&lt;=24),"18-24",IF(AND(data[[#This Row],[Age]]&gt;=25,data[[#This Row],[Age]]&lt;=34),"25-34",IF(AND(data[[#This Row],[Age]]&gt;35,data[[#This Row],[Age]]&lt;=44),"35-44",IF(data[[#This Row],[Age]]&gt;44,"45+",IF(data[[#This Row],[Age]]&lt;18,"below 18 ")))))</f>
        <v xml:space="preserve">below 18 </v>
      </c>
    </row>
    <row r="642" spans="1:31" x14ac:dyDescent="0.25">
      <c r="A642" t="s">
        <v>695</v>
      </c>
      <c r="B642">
        <v>36</v>
      </c>
      <c r="C642" t="s">
        <v>50</v>
      </c>
      <c r="D642" t="s">
        <v>32</v>
      </c>
      <c r="E642" t="s">
        <v>58</v>
      </c>
      <c r="F642" t="s">
        <v>41</v>
      </c>
      <c r="G642">
        <v>2.6</v>
      </c>
      <c r="H642">
        <v>4</v>
      </c>
      <c r="I642">
        <v>7</v>
      </c>
      <c r="J642" t="s">
        <v>42</v>
      </c>
      <c r="K642" t="s">
        <v>52</v>
      </c>
      <c r="L642">
        <v>77</v>
      </c>
      <c r="M642">
        <v>4.4000000000000004</v>
      </c>
      <c r="N642">
        <v>3.9</v>
      </c>
      <c r="O642">
        <v>0.9</v>
      </c>
      <c r="P642">
        <v>6.9</v>
      </c>
      <c r="R642" t="s">
        <v>42</v>
      </c>
      <c r="S642">
        <v>8.5</v>
      </c>
      <c r="T642">
        <v>5.3</v>
      </c>
      <c r="U642">
        <v>5.4</v>
      </c>
      <c r="V642">
        <v>9.3000000000000007</v>
      </c>
      <c r="W642">
        <v>6.3</v>
      </c>
      <c r="X642">
        <v>6.1</v>
      </c>
      <c r="Y642">
        <v>0</v>
      </c>
      <c r="Z642">
        <v>9.1999999999999993</v>
      </c>
      <c r="AA642">
        <v>3.7</v>
      </c>
      <c r="AB642">
        <v>4.8</v>
      </c>
      <c r="AC642">
        <v>8.1</v>
      </c>
      <c r="AD642" t="s">
        <v>37</v>
      </c>
      <c r="AE642" t="str">
        <f>IF(AND(data[[#This Row],[Age]]&gt;=18,data[[#This Row],[Age]]&lt;=24),"18-24",IF(AND(data[[#This Row],[Age]]&gt;=25,data[[#This Row],[Age]]&lt;=34),"25-34",IF(AND(data[[#This Row],[Age]]&gt;35,data[[#This Row],[Age]]&lt;=44),"35-44",IF(data[[#This Row],[Age]]&gt;44,"45+",IF(data[[#This Row],[Age]]&lt;18,"below 18 ")))))</f>
        <v>35-44</v>
      </c>
    </row>
    <row r="643" spans="1:31" x14ac:dyDescent="0.25">
      <c r="A643" t="s">
        <v>696</v>
      </c>
      <c r="B643">
        <v>40</v>
      </c>
      <c r="C643" t="s">
        <v>47</v>
      </c>
      <c r="D643" t="s">
        <v>64</v>
      </c>
      <c r="E643" t="s">
        <v>58</v>
      </c>
      <c r="F643" t="s">
        <v>34</v>
      </c>
      <c r="G643">
        <v>6.9</v>
      </c>
      <c r="H643">
        <v>5</v>
      </c>
      <c r="I643">
        <v>1</v>
      </c>
      <c r="J643" t="s">
        <v>35</v>
      </c>
      <c r="K643" t="s">
        <v>52</v>
      </c>
      <c r="L643">
        <v>84</v>
      </c>
      <c r="M643">
        <v>1.6</v>
      </c>
      <c r="N643">
        <v>7.7</v>
      </c>
      <c r="O643">
        <v>4</v>
      </c>
      <c r="P643">
        <v>6</v>
      </c>
      <c r="Q643" t="s">
        <v>35</v>
      </c>
      <c r="R643" t="s">
        <v>35</v>
      </c>
      <c r="S643">
        <v>5.4</v>
      </c>
      <c r="T643">
        <v>5.5</v>
      </c>
      <c r="U643">
        <v>5</v>
      </c>
      <c r="V643">
        <v>3.8</v>
      </c>
      <c r="W643">
        <v>4.5999999999999996</v>
      </c>
      <c r="X643">
        <v>7.9</v>
      </c>
      <c r="Y643">
        <v>3.3</v>
      </c>
      <c r="Z643">
        <v>5.4</v>
      </c>
      <c r="AA643">
        <v>3.3</v>
      </c>
      <c r="AB643">
        <v>1.2</v>
      </c>
      <c r="AC643">
        <v>7.5</v>
      </c>
      <c r="AD643" t="s">
        <v>37</v>
      </c>
      <c r="AE643" t="str">
        <f>IF(AND(data[[#This Row],[Age]]&gt;=18,data[[#This Row],[Age]]&lt;=24),"18-24",IF(AND(data[[#This Row],[Age]]&gt;=25,data[[#This Row],[Age]]&lt;=34),"25-34",IF(AND(data[[#This Row],[Age]]&gt;35,data[[#This Row],[Age]]&lt;=44),"35-44",IF(data[[#This Row],[Age]]&gt;44,"45+",IF(data[[#This Row],[Age]]&lt;18,"below 18 ")))))</f>
        <v>35-44</v>
      </c>
    </row>
    <row r="644" spans="1:31" x14ac:dyDescent="0.25">
      <c r="A644" t="s">
        <v>697</v>
      </c>
      <c r="B644">
        <v>35</v>
      </c>
      <c r="C644" t="s">
        <v>47</v>
      </c>
      <c r="D644" t="s">
        <v>32</v>
      </c>
      <c r="E644" t="s">
        <v>58</v>
      </c>
      <c r="F644" t="s">
        <v>41</v>
      </c>
      <c r="G644">
        <v>4.0999999999999996</v>
      </c>
      <c r="H644">
        <v>2</v>
      </c>
      <c r="I644">
        <v>3</v>
      </c>
      <c r="J644" t="s">
        <v>42</v>
      </c>
      <c r="K644" t="s">
        <v>52</v>
      </c>
      <c r="L644">
        <v>125</v>
      </c>
      <c r="M644">
        <v>5.8</v>
      </c>
      <c r="N644">
        <v>5.8</v>
      </c>
      <c r="O644">
        <v>4</v>
      </c>
      <c r="P644">
        <v>3.2</v>
      </c>
      <c r="Q644" t="s">
        <v>42</v>
      </c>
      <c r="R644" t="s">
        <v>35</v>
      </c>
      <c r="S644">
        <v>5.2</v>
      </c>
      <c r="T644">
        <v>4.9000000000000004</v>
      </c>
      <c r="U644">
        <v>6.1</v>
      </c>
      <c r="V644">
        <v>6.3</v>
      </c>
      <c r="W644">
        <v>8.9</v>
      </c>
      <c r="X644">
        <v>6.2</v>
      </c>
      <c r="Y644">
        <v>7.9</v>
      </c>
      <c r="Z644">
        <v>10</v>
      </c>
      <c r="AA644">
        <v>3.8</v>
      </c>
      <c r="AB644">
        <v>1.6</v>
      </c>
      <c r="AC644">
        <v>7</v>
      </c>
      <c r="AD644" t="s">
        <v>37</v>
      </c>
      <c r="AE644" t="b">
        <f>IF(AND(data[[#This Row],[Age]]&gt;=18,data[[#This Row],[Age]]&lt;=24),"18-24",IF(AND(data[[#This Row],[Age]]&gt;=25,data[[#This Row],[Age]]&lt;=34),"25-34",IF(AND(data[[#This Row],[Age]]&gt;35,data[[#This Row],[Age]]&lt;=44),"35-44",IF(data[[#This Row],[Age]]&gt;44,"45+",IF(data[[#This Row],[Age]]&lt;18,"below 18 ")))))</f>
        <v>0</v>
      </c>
    </row>
    <row r="645" spans="1:31" x14ac:dyDescent="0.25">
      <c r="A645" t="s">
        <v>698</v>
      </c>
      <c r="B645">
        <v>32</v>
      </c>
      <c r="C645" t="s">
        <v>47</v>
      </c>
      <c r="D645" t="s">
        <v>39</v>
      </c>
      <c r="E645" t="s">
        <v>58</v>
      </c>
      <c r="F645" t="s">
        <v>41</v>
      </c>
      <c r="G645">
        <v>1.7</v>
      </c>
      <c r="H645">
        <v>4</v>
      </c>
      <c r="I645">
        <v>5</v>
      </c>
      <c r="J645" t="s">
        <v>35</v>
      </c>
      <c r="K645" t="s">
        <v>62</v>
      </c>
      <c r="L645">
        <v>93</v>
      </c>
      <c r="M645">
        <v>3.5</v>
      </c>
      <c r="N645">
        <v>5.5</v>
      </c>
      <c r="O645">
        <v>3.8</v>
      </c>
      <c r="P645">
        <v>5.9</v>
      </c>
      <c r="Q645" t="s">
        <v>35</v>
      </c>
      <c r="R645" t="s">
        <v>35</v>
      </c>
      <c r="S645">
        <v>0.2</v>
      </c>
      <c r="T645">
        <v>2.1</v>
      </c>
      <c r="U645">
        <v>5.8</v>
      </c>
      <c r="V645">
        <v>6.2</v>
      </c>
      <c r="W645">
        <v>3</v>
      </c>
      <c r="X645">
        <v>7.5</v>
      </c>
      <c r="Y645">
        <v>1.7</v>
      </c>
      <c r="Z645">
        <v>6.7</v>
      </c>
      <c r="AA645">
        <v>2.5</v>
      </c>
      <c r="AB645">
        <v>3.7</v>
      </c>
      <c r="AC645">
        <v>8.1999999999999993</v>
      </c>
      <c r="AD645" t="s">
        <v>37</v>
      </c>
      <c r="AE645" t="str">
        <f>IF(AND(data[[#This Row],[Age]]&gt;=18,data[[#This Row],[Age]]&lt;=24),"18-24",IF(AND(data[[#This Row],[Age]]&gt;=25,data[[#This Row],[Age]]&lt;=34),"25-34",IF(AND(data[[#This Row],[Age]]&gt;35,data[[#This Row],[Age]]&lt;=44),"35-44",IF(data[[#This Row],[Age]]&gt;44,"45+",IF(data[[#This Row],[Age]]&lt;18,"below 18 ")))))</f>
        <v>25-34</v>
      </c>
    </row>
    <row r="646" spans="1:31" x14ac:dyDescent="0.25">
      <c r="A646" t="s">
        <v>699</v>
      </c>
      <c r="B646">
        <v>40</v>
      </c>
      <c r="C646" t="s">
        <v>50</v>
      </c>
      <c r="D646" t="s">
        <v>32</v>
      </c>
      <c r="E646" t="s">
        <v>58</v>
      </c>
      <c r="F646" t="s">
        <v>34</v>
      </c>
      <c r="G646">
        <v>2.4</v>
      </c>
      <c r="H646">
        <v>1</v>
      </c>
      <c r="I646">
        <v>6</v>
      </c>
      <c r="J646" t="s">
        <v>42</v>
      </c>
      <c r="K646" t="s">
        <v>62</v>
      </c>
      <c r="L646">
        <v>81</v>
      </c>
      <c r="M646">
        <v>3.7</v>
      </c>
      <c r="N646">
        <v>6.1</v>
      </c>
      <c r="O646">
        <v>5.3</v>
      </c>
      <c r="P646">
        <v>5</v>
      </c>
      <c r="Q646" t="s">
        <v>35</v>
      </c>
      <c r="R646" t="s">
        <v>42</v>
      </c>
      <c r="S646">
        <v>5.0999999999999996</v>
      </c>
      <c r="T646">
        <v>6.1</v>
      </c>
      <c r="U646">
        <v>6.9</v>
      </c>
      <c r="V646">
        <v>4.5999999999999996</v>
      </c>
      <c r="W646">
        <v>8.3000000000000007</v>
      </c>
      <c r="X646">
        <v>5.2</v>
      </c>
      <c r="Y646">
        <v>5</v>
      </c>
      <c r="Z646">
        <v>6.8</v>
      </c>
      <c r="AA646">
        <v>4.3</v>
      </c>
      <c r="AB646">
        <v>3.1</v>
      </c>
      <c r="AC646">
        <v>8.5</v>
      </c>
      <c r="AD646" t="s">
        <v>37</v>
      </c>
      <c r="AE646" t="str">
        <f>IF(AND(data[[#This Row],[Age]]&gt;=18,data[[#This Row],[Age]]&lt;=24),"18-24",IF(AND(data[[#This Row],[Age]]&gt;=25,data[[#This Row],[Age]]&lt;=34),"25-34",IF(AND(data[[#This Row],[Age]]&gt;35,data[[#This Row],[Age]]&lt;=44),"35-44",IF(data[[#This Row],[Age]]&gt;44,"45+",IF(data[[#This Row],[Age]]&lt;18,"below 18 ")))))</f>
        <v>35-44</v>
      </c>
    </row>
    <row r="647" spans="1:31" x14ac:dyDescent="0.25">
      <c r="A647" t="s">
        <v>700</v>
      </c>
      <c r="B647">
        <v>37</v>
      </c>
      <c r="C647" t="s">
        <v>31</v>
      </c>
      <c r="D647" t="s">
        <v>57</v>
      </c>
      <c r="E647" t="s">
        <v>58</v>
      </c>
      <c r="F647" t="s">
        <v>34</v>
      </c>
      <c r="G647">
        <v>3.5</v>
      </c>
      <c r="H647">
        <v>4</v>
      </c>
      <c r="I647">
        <v>5</v>
      </c>
      <c r="J647" t="s">
        <v>35</v>
      </c>
      <c r="K647" t="s">
        <v>36</v>
      </c>
      <c r="L647">
        <v>76</v>
      </c>
      <c r="M647">
        <v>1.5</v>
      </c>
      <c r="N647">
        <v>4.5999999999999996</v>
      </c>
      <c r="O647">
        <v>6.3</v>
      </c>
      <c r="P647">
        <v>4.0999999999999996</v>
      </c>
      <c r="Q647" t="s">
        <v>42</v>
      </c>
      <c r="R647" t="s">
        <v>35</v>
      </c>
      <c r="S647">
        <v>2.2999999999999998</v>
      </c>
      <c r="T647">
        <v>4.5999999999999996</v>
      </c>
      <c r="U647">
        <v>5.9</v>
      </c>
      <c r="V647">
        <v>6.3</v>
      </c>
      <c r="W647">
        <v>3.4</v>
      </c>
      <c r="X647">
        <v>5.0999999999999996</v>
      </c>
      <c r="Y647">
        <v>2.9</v>
      </c>
      <c r="Z647">
        <v>3.9</v>
      </c>
      <c r="AA647">
        <v>4.2</v>
      </c>
      <c r="AB647">
        <v>4.0999999999999996</v>
      </c>
      <c r="AC647">
        <v>7.2</v>
      </c>
      <c r="AD647" t="s">
        <v>37</v>
      </c>
      <c r="AE647" t="str">
        <f>IF(AND(data[[#This Row],[Age]]&gt;=18,data[[#This Row],[Age]]&lt;=24),"18-24",IF(AND(data[[#This Row],[Age]]&gt;=25,data[[#This Row],[Age]]&lt;=34),"25-34",IF(AND(data[[#This Row],[Age]]&gt;35,data[[#This Row],[Age]]&lt;=44),"35-44",IF(data[[#This Row],[Age]]&gt;44,"45+",IF(data[[#This Row],[Age]]&lt;18,"below 18 ")))))</f>
        <v>35-44</v>
      </c>
    </row>
    <row r="648" spans="1:31" x14ac:dyDescent="0.25">
      <c r="A648" t="s">
        <v>701</v>
      </c>
      <c r="B648">
        <v>41</v>
      </c>
      <c r="C648" t="s">
        <v>47</v>
      </c>
      <c r="D648" t="s">
        <v>39</v>
      </c>
      <c r="E648" t="s">
        <v>40</v>
      </c>
      <c r="F648" t="s">
        <v>51</v>
      </c>
      <c r="G648">
        <v>1.4</v>
      </c>
      <c r="H648">
        <v>5</v>
      </c>
      <c r="I648">
        <v>5</v>
      </c>
      <c r="J648" t="s">
        <v>35</v>
      </c>
      <c r="K648" t="s">
        <v>36</v>
      </c>
      <c r="L648">
        <v>37</v>
      </c>
      <c r="M648">
        <v>3.9</v>
      </c>
      <c r="N648">
        <v>6.9</v>
      </c>
      <c r="O648">
        <v>1.7</v>
      </c>
      <c r="P648">
        <v>3.2</v>
      </c>
      <c r="Q648" t="s">
        <v>35</v>
      </c>
      <c r="R648" t="s">
        <v>42</v>
      </c>
      <c r="S648">
        <v>5.0999999999999996</v>
      </c>
      <c r="T648">
        <v>9.6999999999999993</v>
      </c>
      <c r="U648">
        <v>7</v>
      </c>
      <c r="V648">
        <v>5.5</v>
      </c>
      <c r="W648">
        <v>2.2000000000000002</v>
      </c>
      <c r="X648">
        <v>8.6999999999999993</v>
      </c>
      <c r="Y648">
        <v>4.2</v>
      </c>
      <c r="Z648">
        <v>5.9</v>
      </c>
      <c r="AA648">
        <v>2.9</v>
      </c>
      <c r="AB648">
        <v>3.3</v>
      </c>
      <c r="AC648">
        <v>6.7</v>
      </c>
      <c r="AD648" t="s">
        <v>53</v>
      </c>
      <c r="AE648" t="str">
        <f>IF(AND(data[[#This Row],[Age]]&gt;=18,data[[#This Row],[Age]]&lt;=24),"18-24",IF(AND(data[[#This Row],[Age]]&gt;=25,data[[#This Row],[Age]]&lt;=34),"25-34",IF(AND(data[[#This Row],[Age]]&gt;35,data[[#This Row],[Age]]&lt;=44),"35-44",IF(data[[#This Row],[Age]]&gt;44,"45+",IF(data[[#This Row],[Age]]&lt;18,"below 18 ")))))</f>
        <v>35-44</v>
      </c>
    </row>
    <row r="649" spans="1:31" x14ac:dyDescent="0.25">
      <c r="A649" t="s">
        <v>702</v>
      </c>
      <c r="B649">
        <v>36</v>
      </c>
      <c r="C649" t="s">
        <v>31</v>
      </c>
      <c r="D649" t="s">
        <v>39</v>
      </c>
      <c r="E649" t="s">
        <v>33</v>
      </c>
      <c r="F649" t="s">
        <v>51</v>
      </c>
      <c r="G649">
        <v>3.4</v>
      </c>
      <c r="H649">
        <v>1</v>
      </c>
      <c r="I649">
        <v>3</v>
      </c>
      <c r="J649" t="s">
        <v>35</v>
      </c>
      <c r="K649" t="s">
        <v>62</v>
      </c>
      <c r="L649">
        <v>72</v>
      </c>
      <c r="M649">
        <v>7.2</v>
      </c>
      <c r="N649">
        <v>4.2</v>
      </c>
      <c r="O649">
        <v>9</v>
      </c>
      <c r="P649">
        <v>6.5</v>
      </c>
      <c r="Q649" t="s">
        <v>42</v>
      </c>
      <c r="R649" t="s">
        <v>35</v>
      </c>
      <c r="S649">
        <v>3.4</v>
      </c>
      <c r="T649">
        <v>3.6</v>
      </c>
      <c r="U649">
        <v>3.1</v>
      </c>
      <c r="V649">
        <v>6</v>
      </c>
      <c r="W649">
        <v>5.0999999999999996</v>
      </c>
      <c r="X649">
        <v>5.7</v>
      </c>
      <c r="Y649">
        <v>6.4</v>
      </c>
      <c r="Z649">
        <v>2.5</v>
      </c>
      <c r="AA649">
        <v>0</v>
      </c>
      <c r="AB649">
        <v>3.7</v>
      </c>
      <c r="AC649">
        <v>7.5</v>
      </c>
      <c r="AD649" t="s">
        <v>53</v>
      </c>
      <c r="AE649" t="str">
        <f>IF(AND(data[[#This Row],[Age]]&gt;=18,data[[#This Row],[Age]]&lt;=24),"18-24",IF(AND(data[[#This Row],[Age]]&gt;=25,data[[#This Row],[Age]]&lt;=34),"25-34",IF(AND(data[[#This Row],[Age]]&gt;35,data[[#This Row],[Age]]&lt;=44),"35-44",IF(data[[#This Row],[Age]]&gt;44,"45+",IF(data[[#This Row],[Age]]&lt;18,"below 18 ")))))</f>
        <v>35-44</v>
      </c>
    </row>
    <row r="650" spans="1:31" x14ac:dyDescent="0.25">
      <c r="A650" t="s">
        <v>703</v>
      </c>
      <c r="B650">
        <v>21</v>
      </c>
      <c r="C650" t="s">
        <v>47</v>
      </c>
      <c r="D650" t="s">
        <v>64</v>
      </c>
      <c r="E650" t="s">
        <v>58</v>
      </c>
      <c r="F650" t="s">
        <v>59</v>
      </c>
      <c r="G650">
        <v>6.9</v>
      </c>
      <c r="H650">
        <v>7</v>
      </c>
      <c r="I650">
        <v>5</v>
      </c>
      <c r="J650" t="s">
        <v>42</v>
      </c>
      <c r="K650" t="s">
        <v>62</v>
      </c>
      <c r="L650">
        <v>29</v>
      </c>
      <c r="M650">
        <v>9.9</v>
      </c>
      <c r="N650">
        <v>4.3</v>
      </c>
      <c r="O650">
        <v>5.4</v>
      </c>
      <c r="P650">
        <v>4.5</v>
      </c>
      <c r="Q650" t="s">
        <v>42</v>
      </c>
      <c r="R650" t="s">
        <v>35</v>
      </c>
      <c r="S650">
        <v>4.5999999999999996</v>
      </c>
      <c r="T650">
        <v>0</v>
      </c>
      <c r="U650">
        <v>5.5</v>
      </c>
      <c r="V650">
        <v>5</v>
      </c>
      <c r="W650">
        <v>10</v>
      </c>
      <c r="X650">
        <v>7.3</v>
      </c>
      <c r="Y650">
        <v>3.5</v>
      </c>
      <c r="Z650">
        <v>5.3</v>
      </c>
      <c r="AA650">
        <v>4.7</v>
      </c>
      <c r="AB650">
        <v>3.1</v>
      </c>
      <c r="AC650">
        <v>6.9</v>
      </c>
      <c r="AD650" t="s">
        <v>53</v>
      </c>
      <c r="AE650" t="str">
        <f>IF(AND(data[[#This Row],[Age]]&gt;=18,data[[#This Row],[Age]]&lt;=24),"18-24",IF(AND(data[[#This Row],[Age]]&gt;=25,data[[#This Row],[Age]]&lt;=34),"25-34",IF(AND(data[[#This Row],[Age]]&gt;35,data[[#This Row],[Age]]&lt;=44),"35-44",IF(data[[#This Row],[Age]]&gt;44,"45+",IF(data[[#This Row],[Age]]&lt;18,"below 18 ")))))</f>
        <v>18-24</v>
      </c>
    </row>
    <row r="651" spans="1:31" x14ac:dyDescent="0.25">
      <c r="A651" t="s">
        <v>704</v>
      </c>
      <c r="B651">
        <v>26</v>
      </c>
      <c r="C651" t="s">
        <v>31</v>
      </c>
      <c r="D651" t="s">
        <v>39</v>
      </c>
      <c r="E651" t="s">
        <v>58</v>
      </c>
      <c r="F651" t="s">
        <v>59</v>
      </c>
      <c r="G651">
        <v>6.3</v>
      </c>
      <c r="H651">
        <v>7</v>
      </c>
      <c r="I651">
        <v>4</v>
      </c>
      <c r="J651" t="s">
        <v>42</v>
      </c>
      <c r="K651" t="s">
        <v>36</v>
      </c>
      <c r="L651">
        <v>94</v>
      </c>
      <c r="M651">
        <v>0.6</v>
      </c>
      <c r="N651">
        <v>6.2</v>
      </c>
      <c r="O651">
        <v>7.8</v>
      </c>
      <c r="P651">
        <v>5.7</v>
      </c>
      <c r="Q651" t="s">
        <v>42</v>
      </c>
      <c r="R651" t="s">
        <v>42</v>
      </c>
      <c r="S651">
        <v>6.3</v>
      </c>
      <c r="T651">
        <v>5.3</v>
      </c>
      <c r="U651">
        <v>0.5</v>
      </c>
      <c r="V651">
        <v>6.5</v>
      </c>
      <c r="W651">
        <v>3.7</v>
      </c>
      <c r="X651">
        <v>7.2</v>
      </c>
      <c r="Y651">
        <v>5.7</v>
      </c>
      <c r="Z651">
        <v>4.7</v>
      </c>
      <c r="AA651">
        <v>0.4</v>
      </c>
      <c r="AB651">
        <v>2.7</v>
      </c>
      <c r="AC651">
        <v>4.8</v>
      </c>
      <c r="AD651" t="s">
        <v>43</v>
      </c>
      <c r="AE651" t="str">
        <f>IF(AND(data[[#This Row],[Age]]&gt;=18,data[[#This Row],[Age]]&lt;=24),"18-24",IF(AND(data[[#This Row],[Age]]&gt;=25,data[[#This Row],[Age]]&lt;=34),"25-34",IF(AND(data[[#This Row],[Age]]&gt;35,data[[#This Row],[Age]]&lt;=44),"35-44",IF(data[[#This Row],[Age]]&gt;44,"45+",IF(data[[#This Row],[Age]]&lt;18,"below 18 ")))))</f>
        <v>25-34</v>
      </c>
    </row>
    <row r="652" spans="1:31" x14ac:dyDescent="0.25">
      <c r="A652" t="s">
        <v>705</v>
      </c>
      <c r="B652">
        <v>39</v>
      </c>
      <c r="C652" t="s">
        <v>31</v>
      </c>
      <c r="D652" t="s">
        <v>64</v>
      </c>
      <c r="E652" t="s">
        <v>58</v>
      </c>
      <c r="F652" t="s">
        <v>51</v>
      </c>
      <c r="G652">
        <v>6.6</v>
      </c>
      <c r="H652">
        <v>3</v>
      </c>
      <c r="I652">
        <v>3</v>
      </c>
      <c r="J652" t="s">
        <v>35</v>
      </c>
      <c r="K652" t="s">
        <v>36</v>
      </c>
      <c r="L652">
        <v>109</v>
      </c>
      <c r="M652">
        <v>6.9</v>
      </c>
      <c r="N652">
        <v>7.5</v>
      </c>
      <c r="O652">
        <v>1.4</v>
      </c>
      <c r="P652">
        <v>3.3</v>
      </c>
      <c r="Q652" t="s">
        <v>42</v>
      </c>
      <c r="R652" t="s">
        <v>35</v>
      </c>
      <c r="S652">
        <v>3.3</v>
      </c>
      <c r="T652">
        <v>5.7</v>
      </c>
      <c r="U652">
        <v>6.7</v>
      </c>
      <c r="V652">
        <v>7.7</v>
      </c>
      <c r="X652">
        <v>7.3</v>
      </c>
      <c r="Y652">
        <v>7.6</v>
      </c>
      <c r="Z652">
        <v>6.1</v>
      </c>
      <c r="AA652">
        <v>2.6</v>
      </c>
      <c r="AB652">
        <v>4.5999999999999996</v>
      </c>
      <c r="AC652">
        <v>5.8</v>
      </c>
      <c r="AD652" t="s">
        <v>45</v>
      </c>
      <c r="AE652" t="str">
        <f>IF(AND(data[[#This Row],[Age]]&gt;=18,data[[#This Row],[Age]]&lt;=24),"18-24",IF(AND(data[[#This Row],[Age]]&gt;=25,data[[#This Row],[Age]]&lt;=34),"25-34",IF(AND(data[[#This Row],[Age]]&gt;35,data[[#This Row],[Age]]&lt;=44),"35-44",IF(data[[#This Row],[Age]]&gt;44,"45+",IF(data[[#This Row],[Age]]&lt;18,"below 18 ")))))</f>
        <v>35-44</v>
      </c>
    </row>
    <row r="653" spans="1:31" x14ac:dyDescent="0.25">
      <c r="A653" t="s">
        <v>706</v>
      </c>
      <c r="B653">
        <v>20</v>
      </c>
      <c r="C653" t="s">
        <v>50</v>
      </c>
      <c r="D653" t="s">
        <v>32</v>
      </c>
      <c r="E653" t="s">
        <v>40</v>
      </c>
      <c r="F653" t="s">
        <v>34</v>
      </c>
      <c r="G653">
        <v>6.6</v>
      </c>
      <c r="H653">
        <v>4</v>
      </c>
      <c r="I653">
        <v>6</v>
      </c>
      <c r="J653" t="s">
        <v>42</v>
      </c>
      <c r="K653" t="s">
        <v>52</v>
      </c>
      <c r="L653">
        <v>79</v>
      </c>
      <c r="M653">
        <v>5</v>
      </c>
      <c r="N653">
        <v>6.2</v>
      </c>
      <c r="O653">
        <v>10</v>
      </c>
      <c r="P653">
        <v>5.4</v>
      </c>
      <c r="Q653" t="s">
        <v>42</v>
      </c>
      <c r="R653" t="s">
        <v>35</v>
      </c>
      <c r="S653">
        <v>3.5</v>
      </c>
      <c r="T653">
        <v>0</v>
      </c>
      <c r="U653">
        <v>3.1</v>
      </c>
      <c r="V653">
        <v>6.2</v>
      </c>
      <c r="W653">
        <v>7.1</v>
      </c>
      <c r="X653">
        <v>8.1</v>
      </c>
      <c r="Y653">
        <v>4</v>
      </c>
      <c r="Z653">
        <v>4.2</v>
      </c>
      <c r="AA653">
        <v>2.2999999999999998</v>
      </c>
      <c r="AB653">
        <v>5.0999999999999996</v>
      </c>
      <c r="AC653">
        <v>6.5</v>
      </c>
      <c r="AD653" t="s">
        <v>53</v>
      </c>
      <c r="AE653" t="str">
        <f>IF(AND(data[[#This Row],[Age]]&gt;=18,data[[#This Row],[Age]]&lt;=24),"18-24",IF(AND(data[[#This Row],[Age]]&gt;=25,data[[#This Row],[Age]]&lt;=34),"25-34",IF(AND(data[[#This Row],[Age]]&gt;35,data[[#This Row],[Age]]&lt;=44),"35-44",IF(data[[#This Row],[Age]]&gt;44,"45+",IF(data[[#This Row],[Age]]&lt;18,"below 18 ")))))</f>
        <v>18-24</v>
      </c>
    </row>
    <row r="654" spans="1:31" x14ac:dyDescent="0.25">
      <c r="A654" t="s">
        <v>707</v>
      </c>
      <c r="B654">
        <v>40</v>
      </c>
      <c r="D654" t="s">
        <v>57</v>
      </c>
      <c r="E654" t="s">
        <v>33</v>
      </c>
      <c r="F654" t="s">
        <v>34</v>
      </c>
      <c r="G654">
        <v>4.8</v>
      </c>
      <c r="H654">
        <v>4</v>
      </c>
      <c r="I654">
        <v>7</v>
      </c>
      <c r="J654" t="s">
        <v>42</v>
      </c>
      <c r="K654" t="s">
        <v>36</v>
      </c>
      <c r="L654">
        <v>60</v>
      </c>
      <c r="M654">
        <v>7.4</v>
      </c>
      <c r="N654">
        <v>5.0999999999999996</v>
      </c>
      <c r="O654">
        <v>3.9</v>
      </c>
      <c r="P654">
        <v>0.5</v>
      </c>
      <c r="Q654" t="s">
        <v>42</v>
      </c>
      <c r="R654" t="s">
        <v>35</v>
      </c>
      <c r="S654">
        <v>3.7</v>
      </c>
      <c r="T654">
        <v>4</v>
      </c>
      <c r="U654">
        <v>5.0999999999999996</v>
      </c>
      <c r="V654">
        <v>6.7</v>
      </c>
      <c r="W654">
        <v>4.5999999999999996</v>
      </c>
      <c r="X654">
        <v>7.3</v>
      </c>
      <c r="Y654">
        <v>6.1</v>
      </c>
      <c r="Z654">
        <v>7.6</v>
      </c>
      <c r="AA654">
        <v>2.4</v>
      </c>
      <c r="AB654">
        <v>1.5</v>
      </c>
      <c r="AC654">
        <v>7.2</v>
      </c>
      <c r="AD654" t="s">
        <v>37</v>
      </c>
      <c r="AE654" t="str">
        <f>IF(AND(data[[#This Row],[Age]]&gt;=18,data[[#This Row],[Age]]&lt;=24),"18-24",IF(AND(data[[#This Row],[Age]]&gt;=25,data[[#This Row],[Age]]&lt;=34),"25-34",IF(AND(data[[#This Row],[Age]]&gt;35,data[[#This Row],[Age]]&lt;=44),"35-44",IF(data[[#This Row],[Age]]&gt;44,"45+",IF(data[[#This Row],[Age]]&lt;18,"below 18 ")))))</f>
        <v>35-44</v>
      </c>
    </row>
    <row r="655" spans="1:31" x14ac:dyDescent="0.25">
      <c r="A655" t="s">
        <v>708</v>
      </c>
      <c r="B655">
        <v>19</v>
      </c>
      <c r="C655" t="s">
        <v>50</v>
      </c>
      <c r="D655" t="s">
        <v>39</v>
      </c>
      <c r="E655" t="s">
        <v>33</v>
      </c>
      <c r="F655" t="s">
        <v>59</v>
      </c>
      <c r="G655">
        <v>5.3</v>
      </c>
      <c r="H655">
        <v>4</v>
      </c>
      <c r="I655">
        <v>2</v>
      </c>
      <c r="J655" t="s">
        <v>42</v>
      </c>
      <c r="K655" t="s">
        <v>36</v>
      </c>
      <c r="L655">
        <v>78</v>
      </c>
      <c r="M655">
        <v>3.6</v>
      </c>
      <c r="N655">
        <v>5.9</v>
      </c>
      <c r="O655">
        <v>3.9</v>
      </c>
      <c r="P655">
        <v>9.4</v>
      </c>
      <c r="Q655" t="s">
        <v>42</v>
      </c>
      <c r="R655" t="s">
        <v>42</v>
      </c>
      <c r="S655">
        <v>4.0999999999999996</v>
      </c>
      <c r="T655">
        <v>7.9</v>
      </c>
      <c r="U655">
        <v>7.7</v>
      </c>
      <c r="V655">
        <v>4.5999999999999996</v>
      </c>
      <c r="W655">
        <v>5.3</v>
      </c>
      <c r="X655">
        <v>7.2</v>
      </c>
      <c r="Y655">
        <v>3.8</v>
      </c>
      <c r="Z655">
        <v>6.7</v>
      </c>
      <c r="AA655">
        <v>0</v>
      </c>
      <c r="AB655">
        <v>0.3</v>
      </c>
      <c r="AC655">
        <v>4.9000000000000004</v>
      </c>
      <c r="AD655" t="s">
        <v>43</v>
      </c>
      <c r="AE655" t="str">
        <f>IF(AND(data[[#This Row],[Age]]&gt;=18,data[[#This Row],[Age]]&lt;=24),"18-24",IF(AND(data[[#This Row],[Age]]&gt;=25,data[[#This Row],[Age]]&lt;=34),"25-34",IF(AND(data[[#This Row],[Age]]&gt;35,data[[#This Row],[Age]]&lt;=44),"35-44",IF(data[[#This Row],[Age]]&gt;44,"45+",IF(data[[#This Row],[Age]]&lt;18,"below 18 ")))))</f>
        <v>18-24</v>
      </c>
    </row>
    <row r="656" spans="1:31" x14ac:dyDescent="0.25">
      <c r="A656" t="s">
        <v>709</v>
      </c>
      <c r="B656">
        <v>44</v>
      </c>
      <c r="C656" t="s">
        <v>47</v>
      </c>
      <c r="D656" t="s">
        <v>64</v>
      </c>
      <c r="E656" t="s">
        <v>58</v>
      </c>
      <c r="F656" t="s">
        <v>34</v>
      </c>
      <c r="G656">
        <v>0.8</v>
      </c>
      <c r="H656">
        <v>3</v>
      </c>
      <c r="I656">
        <v>3</v>
      </c>
      <c r="J656" t="s">
        <v>42</v>
      </c>
      <c r="K656" t="s">
        <v>52</v>
      </c>
      <c r="L656">
        <v>102</v>
      </c>
      <c r="M656">
        <v>3.5</v>
      </c>
      <c r="N656">
        <v>5.5</v>
      </c>
      <c r="O656">
        <v>6.8</v>
      </c>
      <c r="P656">
        <v>7.7</v>
      </c>
      <c r="Q656" t="s">
        <v>42</v>
      </c>
      <c r="R656" t="s">
        <v>42</v>
      </c>
      <c r="S656">
        <v>4.8</v>
      </c>
      <c r="T656">
        <v>5.3</v>
      </c>
      <c r="U656">
        <v>3.4</v>
      </c>
      <c r="V656">
        <v>1.3</v>
      </c>
      <c r="W656">
        <v>5.6</v>
      </c>
      <c r="X656">
        <v>5.3</v>
      </c>
      <c r="Y656">
        <v>7.3</v>
      </c>
      <c r="Z656">
        <v>8.8000000000000007</v>
      </c>
      <c r="AA656">
        <v>4.4000000000000004</v>
      </c>
      <c r="AC656">
        <v>6.7</v>
      </c>
      <c r="AD656" t="s">
        <v>53</v>
      </c>
      <c r="AE656" t="str">
        <f>IF(AND(data[[#This Row],[Age]]&gt;=18,data[[#This Row],[Age]]&lt;=24),"18-24",IF(AND(data[[#This Row],[Age]]&gt;=25,data[[#This Row],[Age]]&lt;=34),"25-34",IF(AND(data[[#This Row],[Age]]&gt;35,data[[#This Row],[Age]]&lt;=44),"35-44",IF(data[[#This Row],[Age]]&gt;44,"45+",IF(data[[#This Row],[Age]]&lt;18,"below 18 ")))))</f>
        <v>35-44</v>
      </c>
    </row>
    <row r="657" spans="1:31" x14ac:dyDescent="0.25">
      <c r="A657" t="s">
        <v>710</v>
      </c>
      <c r="B657">
        <v>37</v>
      </c>
      <c r="C657" t="s">
        <v>47</v>
      </c>
      <c r="D657" t="s">
        <v>39</v>
      </c>
      <c r="E657" t="s">
        <v>58</v>
      </c>
      <c r="F657" t="s">
        <v>59</v>
      </c>
      <c r="G657">
        <v>6.1</v>
      </c>
      <c r="H657">
        <v>5</v>
      </c>
      <c r="I657">
        <v>1</v>
      </c>
      <c r="J657" t="s">
        <v>35</v>
      </c>
      <c r="K657" t="s">
        <v>62</v>
      </c>
      <c r="L657">
        <v>5</v>
      </c>
      <c r="M657">
        <v>0.8</v>
      </c>
      <c r="N657">
        <v>9.1999999999999993</v>
      </c>
      <c r="O657">
        <v>3.9</v>
      </c>
      <c r="P657">
        <v>1</v>
      </c>
      <c r="Q657" t="s">
        <v>42</v>
      </c>
      <c r="R657" t="s">
        <v>35</v>
      </c>
      <c r="S657">
        <v>5.8</v>
      </c>
      <c r="T657">
        <v>7.2</v>
      </c>
      <c r="U657">
        <v>4.5999999999999996</v>
      </c>
      <c r="V657">
        <v>5.0999999999999996</v>
      </c>
      <c r="W657">
        <v>4.7</v>
      </c>
      <c r="X657">
        <v>8.8000000000000007</v>
      </c>
      <c r="Y657">
        <v>5.8</v>
      </c>
      <c r="Z657">
        <v>5.3</v>
      </c>
      <c r="AA657">
        <v>3.4</v>
      </c>
      <c r="AB657">
        <v>1.3</v>
      </c>
      <c r="AC657">
        <v>9.1</v>
      </c>
      <c r="AD657" t="s">
        <v>37</v>
      </c>
      <c r="AE657" t="str">
        <f>IF(AND(data[[#This Row],[Age]]&gt;=18,data[[#This Row],[Age]]&lt;=24),"18-24",IF(AND(data[[#This Row],[Age]]&gt;=25,data[[#This Row],[Age]]&lt;=34),"25-34",IF(AND(data[[#This Row],[Age]]&gt;35,data[[#This Row],[Age]]&lt;=44),"35-44",IF(data[[#This Row],[Age]]&gt;44,"45+",IF(data[[#This Row],[Age]]&lt;18,"below 18 ")))))</f>
        <v>35-44</v>
      </c>
    </row>
    <row r="658" spans="1:31" x14ac:dyDescent="0.25">
      <c r="A658" t="s">
        <v>711</v>
      </c>
      <c r="B658">
        <v>15</v>
      </c>
      <c r="C658" t="s">
        <v>47</v>
      </c>
      <c r="D658" t="s">
        <v>64</v>
      </c>
      <c r="E658" t="s">
        <v>33</v>
      </c>
      <c r="F658" t="s">
        <v>41</v>
      </c>
      <c r="G658">
        <v>5.8</v>
      </c>
      <c r="H658">
        <v>7</v>
      </c>
      <c r="I658">
        <v>3</v>
      </c>
      <c r="J658" t="s">
        <v>42</v>
      </c>
      <c r="K658" t="s">
        <v>36</v>
      </c>
      <c r="L658">
        <v>64</v>
      </c>
      <c r="M658">
        <v>5.6</v>
      </c>
      <c r="N658">
        <v>5</v>
      </c>
      <c r="O658">
        <v>8.6</v>
      </c>
      <c r="P658">
        <v>6.1</v>
      </c>
      <c r="Q658" t="s">
        <v>35</v>
      </c>
      <c r="R658" t="s">
        <v>35</v>
      </c>
      <c r="S658">
        <v>0.5</v>
      </c>
      <c r="T658">
        <v>2.2999999999999998</v>
      </c>
      <c r="U658">
        <v>7.8</v>
      </c>
      <c r="V658">
        <v>1</v>
      </c>
      <c r="W658">
        <v>7.1</v>
      </c>
      <c r="X658">
        <v>8.6</v>
      </c>
      <c r="Y658">
        <v>5.6</v>
      </c>
      <c r="Z658">
        <v>9.5</v>
      </c>
      <c r="AA658">
        <v>3.6</v>
      </c>
      <c r="AB658">
        <v>0.7</v>
      </c>
      <c r="AC658">
        <v>4.5</v>
      </c>
      <c r="AD658" t="s">
        <v>43</v>
      </c>
      <c r="AE658" t="str">
        <f>IF(AND(data[[#This Row],[Age]]&gt;=18,data[[#This Row],[Age]]&lt;=24),"18-24",IF(AND(data[[#This Row],[Age]]&gt;=25,data[[#This Row],[Age]]&lt;=34),"25-34",IF(AND(data[[#This Row],[Age]]&gt;35,data[[#This Row],[Age]]&lt;=44),"35-44",IF(data[[#This Row],[Age]]&gt;44,"45+",IF(data[[#This Row],[Age]]&lt;18,"below 18 ")))))</f>
        <v xml:space="preserve">below 18 </v>
      </c>
    </row>
    <row r="659" spans="1:31" x14ac:dyDescent="0.25">
      <c r="A659" t="s">
        <v>712</v>
      </c>
      <c r="B659">
        <v>37</v>
      </c>
      <c r="C659" t="s">
        <v>50</v>
      </c>
      <c r="D659" t="s">
        <v>39</v>
      </c>
      <c r="E659" t="s">
        <v>33</v>
      </c>
      <c r="F659" t="s">
        <v>51</v>
      </c>
      <c r="G659">
        <v>5</v>
      </c>
      <c r="H659">
        <v>2</v>
      </c>
      <c r="I659">
        <v>6</v>
      </c>
      <c r="J659" t="s">
        <v>35</v>
      </c>
      <c r="K659" t="s">
        <v>36</v>
      </c>
      <c r="L659">
        <v>50</v>
      </c>
      <c r="M659">
        <v>5</v>
      </c>
      <c r="N659">
        <v>7.6</v>
      </c>
      <c r="O659">
        <v>3.2</v>
      </c>
      <c r="P659">
        <v>10</v>
      </c>
      <c r="Q659" t="s">
        <v>35</v>
      </c>
      <c r="R659" t="s">
        <v>35</v>
      </c>
      <c r="S659">
        <v>7.5</v>
      </c>
      <c r="T659">
        <v>5.8</v>
      </c>
      <c r="U659">
        <v>4.5999999999999996</v>
      </c>
      <c r="V659">
        <v>6.3</v>
      </c>
      <c r="W659">
        <v>6.7</v>
      </c>
      <c r="X659">
        <v>6.2</v>
      </c>
      <c r="Y659">
        <v>0.1</v>
      </c>
      <c r="Z659">
        <v>3.1</v>
      </c>
      <c r="AA659">
        <v>1.1000000000000001</v>
      </c>
      <c r="AB659">
        <v>3</v>
      </c>
      <c r="AC659">
        <v>5.0999999999999996</v>
      </c>
      <c r="AD659" t="s">
        <v>45</v>
      </c>
      <c r="AE659" t="str">
        <f>IF(AND(data[[#This Row],[Age]]&gt;=18,data[[#This Row],[Age]]&lt;=24),"18-24",IF(AND(data[[#This Row],[Age]]&gt;=25,data[[#This Row],[Age]]&lt;=34),"25-34",IF(AND(data[[#This Row],[Age]]&gt;35,data[[#This Row],[Age]]&lt;=44),"35-44",IF(data[[#This Row],[Age]]&gt;44,"45+",IF(data[[#This Row],[Age]]&lt;18,"below 18 ")))))</f>
        <v>35-44</v>
      </c>
    </row>
    <row r="660" spans="1:31" x14ac:dyDescent="0.25">
      <c r="A660" t="s">
        <v>713</v>
      </c>
      <c r="B660">
        <v>17</v>
      </c>
      <c r="C660" t="s">
        <v>31</v>
      </c>
      <c r="D660" t="s">
        <v>32</v>
      </c>
      <c r="E660" t="s">
        <v>40</v>
      </c>
      <c r="F660" t="s">
        <v>48</v>
      </c>
      <c r="G660">
        <v>5</v>
      </c>
      <c r="H660">
        <v>5</v>
      </c>
      <c r="I660">
        <v>4</v>
      </c>
      <c r="J660" t="s">
        <v>42</v>
      </c>
      <c r="K660" t="s">
        <v>62</v>
      </c>
      <c r="L660">
        <v>113</v>
      </c>
      <c r="M660">
        <v>4.5999999999999996</v>
      </c>
      <c r="N660">
        <v>3.7</v>
      </c>
      <c r="P660">
        <v>7.6</v>
      </c>
      <c r="Q660" t="s">
        <v>35</v>
      </c>
      <c r="R660" t="s">
        <v>42</v>
      </c>
      <c r="S660">
        <v>6.6</v>
      </c>
      <c r="T660">
        <v>5.9</v>
      </c>
      <c r="U660">
        <v>6.5</v>
      </c>
      <c r="V660">
        <v>9.6</v>
      </c>
      <c r="W660">
        <v>6.3</v>
      </c>
      <c r="X660">
        <v>6.5</v>
      </c>
      <c r="Y660">
        <v>7.4</v>
      </c>
      <c r="Z660">
        <v>8.1999999999999993</v>
      </c>
      <c r="AA660">
        <v>2.7</v>
      </c>
      <c r="AB660">
        <v>3.9</v>
      </c>
      <c r="AC660">
        <v>7</v>
      </c>
      <c r="AD660" t="s">
        <v>53</v>
      </c>
      <c r="AE660" t="str">
        <f>IF(AND(data[[#This Row],[Age]]&gt;=18,data[[#This Row],[Age]]&lt;=24),"18-24",IF(AND(data[[#This Row],[Age]]&gt;=25,data[[#This Row],[Age]]&lt;=34),"25-34",IF(AND(data[[#This Row],[Age]]&gt;35,data[[#This Row],[Age]]&lt;=44),"35-44",IF(data[[#This Row],[Age]]&gt;44,"45+",IF(data[[#This Row],[Age]]&lt;18,"below 18 ")))))</f>
        <v xml:space="preserve">below 18 </v>
      </c>
    </row>
    <row r="661" spans="1:31" x14ac:dyDescent="0.25">
      <c r="A661" t="s">
        <v>714</v>
      </c>
      <c r="B661">
        <v>25</v>
      </c>
      <c r="C661" t="s">
        <v>50</v>
      </c>
      <c r="D661" t="s">
        <v>64</v>
      </c>
      <c r="E661" t="s">
        <v>33</v>
      </c>
      <c r="F661" t="s">
        <v>41</v>
      </c>
      <c r="G661">
        <v>2.2000000000000002</v>
      </c>
      <c r="H661">
        <v>4</v>
      </c>
      <c r="I661">
        <v>2</v>
      </c>
      <c r="J661" t="s">
        <v>42</v>
      </c>
      <c r="K661" t="s">
        <v>62</v>
      </c>
      <c r="L661">
        <v>52</v>
      </c>
      <c r="M661">
        <v>2.2999999999999998</v>
      </c>
      <c r="N661">
        <v>6</v>
      </c>
      <c r="O661">
        <v>6.5</v>
      </c>
      <c r="P661">
        <v>4.5</v>
      </c>
      <c r="Q661" t="s">
        <v>35</v>
      </c>
      <c r="R661" t="s">
        <v>35</v>
      </c>
      <c r="S661">
        <v>6</v>
      </c>
      <c r="T661">
        <v>7.8</v>
      </c>
      <c r="U661">
        <v>5.5</v>
      </c>
      <c r="V661">
        <v>2.2999999999999998</v>
      </c>
      <c r="W661">
        <v>1.9</v>
      </c>
      <c r="X661">
        <v>7.2</v>
      </c>
      <c r="Y661">
        <v>3</v>
      </c>
      <c r="Z661">
        <v>3</v>
      </c>
      <c r="AA661">
        <v>2</v>
      </c>
      <c r="AB661">
        <v>4</v>
      </c>
      <c r="AC661">
        <v>7</v>
      </c>
      <c r="AD661" t="s">
        <v>53</v>
      </c>
      <c r="AE661" t="str">
        <f>IF(AND(data[[#This Row],[Age]]&gt;=18,data[[#This Row],[Age]]&lt;=24),"18-24",IF(AND(data[[#This Row],[Age]]&gt;=25,data[[#This Row],[Age]]&lt;=34),"25-34",IF(AND(data[[#This Row],[Age]]&gt;35,data[[#This Row],[Age]]&lt;=44),"35-44",IF(data[[#This Row],[Age]]&gt;44,"45+",IF(data[[#This Row],[Age]]&lt;18,"below 18 ")))))</f>
        <v>25-34</v>
      </c>
    </row>
    <row r="662" spans="1:31" x14ac:dyDescent="0.25">
      <c r="A662" t="s">
        <v>715</v>
      </c>
      <c r="B662">
        <v>28</v>
      </c>
      <c r="C662" t="s">
        <v>31</v>
      </c>
      <c r="D662" t="s">
        <v>32</v>
      </c>
      <c r="E662" t="s">
        <v>33</v>
      </c>
      <c r="F662" t="s">
        <v>51</v>
      </c>
      <c r="G662">
        <v>3.5</v>
      </c>
      <c r="H662">
        <v>4</v>
      </c>
      <c r="I662">
        <v>5</v>
      </c>
      <c r="J662" t="s">
        <v>35</v>
      </c>
      <c r="K662" t="s">
        <v>36</v>
      </c>
      <c r="L662">
        <v>80</v>
      </c>
      <c r="M662">
        <v>7.7</v>
      </c>
      <c r="N662">
        <v>4.4000000000000004</v>
      </c>
      <c r="O662">
        <v>7.5</v>
      </c>
      <c r="P662">
        <v>5.5</v>
      </c>
      <c r="Q662" t="s">
        <v>42</v>
      </c>
      <c r="R662" t="s">
        <v>42</v>
      </c>
      <c r="S662">
        <v>6.3</v>
      </c>
      <c r="T662">
        <v>2.2000000000000002</v>
      </c>
      <c r="U662">
        <v>6</v>
      </c>
      <c r="V662">
        <v>7.4</v>
      </c>
      <c r="W662">
        <v>6.2</v>
      </c>
      <c r="Y662">
        <v>4</v>
      </c>
      <c r="Z662">
        <v>5.3</v>
      </c>
      <c r="AA662">
        <v>4.2</v>
      </c>
      <c r="AB662">
        <v>2.6</v>
      </c>
      <c r="AC662">
        <v>4.9000000000000004</v>
      </c>
      <c r="AD662" t="s">
        <v>43</v>
      </c>
      <c r="AE662" t="str">
        <f>IF(AND(data[[#This Row],[Age]]&gt;=18,data[[#This Row],[Age]]&lt;=24),"18-24",IF(AND(data[[#This Row],[Age]]&gt;=25,data[[#This Row],[Age]]&lt;=34),"25-34",IF(AND(data[[#This Row],[Age]]&gt;35,data[[#This Row],[Age]]&lt;=44),"35-44",IF(data[[#This Row],[Age]]&gt;44,"45+",IF(data[[#This Row],[Age]]&lt;18,"below 18 ")))))</f>
        <v>25-34</v>
      </c>
    </row>
    <row r="663" spans="1:31" x14ac:dyDescent="0.25">
      <c r="A663" t="s">
        <v>716</v>
      </c>
      <c r="B663">
        <v>18</v>
      </c>
      <c r="C663" t="s">
        <v>31</v>
      </c>
      <c r="D663" t="s">
        <v>32</v>
      </c>
      <c r="E663" t="s">
        <v>58</v>
      </c>
      <c r="F663" t="s">
        <v>34</v>
      </c>
      <c r="G663">
        <v>1.1000000000000001</v>
      </c>
      <c r="H663">
        <v>5</v>
      </c>
      <c r="I663">
        <v>6</v>
      </c>
      <c r="J663" t="s">
        <v>42</v>
      </c>
      <c r="K663" t="s">
        <v>52</v>
      </c>
      <c r="L663">
        <v>41</v>
      </c>
      <c r="M663">
        <v>3.9</v>
      </c>
      <c r="N663">
        <v>3</v>
      </c>
      <c r="O663">
        <v>3.7</v>
      </c>
      <c r="P663">
        <v>3</v>
      </c>
      <c r="Q663" t="s">
        <v>42</v>
      </c>
      <c r="R663" t="s">
        <v>35</v>
      </c>
      <c r="S663">
        <v>7.5</v>
      </c>
      <c r="T663">
        <v>4.3</v>
      </c>
      <c r="U663">
        <v>1.9</v>
      </c>
      <c r="V663">
        <v>6.9</v>
      </c>
      <c r="W663">
        <v>1.4</v>
      </c>
      <c r="X663">
        <v>4.7</v>
      </c>
      <c r="Y663">
        <v>5.4</v>
      </c>
      <c r="Z663">
        <v>6.3</v>
      </c>
      <c r="AA663">
        <v>0.9</v>
      </c>
      <c r="AB663">
        <v>3.2</v>
      </c>
      <c r="AC663">
        <v>8</v>
      </c>
      <c r="AD663" t="s">
        <v>37</v>
      </c>
      <c r="AE663" t="str">
        <f>IF(AND(data[[#This Row],[Age]]&gt;=18,data[[#This Row],[Age]]&lt;=24),"18-24",IF(AND(data[[#This Row],[Age]]&gt;=25,data[[#This Row],[Age]]&lt;=34),"25-34",IF(AND(data[[#This Row],[Age]]&gt;35,data[[#This Row],[Age]]&lt;=44),"35-44",IF(data[[#This Row],[Age]]&gt;44,"45+",IF(data[[#This Row],[Age]]&lt;18,"below 18 ")))))</f>
        <v>18-24</v>
      </c>
    </row>
    <row r="664" spans="1:31" x14ac:dyDescent="0.25">
      <c r="A664" t="s">
        <v>717</v>
      </c>
      <c r="B664">
        <v>16</v>
      </c>
      <c r="C664" t="s">
        <v>50</v>
      </c>
      <c r="D664" t="s">
        <v>39</v>
      </c>
      <c r="E664" t="s">
        <v>40</v>
      </c>
      <c r="F664" t="s">
        <v>34</v>
      </c>
      <c r="G664">
        <v>3.5</v>
      </c>
      <c r="H664">
        <v>4</v>
      </c>
      <c r="I664">
        <v>2</v>
      </c>
      <c r="J664" t="s">
        <v>35</v>
      </c>
      <c r="K664" t="s">
        <v>52</v>
      </c>
      <c r="L664">
        <v>35</v>
      </c>
      <c r="M664">
        <v>8.5</v>
      </c>
      <c r="N664">
        <v>7.9</v>
      </c>
      <c r="O664">
        <v>4.2</v>
      </c>
      <c r="P664">
        <v>6.5</v>
      </c>
      <c r="Q664" t="s">
        <v>35</v>
      </c>
      <c r="R664" t="s">
        <v>42</v>
      </c>
      <c r="S664">
        <v>7</v>
      </c>
      <c r="T664">
        <v>2.6</v>
      </c>
      <c r="U664">
        <v>3.8</v>
      </c>
      <c r="V664">
        <v>6.2</v>
      </c>
      <c r="W664">
        <v>6</v>
      </c>
      <c r="X664">
        <v>7.7</v>
      </c>
      <c r="Y664">
        <v>8.4</v>
      </c>
      <c r="Z664">
        <v>7.7</v>
      </c>
      <c r="AA664">
        <v>1.5</v>
      </c>
      <c r="AB664">
        <v>4.5999999999999996</v>
      </c>
      <c r="AC664">
        <v>5.8</v>
      </c>
      <c r="AD664" t="s">
        <v>45</v>
      </c>
      <c r="AE664" t="str">
        <f>IF(AND(data[[#This Row],[Age]]&gt;=18,data[[#This Row],[Age]]&lt;=24),"18-24",IF(AND(data[[#This Row],[Age]]&gt;=25,data[[#This Row],[Age]]&lt;=34),"25-34",IF(AND(data[[#This Row],[Age]]&gt;35,data[[#This Row],[Age]]&lt;=44),"35-44",IF(data[[#This Row],[Age]]&gt;44,"45+",IF(data[[#This Row],[Age]]&lt;18,"below 18 ")))))</f>
        <v xml:space="preserve">below 18 </v>
      </c>
    </row>
    <row r="665" spans="1:31" x14ac:dyDescent="0.25">
      <c r="A665" t="s">
        <v>718</v>
      </c>
      <c r="B665">
        <v>21</v>
      </c>
      <c r="C665" t="s">
        <v>31</v>
      </c>
      <c r="D665" t="s">
        <v>32</v>
      </c>
      <c r="E665" t="s">
        <v>58</v>
      </c>
      <c r="F665" t="s">
        <v>59</v>
      </c>
      <c r="G665">
        <v>3.9</v>
      </c>
      <c r="H665">
        <v>1</v>
      </c>
      <c r="I665">
        <v>3</v>
      </c>
      <c r="J665" t="s">
        <v>35</v>
      </c>
      <c r="K665" t="s">
        <v>62</v>
      </c>
      <c r="L665">
        <v>59</v>
      </c>
      <c r="M665">
        <v>4</v>
      </c>
      <c r="N665">
        <v>5.4</v>
      </c>
      <c r="O665">
        <v>5.8</v>
      </c>
      <c r="P665">
        <v>3</v>
      </c>
      <c r="Q665" t="s">
        <v>42</v>
      </c>
      <c r="R665" t="s">
        <v>35</v>
      </c>
      <c r="S665">
        <v>3.2</v>
      </c>
      <c r="T665">
        <v>0.7</v>
      </c>
      <c r="U665">
        <v>1.1000000000000001</v>
      </c>
      <c r="V665">
        <v>2.6</v>
      </c>
      <c r="W665">
        <v>6.5</v>
      </c>
      <c r="X665">
        <v>8.1999999999999993</v>
      </c>
      <c r="Y665">
        <v>2.5</v>
      </c>
      <c r="Z665">
        <v>4.9000000000000004</v>
      </c>
      <c r="AA665">
        <v>2.8</v>
      </c>
      <c r="AB665">
        <v>4.3</v>
      </c>
      <c r="AC665">
        <v>9.3000000000000007</v>
      </c>
      <c r="AD665" t="s">
        <v>37</v>
      </c>
      <c r="AE665" t="str">
        <f>IF(AND(data[[#This Row],[Age]]&gt;=18,data[[#This Row],[Age]]&lt;=24),"18-24",IF(AND(data[[#This Row],[Age]]&gt;=25,data[[#This Row],[Age]]&lt;=34),"25-34",IF(AND(data[[#This Row],[Age]]&gt;35,data[[#This Row],[Age]]&lt;=44),"35-44",IF(data[[#This Row],[Age]]&gt;44,"45+",IF(data[[#This Row],[Age]]&lt;18,"below 18 ")))))</f>
        <v>18-24</v>
      </c>
    </row>
    <row r="666" spans="1:31" x14ac:dyDescent="0.25">
      <c r="A666" t="s">
        <v>719</v>
      </c>
      <c r="B666">
        <v>22</v>
      </c>
      <c r="C666" t="s">
        <v>47</v>
      </c>
      <c r="D666" t="s">
        <v>32</v>
      </c>
      <c r="E666" t="s">
        <v>33</v>
      </c>
      <c r="F666" t="s">
        <v>70</v>
      </c>
      <c r="G666">
        <v>3.1</v>
      </c>
      <c r="H666">
        <v>8</v>
      </c>
      <c r="I666">
        <v>4</v>
      </c>
      <c r="J666" t="s">
        <v>35</v>
      </c>
      <c r="K666" t="s">
        <v>62</v>
      </c>
      <c r="L666">
        <v>5</v>
      </c>
      <c r="M666">
        <v>8.1999999999999993</v>
      </c>
      <c r="N666">
        <v>5.0999999999999996</v>
      </c>
      <c r="O666">
        <v>6</v>
      </c>
      <c r="P666">
        <v>10</v>
      </c>
      <c r="Q666" t="s">
        <v>35</v>
      </c>
      <c r="R666" t="s">
        <v>42</v>
      </c>
      <c r="S666">
        <v>6.7</v>
      </c>
      <c r="T666">
        <v>4.4000000000000004</v>
      </c>
      <c r="U666">
        <v>2.2000000000000002</v>
      </c>
      <c r="V666">
        <v>7.7</v>
      </c>
      <c r="W666">
        <v>7.2</v>
      </c>
      <c r="X666">
        <v>4.9000000000000004</v>
      </c>
      <c r="Y666">
        <v>8.3000000000000007</v>
      </c>
      <c r="Z666">
        <v>2.5</v>
      </c>
      <c r="AA666">
        <v>3.4</v>
      </c>
      <c r="AB666">
        <v>3.7</v>
      </c>
      <c r="AC666">
        <v>6.1</v>
      </c>
      <c r="AD666" t="s">
        <v>45</v>
      </c>
      <c r="AE666" t="str">
        <f>IF(AND(data[[#This Row],[Age]]&gt;=18,data[[#This Row],[Age]]&lt;=24),"18-24",IF(AND(data[[#This Row],[Age]]&gt;=25,data[[#This Row],[Age]]&lt;=34),"25-34",IF(AND(data[[#This Row],[Age]]&gt;35,data[[#This Row],[Age]]&lt;=44),"35-44",IF(data[[#This Row],[Age]]&gt;44,"45+",IF(data[[#This Row],[Age]]&lt;18,"below 18 ")))))</f>
        <v>18-24</v>
      </c>
    </row>
    <row r="667" spans="1:31" x14ac:dyDescent="0.25">
      <c r="A667" t="s">
        <v>720</v>
      </c>
      <c r="B667">
        <v>31</v>
      </c>
      <c r="C667" t="s">
        <v>47</v>
      </c>
      <c r="D667" t="s">
        <v>39</v>
      </c>
      <c r="E667" t="s">
        <v>33</v>
      </c>
      <c r="F667" t="s">
        <v>51</v>
      </c>
      <c r="G667">
        <v>7</v>
      </c>
      <c r="H667">
        <v>3</v>
      </c>
      <c r="I667">
        <v>4</v>
      </c>
      <c r="J667" t="s">
        <v>42</v>
      </c>
      <c r="K667" t="s">
        <v>36</v>
      </c>
      <c r="L667">
        <v>44</v>
      </c>
      <c r="M667">
        <v>4.0999999999999996</v>
      </c>
      <c r="N667">
        <v>9.1999999999999993</v>
      </c>
      <c r="O667">
        <v>4</v>
      </c>
      <c r="P667">
        <v>2.9</v>
      </c>
      <c r="Q667" t="s">
        <v>42</v>
      </c>
      <c r="R667" t="s">
        <v>35</v>
      </c>
      <c r="S667">
        <v>0.2</v>
      </c>
      <c r="T667">
        <v>7.9</v>
      </c>
      <c r="U667">
        <v>3.7</v>
      </c>
      <c r="V667">
        <v>3.5</v>
      </c>
      <c r="W667">
        <v>5.8</v>
      </c>
      <c r="X667">
        <v>6.8</v>
      </c>
      <c r="Y667">
        <v>5.2</v>
      </c>
      <c r="Z667">
        <v>8.5</v>
      </c>
      <c r="AA667">
        <v>3.7</v>
      </c>
      <c r="AC667">
        <v>6</v>
      </c>
      <c r="AD667" t="s">
        <v>53</v>
      </c>
      <c r="AE667" t="str">
        <f>IF(AND(data[[#This Row],[Age]]&gt;=18,data[[#This Row],[Age]]&lt;=24),"18-24",IF(AND(data[[#This Row],[Age]]&gt;=25,data[[#This Row],[Age]]&lt;=34),"25-34",IF(AND(data[[#This Row],[Age]]&gt;35,data[[#This Row],[Age]]&lt;=44),"35-44",IF(data[[#This Row],[Age]]&gt;44,"45+",IF(data[[#This Row],[Age]]&lt;18,"below 18 ")))))</f>
        <v>25-34</v>
      </c>
    </row>
    <row r="668" spans="1:31" x14ac:dyDescent="0.25">
      <c r="A668" t="s">
        <v>721</v>
      </c>
      <c r="B668">
        <v>31</v>
      </c>
      <c r="C668" t="s">
        <v>31</v>
      </c>
      <c r="D668" t="s">
        <v>39</v>
      </c>
      <c r="E668" t="s">
        <v>33</v>
      </c>
      <c r="F668" t="s">
        <v>59</v>
      </c>
      <c r="G668">
        <v>2.7</v>
      </c>
      <c r="H668">
        <v>4</v>
      </c>
      <c r="I668">
        <v>1</v>
      </c>
      <c r="J668" t="s">
        <v>42</v>
      </c>
      <c r="K668" t="s">
        <v>36</v>
      </c>
      <c r="L668">
        <v>79</v>
      </c>
      <c r="M668">
        <v>5.6</v>
      </c>
      <c r="N668">
        <v>7.8</v>
      </c>
      <c r="O668">
        <v>3.6</v>
      </c>
      <c r="P668">
        <v>7.1</v>
      </c>
      <c r="Q668" t="s">
        <v>42</v>
      </c>
      <c r="R668" t="s">
        <v>42</v>
      </c>
      <c r="T668">
        <v>6.3</v>
      </c>
      <c r="U668">
        <v>5.6</v>
      </c>
      <c r="V668">
        <v>10</v>
      </c>
      <c r="W668">
        <v>4.5999999999999996</v>
      </c>
      <c r="X668">
        <v>4.4000000000000004</v>
      </c>
      <c r="Z668">
        <v>4.2</v>
      </c>
      <c r="AA668">
        <v>3.3</v>
      </c>
      <c r="AB668">
        <v>3.5</v>
      </c>
      <c r="AC668">
        <v>5.7</v>
      </c>
      <c r="AD668" t="s">
        <v>45</v>
      </c>
      <c r="AE668" t="str">
        <f>IF(AND(data[[#This Row],[Age]]&gt;=18,data[[#This Row],[Age]]&lt;=24),"18-24",IF(AND(data[[#This Row],[Age]]&gt;=25,data[[#This Row],[Age]]&lt;=34),"25-34",IF(AND(data[[#This Row],[Age]]&gt;35,data[[#This Row],[Age]]&lt;=44),"35-44",IF(data[[#This Row],[Age]]&gt;44,"45+",IF(data[[#This Row],[Age]]&lt;18,"below 18 ")))))</f>
        <v>25-34</v>
      </c>
    </row>
    <row r="669" spans="1:31" x14ac:dyDescent="0.25">
      <c r="A669" t="s">
        <v>722</v>
      </c>
      <c r="B669">
        <v>19</v>
      </c>
      <c r="C669" t="s">
        <v>47</v>
      </c>
      <c r="D669" t="s">
        <v>64</v>
      </c>
      <c r="E669" t="s">
        <v>33</v>
      </c>
      <c r="F669" t="s">
        <v>41</v>
      </c>
      <c r="G669">
        <v>5.2</v>
      </c>
      <c r="H669">
        <v>1</v>
      </c>
      <c r="I669">
        <v>11</v>
      </c>
      <c r="J669" t="s">
        <v>42</v>
      </c>
      <c r="K669" t="s">
        <v>52</v>
      </c>
      <c r="L669">
        <v>5</v>
      </c>
      <c r="M669">
        <v>4.8</v>
      </c>
      <c r="N669">
        <v>3</v>
      </c>
      <c r="O669">
        <v>2.1</v>
      </c>
      <c r="P669">
        <v>4.8</v>
      </c>
      <c r="Q669" t="s">
        <v>42</v>
      </c>
      <c r="R669" t="s">
        <v>42</v>
      </c>
      <c r="S669">
        <v>4.0999999999999996</v>
      </c>
      <c r="T669">
        <v>3.1</v>
      </c>
      <c r="U669">
        <v>0.1</v>
      </c>
      <c r="V669">
        <v>6.8</v>
      </c>
      <c r="W669">
        <v>3.5</v>
      </c>
      <c r="X669">
        <v>7.9</v>
      </c>
      <c r="Y669">
        <v>5.2</v>
      </c>
      <c r="Z669">
        <v>4.2</v>
      </c>
      <c r="AA669">
        <v>1.5</v>
      </c>
      <c r="AB669">
        <v>3.7</v>
      </c>
      <c r="AC669">
        <v>7</v>
      </c>
      <c r="AD669" t="s">
        <v>37</v>
      </c>
      <c r="AE669" t="str">
        <f>IF(AND(data[[#This Row],[Age]]&gt;=18,data[[#This Row],[Age]]&lt;=24),"18-24",IF(AND(data[[#This Row],[Age]]&gt;=25,data[[#This Row],[Age]]&lt;=34),"25-34",IF(AND(data[[#This Row],[Age]]&gt;35,data[[#This Row],[Age]]&lt;=44),"35-44",IF(data[[#This Row],[Age]]&gt;44,"45+",IF(data[[#This Row],[Age]]&lt;18,"below 18 ")))))</f>
        <v>18-24</v>
      </c>
    </row>
    <row r="670" spans="1:31" x14ac:dyDescent="0.25">
      <c r="A670" t="s">
        <v>723</v>
      </c>
      <c r="B670">
        <v>38</v>
      </c>
      <c r="C670" t="s">
        <v>47</v>
      </c>
      <c r="D670" t="s">
        <v>39</v>
      </c>
      <c r="E670" t="s">
        <v>40</v>
      </c>
      <c r="F670" t="s">
        <v>41</v>
      </c>
      <c r="G670">
        <v>4.9000000000000004</v>
      </c>
      <c r="H670">
        <v>2</v>
      </c>
      <c r="I670">
        <v>3</v>
      </c>
      <c r="J670" t="s">
        <v>42</v>
      </c>
      <c r="K670" t="s">
        <v>62</v>
      </c>
      <c r="L670">
        <v>20</v>
      </c>
      <c r="M670">
        <v>4.3</v>
      </c>
      <c r="N670">
        <v>5.0999999999999996</v>
      </c>
      <c r="O670">
        <v>4.9000000000000004</v>
      </c>
      <c r="P670">
        <v>5.4</v>
      </c>
      <c r="R670" t="s">
        <v>35</v>
      </c>
      <c r="S670">
        <v>5</v>
      </c>
      <c r="T670">
        <v>1.5</v>
      </c>
      <c r="U670">
        <v>2.6</v>
      </c>
      <c r="V670">
        <v>6</v>
      </c>
      <c r="W670">
        <v>5.7</v>
      </c>
      <c r="X670">
        <v>7.1</v>
      </c>
      <c r="Y670">
        <v>9.3000000000000007</v>
      </c>
      <c r="Z670">
        <v>5.0999999999999996</v>
      </c>
      <c r="AA670">
        <v>4.5</v>
      </c>
      <c r="AB670">
        <v>3</v>
      </c>
      <c r="AC670">
        <v>7.6</v>
      </c>
      <c r="AD670" t="s">
        <v>53</v>
      </c>
      <c r="AE670" t="str">
        <f>IF(AND(data[[#This Row],[Age]]&gt;=18,data[[#This Row],[Age]]&lt;=24),"18-24",IF(AND(data[[#This Row],[Age]]&gt;=25,data[[#This Row],[Age]]&lt;=34),"25-34",IF(AND(data[[#This Row],[Age]]&gt;35,data[[#This Row],[Age]]&lt;=44),"35-44",IF(data[[#This Row],[Age]]&gt;44,"45+",IF(data[[#This Row],[Age]]&lt;18,"below 18 ")))))</f>
        <v>35-44</v>
      </c>
    </row>
    <row r="671" spans="1:31" x14ac:dyDescent="0.25">
      <c r="A671" t="s">
        <v>724</v>
      </c>
      <c r="B671">
        <v>15</v>
      </c>
      <c r="C671" t="s">
        <v>47</v>
      </c>
      <c r="D671" t="s">
        <v>39</v>
      </c>
      <c r="E671" t="s">
        <v>58</v>
      </c>
      <c r="F671" t="s">
        <v>51</v>
      </c>
      <c r="G671">
        <v>4.0999999999999996</v>
      </c>
      <c r="H671">
        <v>1</v>
      </c>
      <c r="I671">
        <v>6</v>
      </c>
      <c r="J671" t="s">
        <v>35</v>
      </c>
      <c r="K671" t="s">
        <v>36</v>
      </c>
      <c r="L671">
        <v>5</v>
      </c>
      <c r="M671">
        <v>9.1999999999999993</v>
      </c>
      <c r="N671">
        <v>2.2999999999999998</v>
      </c>
      <c r="O671">
        <v>2.9</v>
      </c>
      <c r="P671">
        <v>7.3</v>
      </c>
      <c r="Q671" t="s">
        <v>35</v>
      </c>
      <c r="R671" t="s">
        <v>42</v>
      </c>
      <c r="S671">
        <v>5.8</v>
      </c>
      <c r="U671">
        <v>3.2</v>
      </c>
      <c r="V671">
        <v>6.8</v>
      </c>
      <c r="W671">
        <v>6.6</v>
      </c>
      <c r="X671">
        <v>8</v>
      </c>
      <c r="Y671">
        <v>4.9000000000000004</v>
      </c>
      <c r="Z671">
        <v>3.2</v>
      </c>
      <c r="AA671">
        <v>4.9000000000000004</v>
      </c>
      <c r="AB671">
        <v>3.9</v>
      </c>
      <c r="AC671">
        <v>6.3</v>
      </c>
      <c r="AD671" t="s">
        <v>53</v>
      </c>
      <c r="AE671" t="str">
        <f>IF(AND(data[[#This Row],[Age]]&gt;=18,data[[#This Row],[Age]]&lt;=24),"18-24",IF(AND(data[[#This Row],[Age]]&gt;=25,data[[#This Row],[Age]]&lt;=34),"25-34",IF(AND(data[[#This Row],[Age]]&gt;35,data[[#This Row],[Age]]&lt;=44),"35-44",IF(data[[#This Row],[Age]]&gt;44,"45+",IF(data[[#This Row],[Age]]&lt;18,"below 18 ")))))</f>
        <v xml:space="preserve">below 18 </v>
      </c>
    </row>
    <row r="672" spans="1:31" x14ac:dyDescent="0.25">
      <c r="A672" t="s">
        <v>725</v>
      </c>
      <c r="B672">
        <v>33</v>
      </c>
      <c r="C672" t="s">
        <v>31</v>
      </c>
      <c r="D672" t="s">
        <v>32</v>
      </c>
      <c r="E672" t="s">
        <v>40</v>
      </c>
      <c r="F672" t="s">
        <v>41</v>
      </c>
      <c r="G672">
        <v>5.7</v>
      </c>
      <c r="H672">
        <v>2</v>
      </c>
      <c r="I672">
        <v>3</v>
      </c>
      <c r="J672" t="s">
        <v>42</v>
      </c>
      <c r="K672" t="s">
        <v>52</v>
      </c>
      <c r="L672">
        <v>11</v>
      </c>
      <c r="M672">
        <v>4.5999999999999996</v>
      </c>
      <c r="N672">
        <v>5.8</v>
      </c>
      <c r="O672">
        <v>3.1</v>
      </c>
      <c r="P672">
        <v>10</v>
      </c>
      <c r="Q672" t="s">
        <v>42</v>
      </c>
      <c r="R672" t="s">
        <v>42</v>
      </c>
      <c r="S672">
        <v>4.7</v>
      </c>
      <c r="T672">
        <v>10</v>
      </c>
      <c r="U672">
        <v>6.9</v>
      </c>
      <c r="V672">
        <v>4.7</v>
      </c>
      <c r="W672">
        <v>4.0999999999999996</v>
      </c>
      <c r="X672">
        <v>4.9000000000000004</v>
      </c>
      <c r="Y672">
        <v>5.4</v>
      </c>
      <c r="Z672">
        <v>9.8000000000000007</v>
      </c>
      <c r="AA672">
        <v>2.9</v>
      </c>
      <c r="AB672">
        <v>1.5</v>
      </c>
      <c r="AC672">
        <v>5.5</v>
      </c>
      <c r="AD672" t="s">
        <v>45</v>
      </c>
      <c r="AE672" t="str">
        <f>IF(AND(data[[#This Row],[Age]]&gt;=18,data[[#This Row],[Age]]&lt;=24),"18-24",IF(AND(data[[#This Row],[Age]]&gt;=25,data[[#This Row],[Age]]&lt;=34),"25-34",IF(AND(data[[#This Row],[Age]]&gt;35,data[[#This Row],[Age]]&lt;=44),"35-44",IF(data[[#This Row],[Age]]&gt;44,"45+",IF(data[[#This Row],[Age]]&lt;18,"below 18 ")))))</f>
        <v>25-34</v>
      </c>
    </row>
    <row r="673" spans="1:31" x14ac:dyDescent="0.25">
      <c r="A673" t="s">
        <v>726</v>
      </c>
      <c r="B673">
        <v>24</v>
      </c>
      <c r="C673" t="s">
        <v>47</v>
      </c>
      <c r="D673" t="s">
        <v>32</v>
      </c>
      <c r="E673" t="s">
        <v>33</v>
      </c>
      <c r="F673" t="s">
        <v>34</v>
      </c>
      <c r="G673">
        <v>5.3</v>
      </c>
      <c r="H673">
        <v>2</v>
      </c>
      <c r="I673">
        <v>3</v>
      </c>
      <c r="J673" t="s">
        <v>35</v>
      </c>
      <c r="K673" t="s">
        <v>36</v>
      </c>
      <c r="L673">
        <v>40</v>
      </c>
      <c r="M673">
        <v>4.5</v>
      </c>
      <c r="N673">
        <v>1.4</v>
      </c>
      <c r="O673">
        <v>4.0999999999999996</v>
      </c>
      <c r="P673">
        <v>5.8</v>
      </c>
      <c r="Q673" t="s">
        <v>35</v>
      </c>
      <c r="R673" t="s">
        <v>35</v>
      </c>
      <c r="S673">
        <v>0.8</v>
      </c>
      <c r="T673">
        <v>2.1</v>
      </c>
      <c r="U673">
        <v>0</v>
      </c>
      <c r="V673">
        <v>7.4</v>
      </c>
      <c r="X673">
        <v>6.9</v>
      </c>
      <c r="Y673">
        <v>4.8</v>
      </c>
      <c r="Z673">
        <v>3.3</v>
      </c>
      <c r="AA673">
        <v>3.9</v>
      </c>
      <c r="AB673">
        <v>4.9000000000000004</v>
      </c>
      <c r="AC673">
        <v>8.6</v>
      </c>
      <c r="AD673" t="s">
        <v>37</v>
      </c>
      <c r="AE673" t="str">
        <f>IF(AND(data[[#This Row],[Age]]&gt;=18,data[[#This Row],[Age]]&lt;=24),"18-24",IF(AND(data[[#This Row],[Age]]&gt;=25,data[[#This Row],[Age]]&lt;=34),"25-34",IF(AND(data[[#This Row],[Age]]&gt;35,data[[#This Row],[Age]]&lt;=44),"35-44",IF(data[[#This Row],[Age]]&gt;44,"45+",IF(data[[#This Row],[Age]]&lt;18,"below 18 ")))))</f>
        <v>18-24</v>
      </c>
    </row>
    <row r="674" spans="1:31" x14ac:dyDescent="0.25">
      <c r="A674" t="s">
        <v>727</v>
      </c>
      <c r="B674">
        <v>21</v>
      </c>
      <c r="C674" t="s">
        <v>47</v>
      </c>
      <c r="D674" t="s">
        <v>32</v>
      </c>
      <c r="E674" t="s">
        <v>40</v>
      </c>
      <c r="F674" t="s">
        <v>48</v>
      </c>
      <c r="G674">
        <v>3.7</v>
      </c>
      <c r="H674">
        <v>8</v>
      </c>
      <c r="I674">
        <v>4</v>
      </c>
      <c r="J674" t="s">
        <v>42</v>
      </c>
      <c r="K674" t="s">
        <v>36</v>
      </c>
      <c r="L674">
        <v>34</v>
      </c>
      <c r="M674">
        <v>10</v>
      </c>
      <c r="N674">
        <v>5.8</v>
      </c>
      <c r="O674">
        <v>4.9000000000000004</v>
      </c>
      <c r="P674">
        <v>6.1</v>
      </c>
      <c r="Q674" t="s">
        <v>35</v>
      </c>
      <c r="R674" t="s">
        <v>42</v>
      </c>
      <c r="S674">
        <v>5.0999999999999996</v>
      </c>
      <c r="T674">
        <v>8.6</v>
      </c>
      <c r="U674">
        <v>2.9</v>
      </c>
      <c r="V674">
        <v>6.3</v>
      </c>
      <c r="W674">
        <v>5.2</v>
      </c>
      <c r="X674">
        <v>8</v>
      </c>
      <c r="Y674">
        <v>2.8</v>
      </c>
      <c r="Z674">
        <v>8.3000000000000007</v>
      </c>
      <c r="AA674">
        <v>1.3</v>
      </c>
      <c r="AB674">
        <v>3.8</v>
      </c>
      <c r="AC674">
        <v>5.4</v>
      </c>
      <c r="AD674" t="s">
        <v>45</v>
      </c>
      <c r="AE674" t="str">
        <f>IF(AND(data[[#This Row],[Age]]&gt;=18,data[[#This Row],[Age]]&lt;=24),"18-24",IF(AND(data[[#This Row],[Age]]&gt;=25,data[[#This Row],[Age]]&lt;=34),"25-34",IF(AND(data[[#This Row],[Age]]&gt;35,data[[#This Row],[Age]]&lt;=44),"35-44",IF(data[[#This Row],[Age]]&gt;44,"45+",IF(data[[#This Row],[Age]]&lt;18,"below 18 ")))))</f>
        <v>18-24</v>
      </c>
    </row>
    <row r="675" spans="1:31" x14ac:dyDescent="0.25">
      <c r="A675" t="s">
        <v>728</v>
      </c>
      <c r="B675">
        <v>32</v>
      </c>
      <c r="C675" t="s">
        <v>31</v>
      </c>
      <c r="D675" t="s">
        <v>39</v>
      </c>
      <c r="E675" t="s">
        <v>33</v>
      </c>
      <c r="F675" t="s">
        <v>51</v>
      </c>
      <c r="G675">
        <v>7.3</v>
      </c>
      <c r="H675">
        <v>4</v>
      </c>
      <c r="I675">
        <v>1</v>
      </c>
      <c r="J675" t="s">
        <v>35</v>
      </c>
      <c r="K675" t="s">
        <v>52</v>
      </c>
      <c r="L675">
        <v>56</v>
      </c>
      <c r="M675">
        <v>6.7</v>
      </c>
      <c r="N675">
        <v>5.9</v>
      </c>
      <c r="O675">
        <v>8.1</v>
      </c>
      <c r="P675">
        <v>6.7</v>
      </c>
      <c r="Q675" t="s">
        <v>42</v>
      </c>
      <c r="R675" t="s">
        <v>35</v>
      </c>
      <c r="S675">
        <v>2.1</v>
      </c>
      <c r="T675">
        <v>2.2999999999999998</v>
      </c>
      <c r="U675">
        <v>5.0999999999999996</v>
      </c>
      <c r="V675">
        <v>4.5999999999999996</v>
      </c>
      <c r="W675">
        <v>1.7</v>
      </c>
      <c r="X675">
        <v>7.9</v>
      </c>
      <c r="Y675">
        <v>3.2</v>
      </c>
      <c r="Z675">
        <v>7.8</v>
      </c>
      <c r="AA675">
        <v>3.4</v>
      </c>
      <c r="AB675">
        <v>1.2</v>
      </c>
      <c r="AC675">
        <v>7</v>
      </c>
      <c r="AD675" t="s">
        <v>53</v>
      </c>
      <c r="AE675" t="str">
        <f>IF(AND(data[[#This Row],[Age]]&gt;=18,data[[#This Row],[Age]]&lt;=24),"18-24",IF(AND(data[[#This Row],[Age]]&gt;=25,data[[#This Row],[Age]]&lt;=34),"25-34",IF(AND(data[[#This Row],[Age]]&gt;35,data[[#This Row],[Age]]&lt;=44),"35-44",IF(data[[#This Row],[Age]]&gt;44,"45+",IF(data[[#This Row],[Age]]&lt;18,"below 18 ")))))</f>
        <v>25-34</v>
      </c>
    </row>
    <row r="676" spans="1:31" x14ac:dyDescent="0.25">
      <c r="A676" t="s">
        <v>729</v>
      </c>
      <c r="B676">
        <v>17</v>
      </c>
      <c r="C676" t="s">
        <v>50</v>
      </c>
      <c r="D676" t="s">
        <v>39</v>
      </c>
      <c r="E676" t="s">
        <v>33</v>
      </c>
      <c r="F676" t="s">
        <v>41</v>
      </c>
      <c r="G676">
        <v>4.2</v>
      </c>
      <c r="H676">
        <v>2</v>
      </c>
      <c r="I676">
        <v>3</v>
      </c>
      <c r="J676" t="s">
        <v>42</v>
      </c>
      <c r="K676" t="s">
        <v>36</v>
      </c>
      <c r="L676">
        <v>73</v>
      </c>
      <c r="M676">
        <v>6.7</v>
      </c>
      <c r="N676">
        <v>8.5</v>
      </c>
      <c r="O676">
        <v>8</v>
      </c>
      <c r="P676">
        <v>5.7</v>
      </c>
      <c r="Q676" t="s">
        <v>35</v>
      </c>
      <c r="R676" t="s">
        <v>35</v>
      </c>
      <c r="S676">
        <v>6.2</v>
      </c>
      <c r="T676">
        <v>7.9</v>
      </c>
      <c r="U676">
        <v>0</v>
      </c>
      <c r="V676">
        <v>6.3</v>
      </c>
      <c r="X676">
        <v>4.5999999999999996</v>
      </c>
      <c r="Y676">
        <v>0.5</v>
      </c>
      <c r="Z676">
        <v>8.1</v>
      </c>
      <c r="AA676">
        <v>1.8</v>
      </c>
      <c r="AB676">
        <v>5.2</v>
      </c>
      <c r="AC676">
        <v>5.6</v>
      </c>
      <c r="AD676" t="s">
        <v>45</v>
      </c>
      <c r="AE676" t="str">
        <f>IF(AND(data[[#This Row],[Age]]&gt;=18,data[[#This Row],[Age]]&lt;=24),"18-24",IF(AND(data[[#This Row],[Age]]&gt;=25,data[[#This Row],[Age]]&lt;=34),"25-34",IF(AND(data[[#This Row],[Age]]&gt;35,data[[#This Row],[Age]]&lt;=44),"35-44",IF(data[[#This Row],[Age]]&gt;44,"45+",IF(data[[#This Row],[Age]]&lt;18,"below 18 ")))))</f>
        <v xml:space="preserve">below 18 </v>
      </c>
    </row>
    <row r="677" spans="1:31" x14ac:dyDescent="0.25">
      <c r="A677" t="s">
        <v>730</v>
      </c>
      <c r="B677">
        <v>29</v>
      </c>
      <c r="D677" t="s">
        <v>32</v>
      </c>
      <c r="E677" t="s">
        <v>58</v>
      </c>
      <c r="F677" t="s">
        <v>34</v>
      </c>
      <c r="G677">
        <v>5.8</v>
      </c>
      <c r="H677">
        <v>3</v>
      </c>
      <c r="I677">
        <v>2</v>
      </c>
      <c r="J677" t="s">
        <v>42</v>
      </c>
      <c r="K677" t="s">
        <v>62</v>
      </c>
      <c r="L677">
        <v>5</v>
      </c>
      <c r="M677">
        <v>7.2</v>
      </c>
      <c r="N677">
        <v>7.9</v>
      </c>
      <c r="O677">
        <v>4.2</v>
      </c>
      <c r="P677">
        <v>8.1</v>
      </c>
      <c r="Q677" t="s">
        <v>42</v>
      </c>
      <c r="R677" t="s">
        <v>42</v>
      </c>
      <c r="S677">
        <v>9</v>
      </c>
      <c r="T677">
        <v>1.4</v>
      </c>
      <c r="U677">
        <v>2.2999999999999998</v>
      </c>
      <c r="V677">
        <v>3.9</v>
      </c>
      <c r="W677">
        <v>2.2000000000000002</v>
      </c>
      <c r="X677">
        <v>7.2</v>
      </c>
      <c r="Y677">
        <v>2.1</v>
      </c>
      <c r="Z677">
        <v>5.3</v>
      </c>
      <c r="AA677">
        <v>2.4</v>
      </c>
      <c r="AB677">
        <v>2.4</v>
      </c>
      <c r="AC677">
        <v>5.3</v>
      </c>
      <c r="AD677" t="s">
        <v>43</v>
      </c>
      <c r="AE677" t="str">
        <f>IF(AND(data[[#This Row],[Age]]&gt;=18,data[[#This Row],[Age]]&lt;=24),"18-24",IF(AND(data[[#This Row],[Age]]&gt;=25,data[[#This Row],[Age]]&lt;=34),"25-34",IF(AND(data[[#This Row],[Age]]&gt;35,data[[#This Row],[Age]]&lt;=44),"35-44",IF(data[[#This Row],[Age]]&gt;44,"45+",IF(data[[#This Row],[Age]]&lt;18,"below 18 ")))))</f>
        <v>25-34</v>
      </c>
    </row>
    <row r="678" spans="1:31" x14ac:dyDescent="0.25">
      <c r="A678" t="s">
        <v>731</v>
      </c>
      <c r="B678">
        <v>29</v>
      </c>
      <c r="C678" t="s">
        <v>31</v>
      </c>
      <c r="D678" t="s">
        <v>32</v>
      </c>
      <c r="E678" t="s">
        <v>40</v>
      </c>
      <c r="F678" t="s">
        <v>59</v>
      </c>
      <c r="G678">
        <v>2.2999999999999998</v>
      </c>
      <c r="H678">
        <v>5</v>
      </c>
      <c r="I678">
        <v>1</v>
      </c>
      <c r="J678" t="s">
        <v>35</v>
      </c>
      <c r="K678" t="s">
        <v>36</v>
      </c>
      <c r="L678">
        <v>44</v>
      </c>
      <c r="M678">
        <v>7.1</v>
      </c>
      <c r="N678">
        <v>3.3</v>
      </c>
      <c r="O678">
        <v>3.1</v>
      </c>
      <c r="P678">
        <v>9.8000000000000007</v>
      </c>
      <c r="Q678" t="s">
        <v>42</v>
      </c>
      <c r="R678" t="s">
        <v>42</v>
      </c>
      <c r="S678">
        <v>2.6</v>
      </c>
      <c r="T678">
        <v>5.0999999999999996</v>
      </c>
      <c r="U678">
        <v>3.7</v>
      </c>
      <c r="V678">
        <v>6.5</v>
      </c>
      <c r="W678">
        <v>5.8</v>
      </c>
      <c r="X678">
        <v>7</v>
      </c>
      <c r="Y678">
        <v>6.3</v>
      </c>
      <c r="AA678">
        <v>3.2</v>
      </c>
      <c r="AB678">
        <v>3.9</v>
      </c>
      <c r="AC678">
        <v>6.4</v>
      </c>
      <c r="AD678" t="s">
        <v>53</v>
      </c>
      <c r="AE678" t="str">
        <f>IF(AND(data[[#This Row],[Age]]&gt;=18,data[[#This Row],[Age]]&lt;=24),"18-24",IF(AND(data[[#This Row],[Age]]&gt;=25,data[[#This Row],[Age]]&lt;=34),"25-34",IF(AND(data[[#This Row],[Age]]&gt;35,data[[#This Row],[Age]]&lt;=44),"35-44",IF(data[[#This Row],[Age]]&gt;44,"45+",IF(data[[#This Row],[Age]]&lt;18,"below 18 ")))))</f>
        <v>25-34</v>
      </c>
    </row>
    <row r="679" spans="1:31" x14ac:dyDescent="0.25">
      <c r="A679" t="s">
        <v>732</v>
      </c>
      <c r="B679">
        <v>17</v>
      </c>
      <c r="C679" t="s">
        <v>50</v>
      </c>
      <c r="D679" t="s">
        <v>39</v>
      </c>
      <c r="E679" t="s">
        <v>58</v>
      </c>
      <c r="F679" t="s">
        <v>59</v>
      </c>
      <c r="G679">
        <v>2.5</v>
      </c>
      <c r="H679">
        <v>2</v>
      </c>
      <c r="I679">
        <v>3</v>
      </c>
      <c r="J679" t="s">
        <v>35</v>
      </c>
      <c r="K679" t="s">
        <v>52</v>
      </c>
      <c r="L679">
        <v>55</v>
      </c>
      <c r="M679">
        <v>6.7</v>
      </c>
      <c r="N679">
        <v>2.2999999999999998</v>
      </c>
      <c r="O679">
        <v>4.9000000000000004</v>
      </c>
      <c r="P679">
        <v>3.8</v>
      </c>
      <c r="Q679" t="s">
        <v>42</v>
      </c>
      <c r="R679" t="s">
        <v>42</v>
      </c>
      <c r="S679">
        <v>2.5</v>
      </c>
      <c r="T679">
        <v>4.8</v>
      </c>
      <c r="V679">
        <v>4.5999999999999996</v>
      </c>
      <c r="W679">
        <v>6.2</v>
      </c>
      <c r="X679">
        <v>7.2</v>
      </c>
      <c r="Y679">
        <v>3.9</v>
      </c>
      <c r="Z679">
        <v>6</v>
      </c>
      <c r="AA679">
        <v>3</v>
      </c>
      <c r="AB679">
        <v>2.4</v>
      </c>
      <c r="AC679">
        <v>8.8000000000000007</v>
      </c>
      <c r="AD679" t="s">
        <v>37</v>
      </c>
      <c r="AE679" t="str">
        <f>IF(AND(data[[#This Row],[Age]]&gt;=18,data[[#This Row],[Age]]&lt;=24),"18-24",IF(AND(data[[#This Row],[Age]]&gt;=25,data[[#This Row],[Age]]&lt;=34),"25-34",IF(AND(data[[#This Row],[Age]]&gt;35,data[[#This Row],[Age]]&lt;=44),"35-44",IF(data[[#This Row],[Age]]&gt;44,"45+",IF(data[[#This Row],[Age]]&lt;18,"below 18 ")))))</f>
        <v xml:space="preserve">below 18 </v>
      </c>
    </row>
    <row r="680" spans="1:31" x14ac:dyDescent="0.25">
      <c r="A680" t="s">
        <v>733</v>
      </c>
      <c r="B680">
        <v>23</v>
      </c>
      <c r="C680" t="s">
        <v>50</v>
      </c>
      <c r="D680" t="s">
        <v>64</v>
      </c>
      <c r="E680" t="s">
        <v>58</v>
      </c>
      <c r="F680" t="s">
        <v>34</v>
      </c>
      <c r="G680">
        <v>4.9000000000000004</v>
      </c>
      <c r="H680">
        <v>1</v>
      </c>
      <c r="I680">
        <v>3</v>
      </c>
      <c r="J680" t="s">
        <v>35</v>
      </c>
      <c r="K680" t="s">
        <v>52</v>
      </c>
      <c r="L680">
        <v>57</v>
      </c>
      <c r="M680">
        <v>5.5</v>
      </c>
      <c r="N680">
        <v>5.2</v>
      </c>
      <c r="O680">
        <v>7.5</v>
      </c>
      <c r="P680">
        <v>4.5999999999999996</v>
      </c>
      <c r="Q680" t="s">
        <v>35</v>
      </c>
      <c r="R680" t="s">
        <v>42</v>
      </c>
      <c r="S680">
        <v>8</v>
      </c>
      <c r="T680">
        <v>6.1</v>
      </c>
      <c r="U680">
        <v>5.8</v>
      </c>
      <c r="V680">
        <v>5.2</v>
      </c>
      <c r="W680">
        <v>4</v>
      </c>
      <c r="X680">
        <v>7</v>
      </c>
      <c r="Y680">
        <v>3.6</v>
      </c>
      <c r="Z680">
        <v>4.2</v>
      </c>
      <c r="AA680">
        <v>6</v>
      </c>
      <c r="AB680">
        <v>1.8</v>
      </c>
      <c r="AC680">
        <v>5.9</v>
      </c>
      <c r="AD680" t="s">
        <v>45</v>
      </c>
      <c r="AE680" t="str">
        <f>IF(AND(data[[#This Row],[Age]]&gt;=18,data[[#This Row],[Age]]&lt;=24),"18-24",IF(AND(data[[#This Row],[Age]]&gt;=25,data[[#This Row],[Age]]&lt;=34),"25-34",IF(AND(data[[#This Row],[Age]]&gt;35,data[[#This Row],[Age]]&lt;=44),"35-44",IF(data[[#This Row],[Age]]&gt;44,"45+",IF(data[[#This Row],[Age]]&lt;18,"below 18 ")))))</f>
        <v>18-24</v>
      </c>
    </row>
    <row r="681" spans="1:31" x14ac:dyDescent="0.25">
      <c r="A681" t="s">
        <v>734</v>
      </c>
      <c r="B681">
        <v>28</v>
      </c>
      <c r="C681" t="s">
        <v>31</v>
      </c>
      <c r="D681" t="s">
        <v>32</v>
      </c>
      <c r="E681" t="s">
        <v>58</v>
      </c>
      <c r="F681" t="s">
        <v>59</v>
      </c>
      <c r="G681">
        <v>9.4</v>
      </c>
      <c r="H681">
        <v>4</v>
      </c>
      <c r="I681">
        <v>4</v>
      </c>
      <c r="J681" t="s">
        <v>42</v>
      </c>
      <c r="K681" t="s">
        <v>36</v>
      </c>
      <c r="L681">
        <v>5</v>
      </c>
      <c r="M681">
        <v>6.1</v>
      </c>
      <c r="N681">
        <v>5.4</v>
      </c>
      <c r="O681">
        <v>3.4</v>
      </c>
      <c r="P681">
        <v>5.4</v>
      </c>
      <c r="Q681" t="s">
        <v>42</v>
      </c>
      <c r="R681" t="s">
        <v>35</v>
      </c>
      <c r="S681">
        <v>6.2</v>
      </c>
      <c r="T681">
        <v>4.5</v>
      </c>
      <c r="U681">
        <v>2.7</v>
      </c>
      <c r="V681">
        <v>7.3</v>
      </c>
      <c r="W681">
        <v>5</v>
      </c>
      <c r="X681">
        <v>7</v>
      </c>
      <c r="Y681">
        <v>6.1</v>
      </c>
      <c r="Z681">
        <v>8.1</v>
      </c>
      <c r="AA681">
        <v>5.4</v>
      </c>
      <c r="AB681">
        <v>3.3</v>
      </c>
      <c r="AC681">
        <v>6</v>
      </c>
      <c r="AD681" t="s">
        <v>53</v>
      </c>
      <c r="AE681" t="str">
        <f>IF(AND(data[[#This Row],[Age]]&gt;=18,data[[#This Row],[Age]]&lt;=24),"18-24",IF(AND(data[[#This Row],[Age]]&gt;=25,data[[#This Row],[Age]]&lt;=34),"25-34",IF(AND(data[[#This Row],[Age]]&gt;35,data[[#This Row],[Age]]&lt;=44),"35-44",IF(data[[#This Row],[Age]]&gt;44,"45+",IF(data[[#This Row],[Age]]&lt;18,"below 18 ")))))</f>
        <v>25-34</v>
      </c>
    </row>
    <row r="682" spans="1:31" x14ac:dyDescent="0.25">
      <c r="A682" t="s">
        <v>735</v>
      </c>
      <c r="B682">
        <v>43</v>
      </c>
      <c r="C682" t="s">
        <v>47</v>
      </c>
      <c r="D682" t="s">
        <v>32</v>
      </c>
      <c r="E682" t="s">
        <v>58</v>
      </c>
      <c r="F682" t="s">
        <v>51</v>
      </c>
      <c r="G682">
        <v>1.8</v>
      </c>
      <c r="H682">
        <v>1</v>
      </c>
      <c r="I682">
        <v>4</v>
      </c>
      <c r="J682" t="s">
        <v>35</v>
      </c>
      <c r="K682" t="s">
        <v>36</v>
      </c>
      <c r="L682">
        <v>87</v>
      </c>
      <c r="M682">
        <v>7.4</v>
      </c>
      <c r="N682">
        <v>2.2999999999999998</v>
      </c>
      <c r="O682">
        <v>10</v>
      </c>
      <c r="P682">
        <v>4.9000000000000004</v>
      </c>
      <c r="Q682" t="s">
        <v>35</v>
      </c>
      <c r="R682" t="s">
        <v>42</v>
      </c>
      <c r="S682">
        <v>3.3</v>
      </c>
      <c r="T682">
        <v>4.7</v>
      </c>
      <c r="U682">
        <v>5.3</v>
      </c>
      <c r="V682">
        <v>5.3</v>
      </c>
      <c r="W682">
        <v>5.0999999999999996</v>
      </c>
      <c r="X682">
        <v>4.3</v>
      </c>
      <c r="Y682">
        <v>9.1999999999999993</v>
      </c>
      <c r="AA682">
        <v>0.2</v>
      </c>
      <c r="AB682">
        <v>1.4</v>
      </c>
      <c r="AC682">
        <v>5.0999999999999996</v>
      </c>
      <c r="AD682" t="s">
        <v>43</v>
      </c>
      <c r="AE682" t="str">
        <f>IF(AND(data[[#This Row],[Age]]&gt;=18,data[[#This Row],[Age]]&lt;=24),"18-24",IF(AND(data[[#This Row],[Age]]&gt;=25,data[[#This Row],[Age]]&lt;=34),"25-34",IF(AND(data[[#This Row],[Age]]&gt;35,data[[#This Row],[Age]]&lt;=44),"35-44",IF(data[[#This Row],[Age]]&gt;44,"45+",IF(data[[#This Row],[Age]]&lt;18,"below 18 ")))))</f>
        <v>35-44</v>
      </c>
    </row>
    <row r="683" spans="1:31" x14ac:dyDescent="0.25">
      <c r="A683" t="s">
        <v>736</v>
      </c>
      <c r="B683">
        <v>24</v>
      </c>
      <c r="C683" t="s">
        <v>50</v>
      </c>
      <c r="D683" t="s">
        <v>32</v>
      </c>
      <c r="E683" t="s">
        <v>40</v>
      </c>
      <c r="F683" t="s">
        <v>59</v>
      </c>
      <c r="G683">
        <v>2</v>
      </c>
      <c r="H683">
        <v>3</v>
      </c>
      <c r="I683">
        <v>1</v>
      </c>
      <c r="J683" t="s">
        <v>35</v>
      </c>
      <c r="K683" t="s">
        <v>52</v>
      </c>
      <c r="L683">
        <v>48</v>
      </c>
      <c r="M683">
        <v>3.1</v>
      </c>
      <c r="N683">
        <v>4.5999999999999996</v>
      </c>
      <c r="O683">
        <v>4.9000000000000004</v>
      </c>
      <c r="P683">
        <v>5.2</v>
      </c>
      <c r="Q683" t="s">
        <v>42</v>
      </c>
      <c r="R683" t="s">
        <v>42</v>
      </c>
      <c r="S683">
        <v>4.2</v>
      </c>
      <c r="T683">
        <v>3</v>
      </c>
      <c r="U683">
        <v>4.5</v>
      </c>
      <c r="V683">
        <v>4.5999999999999996</v>
      </c>
      <c r="W683">
        <v>5.3</v>
      </c>
      <c r="X683">
        <v>7.7</v>
      </c>
      <c r="Y683">
        <v>4</v>
      </c>
      <c r="Z683">
        <v>6.7</v>
      </c>
      <c r="AA683">
        <v>2.7</v>
      </c>
      <c r="AB683">
        <v>7.2</v>
      </c>
      <c r="AC683">
        <v>8.3000000000000007</v>
      </c>
      <c r="AD683" t="s">
        <v>37</v>
      </c>
      <c r="AE683" t="str">
        <f>IF(AND(data[[#This Row],[Age]]&gt;=18,data[[#This Row],[Age]]&lt;=24),"18-24",IF(AND(data[[#This Row],[Age]]&gt;=25,data[[#This Row],[Age]]&lt;=34),"25-34",IF(AND(data[[#This Row],[Age]]&gt;35,data[[#This Row],[Age]]&lt;=44),"35-44",IF(data[[#This Row],[Age]]&gt;44,"45+",IF(data[[#This Row],[Age]]&lt;18,"below 18 ")))))</f>
        <v>18-24</v>
      </c>
    </row>
    <row r="684" spans="1:31" x14ac:dyDescent="0.25">
      <c r="A684" t="s">
        <v>737</v>
      </c>
      <c r="B684">
        <v>41</v>
      </c>
      <c r="C684" t="s">
        <v>47</v>
      </c>
      <c r="D684" t="s">
        <v>39</v>
      </c>
      <c r="E684" t="s">
        <v>40</v>
      </c>
      <c r="F684" t="s">
        <v>41</v>
      </c>
      <c r="G684">
        <v>2.9</v>
      </c>
      <c r="H684">
        <v>2</v>
      </c>
      <c r="I684">
        <v>6</v>
      </c>
      <c r="J684" t="s">
        <v>35</v>
      </c>
      <c r="K684" t="s">
        <v>62</v>
      </c>
      <c r="L684">
        <v>111</v>
      </c>
      <c r="M684">
        <v>8</v>
      </c>
      <c r="N684">
        <v>6.9</v>
      </c>
      <c r="O684">
        <v>4.3</v>
      </c>
      <c r="P684">
        <v>4.5</v>
      </c>
      <c r="Q684" t="s">
        <v>42</v>
      </c>
      <c r="R684" t="s">
        <v>35</v>
      </c>
      <c r="S684">
        <v>4.7</v>
      </c>
      <c r="T684">
        <v>8.1</v>
      </c>
      <c r="U684">
        <v>0.3</v>
      </c>
      <c r="V684">
        <v>5</v>
      </c>
      <c r="W684">
        <v>7.9</v>
      </c>
      <c r="X684">
        <v>5.6</v>
      </c>
      <c r="Y684">
        <v>2.2000000000000002</v>
      </c>
      <c r="Z684">
        <v>8.9</v>
      </c>
      <c r="AA684">
        <v>3.7</v>
      </c>
      <c r="AB684">
        <v>2.9</v>
      </c>
      <c r="AC684">
        <v>8.8000000000000007</v>
      </c>
      <c r="AD684" t="s">
        <v>37</v>
      </c>
      <c r="AE684" t="str">
        <f>IF(AND(data[[#This Row],[Age]]&gt;=18,data[[#This Row],[Age]]&lt;=24),"18-24",IF(AND(data[[#This Row],[Age]]&gt;=25,data[[#This Row],[Age]]&lt;=34),"25-34",IF(AND(data[[#This Row],[Age]]&gt;35,data[[#This Row],[Age]]&lt;=44),"35-44",IF(data[[#This Row],[Age]]&gt;44,"45+",IF(data[[#This Row],[Age]]&lt;18,"below 18 ")))))</f>
        <v>35-44</v>
      </c>
    </row>
    <row r="685" spans="1:31" x14ac:dyDescent="0.25">
      <c r="A685" t="s">
        <v>738</v>
      </c>
      <c r="B685">
        <v>22</v>
      </c>
      <c r="D685" t="s">
        <v>64</v>
      </c>
      <c r="E685" t="s">
        <v>40</v>
      </c>
      <c r="F685" t="s">
        <v>51</v>
      </c>
      <c r="G685">
        <v>3.6</v>
      </c>
      <c r="H685">
        <v>5</v>
      </c>
      <c r="I685">
        <v>1</v>
      </c>
      <c r="J685" t="s">
        <v>42</v>
      </c>
      <c r="K685" t="s">
        <v>52</v>
      </c>
      <c r="L685">
        <v>33</v>
      </c>
      <c r="M685">
        <v>1.9</v>
      </c>
      <c r="N685">
        <v>5.4</v>
      </c>
      <c r="O685">
        <v>3.7</v>
      </c>
      <c r="P685">
        <v>5.6</v>
      </c>
      <c r="Q685" t="s">
        <v>42</v>
      </c>
      <c r="R685" t="s">
        <v>35</v>
      </c>
      <c r="S685">
        <v>6.9</v>
      </c>
      <c r="T685">
        <v>4.4000000000000004</v>
      </c>
      <c r="U685">
        <v>4.7</v>
      </c>
      <c r="V685">
        <v>2.8</v>
      </c>
      <c r="W685">
        <v>4.0999999999999996</v>
      </c>
      <c r="X685">
        <v>7.6</v>
      </c>
      <c r="Y685">
        <v>1.9</v>
      </c>
      <c r="Z685">
        <v>4.5</v>
      </c>
      <c r="AA685">
        <v>0</v>
      </c>
      <c r="AB685">
        <v>4</v>
      </c>
      <c r="AC685">
        <v>7.5</v>
      </c>
      <c r="AD685" t="s">
        <v>37</v>
      </c>
      <c r="AE685" t="str">
        <f>IF(AND(data[[#This Row],[Age]]&gt;=18,data[[#This Row],[Age]]&lt;=24),"18-24",IF(AND(data[[#This Row],[Age]]&gt;=25,data[[#This Row],[Age]]&lt;=34),"25-34",IF(AND(data[[#This Row],[Age]]&gt;35,data[[#This Row],[Age]]&lt;=44),"35-44",IF(data[[#This Row],[Age]]&gt;44,"45+",IF(data[[#This Row],[Age]]&lt;18,"below 18 ")))))</f>
        <v>18-24</v>
      </c>
    </row>
    <row r="686" spans="1:31" x14ac:dyDescent="0.25">
      <c r="A686" t="s">
        <v>739</v>
      </c>
      <c r="B686">
        <v>33</v>
      </c>
      <c r="C686" t="s">
        <v>31</v>
      </c>
      <c r="D686" t="s">
        <v>39</v>
      </c>
      <c r="E686" t="s">
        <v>58</v>
      </c>
      <c r="F686" t="s">
        <v>70</v>
      </c>
      <c r="G686">
        <v>4.5999999999999996</v>
      </c>
      <c r="H686">
        <v>7</v>
      </c>
      <c r="I686">
        <v>1</v>
      </c>
      <c r="J686" t="s">
        <v>42</v>
      </c>
      <c r="K686" t="s">
        <v>52</v>
      </c>
      <c r="L686">
        <v>121</v>
      </c>
      <c r="M686">
        <v>5.5</v>
      </c>
      <c r="N686">
        <v>8</v>
      </c>
      <c r="O686">
        <v>5.6</v>
      </c>
      <c r="P686">
        <v>5.6</v>
      </c>
      <c r="Q686" t="s">
        <v>42</v>
      </c>
      <c r="R686" t="s">
        <v>35</v>
      </c>
      <c r="S686">
        <v>9.9</v>
      </c>
      <c r="T686">
        <v>5.5</v>
      </c>
      <c r="U686">
        <v>3</v>
      </c>
      <c r="V686">
        <v>7.4</v>
      </c>
      <c r="W686">
        <v>7.4</v>
      </c>
      <c r="X686">
        <v>5.5</v>
      </c>
      <c r="Y686">
        <v>8.6999999999999993</v>
      </c>
      <c r="Z686">
        <v>7.2</v>
      </c>
      <c r="AA686">
        <v>6.3</v>
      </c>
      <c r="AB686">
        <v>5.8</v>
      </c>
      <c r="AC686">
        <v>5.6</v>
      </c>
      <c r="AD686" t="s">
        <v>43</v>
      </c>
      <c r="AE686" t="str">
        <f>IF(AND(data[[#This Row],[Age]]&gt;=18,data[[#This Row],[Age]]&lt;=24),"18-24",IF(AND(data[[#This Row],[Age]]&gt;=25,data[[#This Row],[Age]]&lt;=34),"25-34",IF(AND(data[[#This Row],[Age]]&gt;35,data[[#This Row],[Age]]&lt;=44),"35-44",IF(data[[#This Row],[Age]]&gt;44,"45+",IF(data[[#This Row],[Age]]&lt;18,"below 18 ")))))</f>
        <v>25-34</v>
      </c>
    </row>
    <row r="687" spans="1:31" x14ac:dyDescent="0.25">
      <c r="A687" t="s">
        <v>740</v>
      </c>
      <c r="B687">
        <v>35</v>
      </c>
      <c r="C687" t="s">
        <v>47</v>
      </c>
      <c r="D687" t="s">
        <v>39</v>
      </c>
      <c r="E687" t="s">
        <v>33</v>
      </c>
      <c r="F687" t="s">
        <v>51</v>
      </c>
      <c r="G687">
        <v>6.7</v>
      </c>
      <c r="H687">
        <v>1</v>
      </c>
      <c r="I687">
        <v>5</v>
      </c>
      <c r="K687" t="s">
        <v>36</v>
      </c>
      <c r="L687">
        <v>92</v>
      </c>
      <c r="M687">
        <v>4.5</v>
      </c>
      <c r="N687">
        <v>2</v>
      </c>
      <c r="O687">
        <v>2</v>
      </c>
      <c r="P687">
        <v>6</v>
      </c>
      <c r="Q687" t="s">
        <v>35</v>
      </c>
      <c r="R687" t="s">
        <v>42</v>
      </c>
      <c r="S687">
        <v>10</v>
      </c>
      <c r="T687">
        <v>6.1</v>
      </c>
      <c r="U687">
        <v>4</v>
      </c>
      <c r="V687">
        <v>4.3</v>
      </c>
      <c r="W687">
        <v>6.8</v>
      </c>
      <c r="X687">
        <v>4.7</v>
      </c>
      <c r="Y687">
        <v>3.1</v>
      </c>
      <c r="Z687">
        <v>6</v>
      </c>
      <c r="AA687">
        <v>0.9</v>
      </c>
      <c r="AB687">
        <v>3.9</v>
      </c>
      <c r="AC687">
        <v>7.2</v>
      </c>
      <c r="AD687" t="s">
        <v>53</v>
      </c>
      <c r="AE687" t="b">
        <f>IF(AND(data[[#This Row],[Age]]&gt;=18,data[[#This Row],[Age]]&lt;=24),"18-24",IF(AND(data[[#This Row],[Age]]&gt;=25,data[[#This Row],[Age]]&lt;=34),"25-34",IF(AND(data[[#This Row],[Age]]&gt;35,data[[#This Row],[Age]]&lt;=44),"35-44",IF(data[[#This Row],[Age]]&gt;44,"45+",IF(data[[#This Row],[Age]]&lt;18,"below 18 ")))))</f>
        <v>0</v>
      </c>
    </row>
    <row r="688" spans="1:31" x14ac:dyDescent="0.25">
      <c r="A688" t="s">
        <v>741</v>
      </c>
      <c r="B688">
        <v>38</v>
      </c>
      <c r="C688" t="s">
        <v>31</v>
      </c>
      <c r="D688" t="s">
        <v>57</v>
      </c>
      <c r="E688" t="s">
        <v>33</v>
      </c>
      <c r="F688" t="s">
        <v>41</v>
      </c>
      <c r="G688">
        <v>4.0999999999999996</v>
      </c>
      <c r="H688">
        <v>4</v>
      </c>
      <c r="I688">
        <v>3</v>
      </c>
      <c r="J688" t="s">
        <v>35</v>
      </c>
      <c r="K688" t="s">
        <v>62</v>
      </c>
      <c r="L688">
        <v>16</v>
      </c>
      <c r="M688">
        <v>0.5</v>
      </c>
      <c r="N688">
        <v>5.3</v>
      </c>
      <c r="O688">
        <v>5.5</v>
      </c>
      <c r="P688">
        <v>5.9</v>
      </c>
      <c r="Q688" t="s">
        <v>42</v>
      </c>
      <c r="R688" t="s">
        <v>35</v>
      </c>
      <c r="S688">
        <v>10</v>
      </c>
      <c r="T688">
        <v>4</v>
      </c>
      <c r="U688">
        <v>4.9000000000000004</v>
      </c>
      <c r="V688">
        <v>5.2</v>
      </c>
      <c r="W688">
        <v>3.7</v>
      </c>
      <c r="X688">
        <v>6.1</v>
      </c>
      <c r="Y688">
        <v>5.4</v>
      </c>
      <c r="Z688">
        <v>4.9000000000000004</v>
      </c>
      <c r="AA688">
        <v>1.9</v>
      </c>
      <c r="AB688">
        <v>3.4</v>
      </c>
      <c r="AC688">
        <v>8.1</v>
      </c>
      <c r="AD688" t="s">
        <v>37</v>
      </c>
      <c r="AE688" t="str">
        <f>IF(AND(data[[#This Row],[Age]]&gt;=18,data[[#This Row],[Age]]&lt;=24),"18-24",IF(AND(data[[#This Row],[Age]]&gt;=25,data[[#This Row],[Age]]&lt;=34),"25-34",IF(AND(data[[#This Row],[Age]]&gt;35,data[[#This Row],[Age]]&lt;=44),"35-44",IF(data[[#This Row],[Age]]&gt;44,"45+",IF(data[[#This Row],[Age]]&lt;18,"below 18 ")))))</f>
        <v>35-44</v>
      </c>
    </row>
    <row r="689" spans="1:31" x14ac:dyDescent="0.25">
      <c r="A689" t="s">
        <v>742</v>
      </c>
      <c r="B689">
        <v>38</v>
      </c>
      <c r="C689" t="s">
        <v>31</v>
      </c>
      <c r="D689" t="s">
        <v>32</v>
      </c>
      <c r="E689" t="s">
        <v>40</v>
      </c>
      <c r="F689" t="s">
        <v>51</v>
      </c>
      <c r="H689">
        <v>5</v>
      </c>
      <c r="I689">
        <v>3</v>
      </c>
      <c r="J689" t="s">
        <v>35</v>
      </c>
      <c r="K689" t="s">
        <v>36</v>
      </c>
      <c r="L689">
        <v>13</v>
      </c>
      <c r="M689">
        <v>5.0999999999999996</v>
      </c>
      <c r="N689">
        <v>3.8</v>
      </c>
      <c r="O689">
        <v>4.3</v>
      </c>
      <c r="P689">
        <v>10</v>
      </c>
      <c r="Q689" t="s">
        <v>35</v>
      </c>
      <c r="R689" t="s">
        <v>35</v>
      </c>
      <c r="S689">
        <v>2.4</v>
      </c>
      <c r="T689">
        <v>5</v>
      </c>
      <c r="U689">
        <v>5.3</v>
      </c>
      <c r="V689">
        <v>5</v>
      </c>
      <c r="W689">
        <v>6.5</v>
      </c>
      <c r="Y689">
        <v>2.8</v>
      </c>
      <c r="Z689">
        <v>4</v>
      </c>
      <c r="AA689">
        <v>3.5</v>
      </c>
      <c r="AB689">
        <v>3.9</v>
      </c>
      <c r="AC689">
        <v>5.9</v>
      </c>
      <c r="AD689" t="s">
        <v>53</v>
      </c>
      <c r="AE689" t="str">
        <f>IF(AND(data[[#This Row],[Age]]&gt;=18,data[[#This Row],[Age]]&lt;=24),"18-24",IF(AND(data[[#This Row],[Age]]&gt;=25,data[[#This Row],[Age]]&lt;=34),"25-34",IF(AND(data[[#This Row],[Age]]&gt;35,data[[#This Row],[Age]]&lt;=44),"35-44",IF(data[[#This Row],[Age]]&gt;44,"45+",IF(data[[#This Row],[Age]]&lt;18,"below 18 ")))))</f>
        <v>35-44</v>
      </c>
    </row>
    <row r="690" spans="1:31" x14ac:dyDescent="0.25">
      <c r="A690" t="s">
        <v>743</v>
      </c>
      <c r="B690">
        <v>43</v>
      </c>
      <c r="C690" t="s">
        <v>31</v>
      </c>
      <c r="D690" t="s">
        <v>64</v>
      </c>
      <c r="E690" t="s">
        <v>33</v>
      </c>
      <c r="F690" t="s">
        <v>51</v>
      </c>
      <c r="G690">
        <v>4.5999999999999996</v>
      </c>
      <c r="H690">
        <v>3</v>
      </c>
      <c r="I690">
        <v>7</v>
      </c>
      <c r="J690" t="s">
        <v>35</v>
      </c>
      <c r="K690" t="s">
        <v>62</v>
      </c>
      <c r="L690">
        <v>52</v>
      </c>
      <c r="M690">
        <v>7.9</v>
      </c>
      <c r="N690">
        <v>6.3</v>
      </c>
      <c r="O690">
        <v>3.3</v>
      </c>
      <c r="P690">
        <v>5</v>
      </c>
      <c r="Q690" t="s">
        <v>42</v>
      </c>
      <c r="R690" t="s">
        <v>42</v>
      </c>
      <c r="S690">
        <v>6.3</v>
      </c>
      <c r="T690">
        <v>2.4</v>
      </c>
      <c r="U690">
        <v>0</v>
      </c>
      <c r="W690">
        <v>6.2</v>
      </c>
      <c r="X690">
        <v>8.3000000000000007</v>
      </c>
      <c r="Y690">
        <v>5.3</v>
      </c>
      <c r="Z690">
        <v>4.5999999999999996</v>
      </c>
      <c r="AA690">
        <v>6.1</v>
      </c>
      <c r="AB690">
        <v>1</v>
      </c>
      <c r="AC690">
        <v>6.2</v>
      </c>
      <c r="AD690" t="s">
        <v>45</v>
      </c>
      <c r="AE690" t="str">
        <f>IF(AND(data[[#This Row],[Age]]&gt;=18,data[[#This Row],[Age]]&lt;=24),"18-24",IF(AND(data[[#This Row],[Age]]&gt;=25,data[[#This Row],[Age]]&lt;=34),"25-34",IF(AND(data[[#This Row],[Age]]&gt;35,data[[#This Row],[Age]]&lt;=44),"35-44",IF(data[[#This Row],[Age]]&gt;44,"45+",IF(data[[#This Row],[Age]]&lt;18,"below 18 ")))))</f>
        <v>35-44</v>
      </c>
    </row>
    <row r="691" spans="1:31" x14ac:dyDescent="0.25">
      <c r="A691" t="s">
        <v>744</v>
      </c>
      <c r="B691">
        <v>43</v>
      </c>
      <c r="C691" t="s">
        <v>31</v>
      </c>
      <c r="D691" t="s">
        <v>39</v>
      </c>
      <c r="E691" t="s">
        <v>33</v>
      </c>
      <c r="F691" t="s">
        <v>34</v>
      </c>
      <c r="G691">
        <v>3.3</v>
      </c>
      <c r="H691">
        <v>3</v>
      </c>
      <c r="I691">
        <v>4</v>
      </c>
      <c r="J691" t="s">
        <v>42</v>
      </c>
      <c r="K691" t="s">
        <v>36</v>
      </c>
      <c r="L691">
        <v>64</v>
      </c>
      <c r="M691">
        <v>10</v>
      </c>
      <c r="N691">
        <v>4.8</v>
      </c>
      <c r="O691">
        <v>5.8</v>
      </c>
      <c r="P691">
        <v>5.8</v>
      </c>
      <c r="Q691" t="s">
        <v>42</v>
      </c>
      <c r="R691" t="s">
        <v>42</v>
      </c>
      <c r="S691">
        <v>2.2999999999999998</v>
      </c>
      <c r="T691">
        <v>2.1</v>
      </c>
      <c r="U691">
        <v>1</v>
      </c>
      <c r="V691">
        <v>8.4</v>
      </c>
      <c r="W691">
        <v>5</v>
      </c>
      <c r="X691">
        <v>6.2</v>
      </c>
      <c r="Y691">
        <v>7.1</v>
      </c>
      <c r="AA691">
        <v>1.6</v>
      </c>
      <c r="AB691">
        <v>2.1</v>
      </c>
      <c r="AC691">
        <v>5</v>
      </c>
      <c r="AD691" t="s">
        <v>43</v>
      </c>
      <c r="AE691" t="str">
        <f>IF(AND(data[[#This Row],[Age]]&gt;=18,data[[#This Row],[Age]]&lt;=24),"18-24",IF(AND(data[[#This Row],[Age]]&gt;=25,data[[#This Row],[Age]]&lt;=34),"25-34",IF(AND(data[[#This Row],[Age]]&gt;35,data[[#This Row],[Age]]&lt;=44),"35-44",IF(data[[#This Row],[Age]]&gt;44,"45+",IF(data[[#This Row],[Age]]&lt;18,"below 18 ")))))</f>
        <v>35-44</v>
      </c>
    </row>
    <row r="692" spans="1:31" x14ac:dyDescent="0.25">
      <c r="A692" t="s">
        <v>745</v>
      </c>
      <c r="B692">
        <v>42</v>
      </c>
      <c r="C692" t="s">
        <v>31</v>
      </c>
      <c r="D692" t="s">
        <v>39</v>
      </c>
      <c r="E692" t="s">
        <v>58</v>
      </c>
      <c r="F692" t="s">
        <v>51</v>
      </c>
      <c r="G692">
        <v>3.5</v>
      </c>
      <c r="H692">
        <v>7</v>
      </c>
      <c r="I692">
        <v>5</v>
      </c>
      <c r="J692" t="s">
        <v>35</v>
      </c>
      <c r="K692" t="s">
        <v>52</v>
      </c>
      <c r="L692">
        <v>91</v>
      </c>
      <c r="M692">
        <v>0</v>
      </c>
      <c r="N692">
        <v>5</v>
      </c>
      <c r="O692">
        <v>7.8</v>
      </c>
      <c r="P692">
        <v>1.4</v>
      </c>
      <c r="Q692" t="s">
        <v>42</v>
      </c>
      <c r="R692" t="s">
        <v>35</v>
      </c>
      <c r="S692">
        <v>3.3</v>
      </c>
      <c r="U692">
        <v>6.6</v>
      </c>
      <c r="W692">
        <v>4.8</v>
      </c>
      <c r="X692">
        <v>5</v>
      </c>
      <c r="Z692">
        <v>7.2</v>
      </c>
      <c r="AA692">
        <v>2.6</v>
      </c>
      <c r="AB692">
        <v>3.7</v>
      </c>
      <c r="AC692">
        <v>8.1999999999999993</v>
      </c>
      <c r="AD692" t="s">
        <v>37</v>
      </c>
      <c r="AE692" t="str">
        <f>IF(AND(data[[#This Row],[Age]]&gt;=18,data[[#This Row],[Age]]&lt;=24),"18-24",IF(AND(data[[#This Row],[Age]]&gt;=25,data[[#This Row],[Age]]&lt;=34),"25-34",IF(AND(data[[#This Row],[Age]]&gt;35,data[[#This Row],[Age]]&lt;=44),"35-44",IF(data[[#This Row],[Age]]&gt;44,"45+",IF(data[[#This Row],[Age]]&lt;18,"below 18 ")))))</f>
        <v>35-44</v>
      </c>
    </row>
    <row r="693" spans="1:31" x14ac:dyDescent="0.25">
      <c r="A693" t="s">
        <v>746</v>
      </c>
      <c r="B693">
        <v>40</v>
      </c>
      <c r="C693" t="s">
        <v>31</v>
      </c>
      <c r="D693" t="s">
        <v>32</v>
      </c>
      <c r="E693" t="s">
        <v>40</v>
      </c>
      <c r="F693" t="s">
        <v>51</v>
      </c>
      <c r="G693">
        <v>5.6</v>
      </c>
      <c r="H693">
        <v>4</v>
      </c>
      <c r="I693">
        <v>4</v>
      </c>
      <c r="J693" t="s">
        <v>35</v>
      </c>
      <c r="K693" t="s">
        <v>36</v>
      </c>
      <c r="L693">
        <v>36</v>
      </c>
      <c r="M693">
        <v>1.5</v>
      </c>
      <c r="N693">
        <v>8.1</v>
      </c>
      <c r="P693">
        <v>4.9000000000000004</v>
      </c>
      <c r="Q693" t="s">
        <v>42</v>
      </c>
      <c r="R693" t="s">
        <v>35</v>
      </c>
      <c r="S693">
        <v>7.4</v>
      </c>
      <c r="T693">
        <v>4.0999999999999996</v>
      </c>
      <c r="U693">
        <v>4.0999999999999996</v>
      </c>
      <c r="V693">
        <v>4.5</v>
      </c>
      <c r="W693">
        <v>3.2</v>
      </c>
      <c r="X693">
        <v>9.8000000000000007</v>
      </c>
      <c r="Y693">
        <v>5.4</v>
      </c>
      <c r="Z693">
        <v>8.4</v>
      </c>
      <c r="AA693">
        <v>0</v>
      </c>
      <c r="AB693">
        <v>0</v>
      </c>
      <c r="AC693">
        <v>6</v>
      </c>
      <c r="AD693" t="s">
        <v>45</v>
      </c>
      <c r="AE693" t="str">
        <f>IF(AND(data[[#This Row],[Age]]&gt;=18,data[[#This Row],[Age]]&lt;=24),"18-24",IF(AND(data[[#This Row],[Age]]&gt;=25,data[[#This Row],[Age]]&lt;=34),"25-34",IF(AND(data[[#This Row],[Age]]&gt;35,data[[#This Row],[Age]]&lt;=44),"35-44",IF(data[[#This Row],[Age]]&gt;44,"45+",IF(data[[#This Row],[Age]]&lt;18,"below 18 ")))))</f>
        <v>35-44</v>
      </c>
    </row>
    <row r="694" spans="1:31" x14ac:dyDescent="0.25">
      <c r="A694" t="s">
        <v>747</v>
      </c>
      <c r="B694">
        <v>30</v>
      </c>
      <c r="D694" t="s">
        <v>64</v>
      </c>
      <c r="E694" t="s">
        <v>40</v>
      </c>
      <c r="F694" t="s">
        <v>34</v>
      </c>
      <c r="G694">
        <v>4.9000000000000004</v>
      </c>
      <c r="H694">
        <v>5</v>
      </c>
      <c r="I694">
        <v>5</v>
      </c>
      <c r="J694" t="s">
        <v>35</v>
      </c>
      <c r="K694" t="s">
        <v>52</v>
      </c>
      <c r="L694">
        <v>51</v>
      </c>
      <c r="M694">
        <v>6.4</v>
      </c>
      <c r="N694">
        <v>2.6</v>
      </c>
      <c r="O694">
        <v>6</v>
      </c>
      <c r="P694">
        <v>1.1000000000000001</v>
      </c>
      <c r="Q694" t="s">
        <v>35</v>
      </c>
      <c r="R694" t="s">
        <v>42</v>
      </c>
      <c r="S694">
        <v>8.6999999999999993</v>
      </c>
      <c r="T694">
        <v>3.7</v>
      </c>
      <c r="U694">
        <v>5</v>
      </c>
      <c r="V694">
        <v>5</v>
      </c>
      <c r="W694">
        <v>8.8000000000000007</v>
      </c>
      <c r="X694">
        <v>7</v>
      </c>
      <c r="Y694">
        <v>5</v>
      </c>
      <c r="Z694">
        <v>6.3</v>
      </c>
      <c r="AB694">
        <v>2.2000000000000002</v>
      </c>
      <c r="AC694">
        <v>7.6</v>
      </c>
      <c r="AD694" t="s">
        <v>37</v>
      </c>
      <c r="AE694" t="str">
        <f>IF(AND(data[[#This Row],[Age]]&gt;=18,data[[#This Row],[Age]]&lt;=24),"18-24",IF(AND(data[[#This Row],[Age]]&gt;=25,data[[#This Row],[Age]]&lt;=34),"25-34",IF(AND(data[[#This Row],[Age]]&gt;35,data[[#This Row],[Age]]&lt;=44),"35-44",IF(data[[#This Row],[Age]]&gt;44,"45+",IF(data[[#This Row],[Age]]&lt;18,"below 18 ")))))</f>
        <v>25-34</v>
      </c>
    </row>
    <row r="695" spans="1:31" x14ac:dyDescent="0.25">
      <c r="A695" t="s">
        <v>748</v>
      </c>
      <c r="B695">
        <v>28</v>
      </c>
      <c r="C695" t="s">
        <v>50</v>
      </c>
      <c r="D695" t="s">
        <v>39</v>
      </c>
      <c r="E695" t="s">
        <v>40</v>
      </c>
      <c r="F695" t="s">
        <v>59</v>
      </c>
      <c r="G695">
        <v>7.3</v>
      </c>
      <c r="H695">
        <v>1</v>
      </c>
      <c r="I695">
        <v>7</v>
      </c>
      <c r="J695" t="s">
        <v>42</v>
      </c>
      <c r="K695" t="s">
        <v>36</v>
      </c>
      <c r="L695">
        <v>31</v>
      </c>
      <c r="M695">
        <v>1.2</v>
      </c>
      <c r="N695">
        <v>8.6</v>
      </c>
      <c r="O695">
        <v>2.7</v>
      </c>
      <c r="P695">
        <v>5</v>
      </c>
      <c r="Q695" t="s">
        <v>42</v>
      </c>
      <c r="R695" t="s">
        <v>42</v>
      </c>
      <c r="S695">
        <v>8.5</v>
      </c>
      <c r="T695">
        <v>7.2</v>
      </c>
      <c r="U695">
        <v>9.1999999999999993</v>
      </c>
      <c r="V695">
        <v>3.5</v>
      </c>
      <c r="W695">
        <v>8.5</v>
      </c>
      <c r="X695">
        <v>5.7</v>
      </c>
      <c r="Y695">
        <v>2.2999999999999998</v>
      </c>
      <c r="Z695">
        <v>6.2</v>
      </c>
      <c r="AA695">
        <v>1.8</v>
      </c>
      <c r="AB695">
        <v>4.8</v>
      </c>
      <c r="AC695">
        <v>6.1</v>
      </c>
      <c r="AD695" t="s">
        <v>53</v>
      </c>
      <c r="AE695" t="str">
        <f>IF(AND(data[[#This Row],[Age]]&gt;=18,data[[#This Row],[Age]]&lt;=24),"18-24",IF(AND(data[[#This Row],[Age]]&gt;=25,data[[#This Row],[Age]]&lt;=34),"25-34",IF(AND(data[[#This Row],[Age]]&gt;35,data[[#This Row],[Age]]&lt;=44),"35-44",IF(data[[#This Row],[Age]]&gt;44,"45+",IF(data[[#This Row],[Age]]&lt;18,"below 18 ")))))</f>
        <v>25-34</v>
      </c>
    </row>
    <row r="696" spans="1:31" x14ac:dyDescent="0.25">
      <c r="A696" t="s">
        <v>749</v>
      </c>
      <c r="B696">
        <v>16</v>
      </c>
      <c r="C696" t="s">
        <v>31</v>
      </c>
      <c r="D696" t="s">
        <v>32</v>
      </c>
      <c r="E696" t="s">
        <v>40</v>
      </c>
      <c r="F696" t="s">
        <v>70</v>
      </c>
      <c r="H696">
        <v>1</v>
      </c>
      <c r="I696">
        <v>6</v>
      </c>
      <c r="K696" t="s">
        <v>36</v>
      </c>
      <c r="L696">
        <v>64</v>
      </c>
      <c r="M696">
        <v>5.8</v>
      </c>
      <c r="N696">
        <v>3.8</v>
      </c>
      <c r="O696">
        <v>1.9</v>
      </c>
      <c r="P696">
        <v>3.6</v>
      </c>
      <c r="Q696" t="s">
        <v>42</v>
      </c>
      <c r="R696" t="s">
        <v>42</v>
      </c>
      <c r="S696">
        <v>5.3</v>
      </c>
      <c r="T696">
        <v>2.1</v>
      </c>
      <c r="U696">
        <v>4.3</v>
      </c>
      <c r="V696">
        <v>7.9</v>
      </c>
      <c r="W696">
        <v>6.1</v>
      </c>
      <c r="X696">
        <v>3.3</v>
      </c>
      <c r="Y696">
        <v>8.1999999999999993</v>
      </c>
      <c r="Z696">
        <v>3.9</v>
      </c>
      <c r="AA696">
        <v>3.7</v>
      </c>
      <c r="AB696">
        <v>3.7</v>
      </c>
      <c r="AC696">
        <v>6</v>
      </c>
      <c r="AD696" t="s">
        <v>45</v>
      </c>
      <c r="AE696" t="str">
        <f>IF(AND(data[[#This Row],[Age]]&gt;=18,data[[#This Row],[Age]]&lt;=24),"18-24",IF(AND(data[[#This Row],[Age]]&gt;=25,data[[#This Row],[Age]]&lt;=34),"25-34",IF(AND(data[[#This Row],[Age]]&gt;35,data[[#This Row],[Age]]&lt;=44),"35-44",IF(data[[#This Row],[Age]]&gt;44,"45+",IF(data[[#This Row],[Age]]&lt;18,"below 18 ")))))</f>
        <v xml:space="preserve">below 18 </v>
      </c>
    </row>
    <row r="697" spans="1:31" x14ac:dyDescent="0.25">
      <c r="A697" t="s">
        <v>750</v>
      </c>
      <c r="B697">
        <v>15</v>
      </c>
      <c r="C697" t="s">
        <v>31</v>
      </c>
      <c r="D697" t="s">
        <v>32</v>
      </c>
      <c r="E697" t="s">
        <v>58</v>
      </c>
      <c r="F697" t="s">
        <v>41</v>
      </c>
      <c r="G697">
        <v>4.3</v>
      </c>
      <c r="H697">
        <v>7</v>
      </c>
      <c r="I697">
        <v>7</v>
      </c>
      <c r="J697" t="s">
        <v>42</v>
      </c>
      <c r="K697" t="s">
        <v>36</v>
      </c>
      <c r="L697">
        <v>81</v>
      </c>
      <c r="M697">
        <v>5.4</v>
      </c>
      <c r="N697">
        <v>5.5</v>
      </c>
      <c r="O697">
        <v>2.4</v>
      </c>
      <c r="P697">
        <v>9.1</v>
      </c>
      <c r="Q697" t="s">
        <v>42</v>
      </c>
      <c r="R697" t="s">
        <v>35</v>
      </c>
      <c r="S697">
        <v>6.7</v>
      </c>
      <c r="T697">
        <v>3.9</v>
      </c>
      <c r="U697">
        <v>5.0999999999999996</v>
      </c>
      <c r="V697">
        <v>6.1</v>
      </c>
      <c r="W697">
        <v>3.2</v>
      </c>
      <c r="AA697">
        <v>5.2</v>
      </c>
      <c r="AC697">
        <v>5.9</v>
      </c>
      <c r="AD697" t="s">
        <v>45</v>
      </c>
      <c r="AE697" t="str">
        <f>IF(AND(data[[#This Row],[Age]]&gt;=18,data[[#This Row],[Age]]&lt;=24),"18-24",IF(AND(data[[#This Row],[Age]]&gt;=25,data[[#This Row],[Age]]&lt;=34),"25-34",IF(AND(data[[#This Row],[Age]]&gt;35,data[[#This Row],[Age]]&lt;=44),"35-44",IF(data[[#This Row],[Age]]&gt;44,"45+",IF(data[[#This Row],[Age]]&lt;18,"below 18 ")))))</f>
        <v xml:space="preserve">below 18 </v>
      </c>
    </row>
    <row r="698" spans="1:31" x14ac:dyDescent="0.25">
      <c r="A698" t="s">
        <v>751</v>
      </c>
      <c r="B698">
        <v>16</v>
      </c>
      <c r="C698" t="s">
        <v>47</v>
      </c>
      <c r="D698" t="s">
        <v>39</v>
      </c>
      <c r="E698" t="s">
        <v>33</v>
      </c>
      <c r="F698" t="s">
        <v>51</v>
      </c>
      <c r="G698">
        <v>2.1</v>
      </c>
      <c r="H698">
        <v>4</v>
      </c>
      <c r="I698">
        <v>3</v>
      </c>
      <c r="J698" t="s">
        <v>42</v>
      </c>
      <c r="K698" t="s">
        <v>36</v>
      </c>
      <c r="L698">
        <v>45</v>
      </c>
      <c r="M698">
        <v>4.2</v>
      </c>
      <c r="N698">
        <v>3.8</v>
      </c>
      <c r="O698">
        <v>3.7</v>
      </c>
      <c r="P698">
        <v>5.0999999999999996</v>
      </c>
      <c r="Q698" t="s">
        <v>42</v>
      </c>
      <c r="R698" t="s">
        <v>35</v>
      </c>
      <c r="S698">
        <v>5.4</v>
      </c>
      <c r="T698">
        <v>1.6</v>
      </c>
      <c r="U698">
        <v>5.9</v>
      </c>
      <c r="V698">
        <v>5.2</v>
      </c>
      <c r="W698">
        <v>4.3</v>
      </c>
      <c r="X698">
        <v>9.6</v>
      </c>
      <c r="Y698">
        <v>5.9</v>
      </c>
      <c r="Z698">
        <v>1.6</v>
      </c>
      <c r="AA698">
        <v>0.3</v>
      </c>
      <c r="AB698">
        <v>2.1</v>
      </c>
      <c r="AC698">
        <v>5.9</v>
      </c>
      <c r="AD698" t="s">
        <v>45</v>
      </c>
      <c r="AE698" t="str">
        <f>IF(AND(data[[#This Row],[Age]]&gt;=18,data[[#This Row],[Age]]&lt;=24),"18-24",IF(AND(data[[#This Row],[Age]]&gt;=25,data[[#This Row],[Age]]&lt;=34),"25-34",IF(AND(data[[#This Row],[Age]]&gt;35,data[[#This Row],[Age]]&lt;=44),"35-44",IF(data[[#This Row],[Age]]&gt;44,"45+",IF(data[[#This Row],[Age]]&lt;18,"below 18 ")))))</f>
        <v xml:space="preserve">below 18 </v>
      </c>
    </row>
    <row r="699" spans="1:31" x14ac:dyDescent="0.25">
      <c r="A699" t="s">
        <v>752</v>
      </c>
      <c r="B699">
        <v>39</v>
      </c>
      <c r="C699" t="s">
        <v>47</v>
      </c>
      <c r="D699" t="s">
        <v>32</v>
      </c>
      <c r="E699" t="s">
        <v>33</v>
      </c>
      <c r="F699" t="s">
        <v>51</v>
      </c>
      <c r="G699">
        <v>2.9</v>
      </c>
      <c r="H699">
        <v>2</v>
      </c>
      <c r="I699">
        <v>6</v>
      </c>
      <c r="J699" t="s">
        <v>35</v>
      </c>
      <c r="K699" t="s">
        <v>52</v>
      </c>
      <c r="L699">
        <v>84</v>
      </c>
      <c r="M699">
        <v>7.3</v>
      </c>
      <c r="N699">
        <v>3.4</v>
      </c>
      <c r="O699">
        <v>4.8</v>
      </c>
      <c r="P699">
        <v>2.8</v>
      </c>
      <c r="Q699" t="s">
        <v>35</v>
      </c>
      <c r="R699" t="s">
        <v>35</v>
      </c>
      <c r="S699">
        <v>6.3</v>
      </c>
      <c r="T699">
        <v>3.6</v>
      </c>
      <c r="U699">
        <v>5.4</v>
      </c>
      <c r="V699">
        <v>6.8</v>
      </c>
      <c r="W699">
        <v>3.8</v>
      </c>
      <c r="X699">
        <v>7.7</v>
      </c>
      <c r="Y699">
        <v>6.6</v>
      </c>
      <c r="Z699">
        <v>6.4</v>
      </c>
      <c r="AA699">
        <v>4.8</v>
      </c>
      <c r="AB699">
        <v>6</v>
      </c>
      <c r="AC699">
        <v>6.3</v>
      </c>
      <c r="AD699" t="s">
        <v>53</v>
      </c>
      <c r="AE699" t="str">
        <f>IF(AND(data[[#This Row],[Age]]&gt;=18,data[[#This Row],[Age]]&lt;=24),"18-24",IF(AND(data[[#This Row],[Age]]&gt;=25,data[[#This Row],[Age]]&lt;=34),"25-34",IF(AND(data[[#This Row],[Age]]&gt;35,data[[#This Row],[Age]]&lt;=44),"35-44",IF(data[[#This Row],[Age]]&gt;44,"45+",IF(data[[#This Row],[Age]]&lt;18,"below 18 ")))))</f>
        <v>35-44</v>
      </c>
    </row>
    <row r="700" spans="1:31" x14ac:dyDescent="0.25">
      <c r="A700" t="s">
        <v>753</v>
      </c>
      <c r="B700">
        <v>22</v>
      </c>
      <c r="C700" t="s">
        <v>31</v>
      </c>
      <c r="D700" t="s">
        <v>57</v>
      </c>
      <c r="E700" t="s">
        <v>40</v>
      </c>
      <c r="F700" t="s">
        <v>34</v>
      </c>
      <c r="G700">
        <v>5.3</v>
      </c>
      <c r="H700">
        <v>4</v>
      </c>
      <c r="I700">
        <v>9</v>
      </c>
      <c r="J700" t="s">
        <v>35</v>
      </c>
      <c r="K700" t="s">
        <v>62</v>
      </c>
      <c r="L700">
        <v>46</v>
      </c>
      <c r="M700">
        <v>3</v>
      </c>
      <c r="N700">
        <v>10</v>
      </c>
      <c r="O700">
        <v>5.0999999999999996</v>
      </c>
      <c r="P700">
        <v>6.5</v>
      </c>
      <c r="Q700" t="s">
        <v>42</v>
      </c>
      <c r="R700" t="s">
        <v>42</v>
      </c>
      <c r="S700">
        <v>9.9</v>
      </c>
      <c r="T700">
        <v>5.2</v>
      </c>
      <c r="U700">
        <v>2.8</v>
      </c>
      <c r="V700">
        <v>8.1999999999999993</v>
      </c>
      <c r="W700">
        <v>5.9</v>
      </c>
      <c r="Y700">
        <v>6.5</v>
      </c>
      <c r="Z700">
        <v>8.4</v>
      </c>
      <c r="AA700">
        <v>4.5999999999999996</v>
      </c>
      <c r="AB700">
        <v>2.4</v>
      </c>
      <c r="AC700">
        <v>7.6</v>
      </c>
      <c r="AD700" t="s">
        <v>37</v>
      </c>
      <c r="AE700" t="str">
        <f>IF(AND(data[[#This Row],[Age]]&gt;=18,data[[#This Row],[Age]]&lt;=24),"18-24",IF(AND(data[[#This Row],[Age]]&gt;=25,data[[#This Row],[Age]]&lt;=34),"25-34",IF(AND(data[[#This Row],[Age]]&gt;35,data[[#This Row],[Age]]&lt;=44),"35-44",IF(data[[#This Row],[Age]]&gt;44,"45+",IF(data[[#This Row],[Age]]&lt;18,"below 18 ")))))</f>
        <v>18-24</v>
      </c>
    </row>
    <row r="701" spans="1:31" x14ac:dyDescent="0.25">
      <c r="A701" t="s">
        <v>754</v>
      </c>
      <c r="B701">
        <v>41</v>
      </c>
      <c r="C701" t="s">
        <v>47</v>
      </c>
      <c r="D701" t="s">
        <v>32</v>
      </c>
      <c r="E701" t="s">
        <v>33</v>
      </c>
      <c r="F701" t="s">
        <v>41</v>
      </c>
      <c r="G701">
        <v>5.2</v>
      </c>
      <c r="H701">
        <v>3</v>
      </c>
      <c r="I701">
        <v>6</v>
      </c>
      <c r="J701" t="s">
        <v>35</v>
      </c>
      <c r="K701" t="s">
        <v>52</v>
      </c>
      <c r="L701">
        <v>146</v>
      </c>
      <c r="M701">
        <v>8.1999999999999993</v>
      </c>
      <c r="N701">
        <v>7.1</v>
      </c>
      <c r="O701">
        <v>7.8</v>
      </c>
      <c r="P701">
        <v>7.6</v>
      </c>
      <c r="Q701" t="s">
        <v>35</v>
      </c>
      <c r="R701" t="s">
        <v>35</v>
      </c>
      <c r="S701">
        <v>3</v>
      </c>
      <c r="T701">
        <v>5.2</v>
      </c>
      <c r="U701">
        <v>4.9000000000000004</v>
      </c>
      <c r="V701">
        <v>6.6</v>
      </c>
      <c r="W701">
        <v>3.6</v>
      </c>
      <c r="X701">
        <v>7.2</v>
      </c>
      <c r="Y701">
        <v>6</v>
      </c>
      <c r="Z701">
        <v>4.3</v>
      </c>
      <c r="AA701">
        <v>4.7</v>
      </c>
      <c r="AB701">
        <v>1.9</v>
      </c>
      <c r="AC701">
        <v>4.9000000000000004</v>
      </c>
      <c r="AD701" t="s">
        <v>43</v>
      </c>
      <c r="AE701" t="str">
        <f>IF(AND(data[[#This Row],[Age]]&gt;=18,data[[#This Row],[Age]]&lt;=24),"18-24",IF(AND(data[[#This Row],[Age]]&gt;=25,data[[#This Row],[Age]]&lt;=34),"25-34",IF(AND(data[[#This Row],[Age]]&gt;35,data[[#This Row],[Age]]&lt;=44),"35-44",IF(data[[#This Row],[Age]]&gt;44,"45+",IF(data[[#This Row],[Age]]&lt;18,"below 18 ")))))</f>
        <v>35-44</v>
      </c>
    </row>
    <row r="702" spans="1:31" x14ac:dyDescent="0.25">
      <c r="A702" t="s">
        <v>755</v>
      </c>
      <c r="B702">
        <v>19</v>
      </c>
      <c r="C702" t="s">
        <v>31</v>
      </c>
      <c r="D702" t="s">
        <v>32</v>
      </c>
      <c r="E702" t="s">
        <v>58</v>
      </c>
      <c r="F702" t="s">
        <v>34</v>
      </c>
      <c r="G702">
        <v>8</v>
      </c>
      <c r="H702">
        <v>2</v>
      </c>
      <c r="I702">
        <v>1</v>
      </c>
      <c r="J702" t="s">
        <v>35</v>
      </c>
      <c r="K702" t="s">
        <v>52</v>
      </c>
      <c r="L702">
        <v>66</v>
      </c>
      <c r="M702">
        <v>4</v>
      </c>
      <c r="N702">
        <v>5.4</v>
      </c>
      <c r="O702">
        <v>3.6</v>
      </c>
      <c r="P702">
        <v>4</v>
      </c>
      <c r="Q702" t="s">
        <v>35</v>
      </c>
      <c r="R702" t="s">
        <v>42</v>
      </c>
      <c r="S702">
        <v>3.8</v>
      </c>
      <c r="T702">
        <v>3.6</v>
      </c>
      <c r="U702">
        <v>5.8</v>
      </c>
      <c r="V702">
        <v>5.4</v>
      </c>
      <c r="X702">
        <v>6.3</v>
      </c>
      <c r="Y702">
        <v>6.1</v>
      </c>
      <c r="AA702">
        <v>4.3</v>
      </c>
      <c r="AB702">
        <v>3.5</v>
      </c>
      <c r="AC702">
        <v>7.4</v>
      </c>
      <c r="AD702" t="s">
        <v>37</v>
      </c>
      <c r="AE702" t="str">
        <f>IF(AND(data[[#This Row],[Age]]&gt;=18,data[[#This Row],[Age]]&lt;=24),"18-24",IF(AND(data[[#This Row],[Age]]&gt;=25,data[[#This Row],[Age]]&lt;=34),"25-34",IF(AND(data[[#This Row],[Age]]&gt;35,data[[#This Row],[Age]]&lt;=44),"35-44",IF(data[[#This Row],[Age]]&gt;44,"45+",IF(data[[#This Row],[Age]]&lt;18,"below 18 ")))))</f>
        <v>18-24</v>
      </c>
    </row>
    <row r="703" spans="1:31" x14ac:dyDescent="0.25">
      <c r="A703" t="s">
        <v>756</v>
      </c>
      <c r="B703">
        <v>25</v>
      </c>
      <c r="C703" t="s">
        <v>50</v>
      </c>
      <c r="D703" t="s">
        <v>32</v>
      </c>
      <c r="E703" t="s">
        <v>33</v>
      </c>
      <c r="F703" t="s">
        <v>41</v>
      </c>
      <c r="G703">
        <v>3.2</v>
      </c>
      <c r="H703">
        <v>3</v>
      </c>
      <c r="I703">
        <v>6</v>
      </c>
      <c r="J703" t="s">
        <v>42</v>
      </c>
      <c r="K703" t="s">
        <v>52</v>
      </c>
      <c r="L703">
        <v>55</v>
      </c>
      <c r="M703">
        <v>10</v>
      </c>
      <c r="N703">
        <v>3.9</v>
      </c>
      <c r="O703">
        <v>3.9</v>
      </c>
      <c r="P703">
        <v>7.4</v>
      </c>
      <c r="Q703" t="s">
        <v>42</v>
      </c>
      <c r="R703" t="s">
        <v>42</v>
      </c>
      <c r="S703">
        <v>4.2</v>
      </c>
      <c r="T703">
        <v>3.8</v>
      </c>
      <c r="U703">
        <v>4.4000000000000004</v>
      </c>
      <c r="V703">
        <v>5.3</v>
      </c>
      <c r="W703">
        <v>9.5</v>
      </c>
      <c r="X703">
        <v>5.5</v>
      </c>
      <c r="Y703">
        <v>4.9000000000000004</v>
      </c>
      <c r="Z703">
        <v>9</v>
      </c>
      <c r="AA703">
        <v>2.2999999999999998</v>
      </c>
      <c r="AB703">
        <v>0.2</v>
      </c>
      <c r="AC703">
        <v>6.4</v>
      </c>
      <c r="AD703" t="s">
        <v>45</v>
      </c>
      <c r="AE703" t="str">
        <f>IF(AND(data[[#This Row],[Age]]&gt;=18,data[[#This Row],[Age]]&lt;=24),"18-24",IF(AND(data[[#This Row],[Age]]&gt;=25,data[[#This Row],[Age]]&lt;=34),"25-34",IF(AND(data[[#This Row],[Age]]&gt;35,data[[#This Row],[Age]]&lt;=44),"35-44",IF(data[[#This Row],[Age]]&gt;44,"45+",IF(data[[#This Row],[Age]]&lt;18,"below 18 ")))))</f>
        <v>25-34</v>
      </c>
    </row>
    <row r="704" spans="1:31" x14ac:dyDescent="0.25">
      <c r="A704" t="s">
        <v>757</v>
      </c>
      <c r="B704">
        <v>30</v>
      </c>
      <c r="C704" t="s">
        <v>31</v>
      </c>
      <c r="D704" t="s">
        <v>64</v>
      </c>
      <c r="E704" t="s">
        <v>58</v>
      </c>
      <c r="F704" t="s">
        <v>51</v>
      </c>
      <c r="G704">
        <v>5.9</v>
      </c>
      <c r="H704">
        <v>3</v>
      </c>
      <c r="I704">
        <v>5</v>
      </c>
      <c r="J704" t="s">
        <v>35</v>
      </c>
      <c r="K704" t="s">
        <v>52</v>
      </c>
      <c r="L704">
        <v>90</v>
      </c>
      <c r="M704">
        <v>5</v>
      </c>
      <c r="N704">
        <v>7.8</v>
      </c>
      <c r="O704">
        <v>4.2</v>
      </c>
      <c r="P704">
        <v>4</v>
      </c>
      <c r="Q704" t="s">
        <v>42</v>
      </c>
      <c r="R704" t="s">
        <v>35</v>
      </c>
      <c r="S704">
        <v>2</v>
      </c>
      <c r="T704">
        <v>3.7</v>
      </c>
      <c r="U704">
        <v>4.3</v>
      </c>
      <c r="V704">
        <v>6</v>
      </c>
      <c r="W704">
        <v>5.7</v>
      </c>
      <c r="X704">
        <v>7.7</v>
      </c>
      <c r="Y704">
        <v>6.2</v>
      </c>
      <c r="Z704">
        <v>8.3000000000000007</v>
      </c>
      <c r="AA704">
        <v>0.5</v>
      </c>
      <c r="AB704">
        <v>6.2</v>
      </c>
      <c r="AC704">
        <v>7.3</v>
      </c>
      <c r="AD704" t="s">
        <v>53</v>
      </c>
      <c r="AE704" t="str">
        <f>IF(AND(data[[#This Row],[Age]]&gt;=18,data[[#This Row],[Age]]&lt;=24),"18-24",IF(AND(data[[#This Row],[Age]]&gt;=25,data[[#This Row],[Age]]&lt;=34),"25-34",IF(AND(data[[#This Row],[Age]]&gt;35,data[[#This Row],[Age]]&lt;=44),"35-44",IF(data[[#This Row],[Age]]&gt;44,"45+",IF(data[[#This Row],[Age]]&lt;18,"below 18 ")))))</f>
        <v>25-34</v>
      </c>
    </row>
    <row r="705" spans="1:31" x14ac:dyDescent="0.25">
      <c r="A705" t="s">
        <v>758</v>
      </c>
      <c r="B705">
        <v>37</v>
      </c>
      <c r="C705" t="s">
        <v>47</v>
      </c>
      <c r="D705" t="s">
        <v>39</v>
      </c>
      <c r="F705" t="s">
        <v>51</v>
      </c>
      <c r="G705">
        <v>4.4000000000000004</v>
      </c>
      <c r="H705">
        <v>2</v>
      </c>
      <c r="I705">
        <v>4</v>
      </c>
      <c r="J705" t="s">
        <v>42</v>
      </c>
      <c r="K705" t="s">
        <v>62</v>
      </c>
      <c r="L705">
        <v>18</v>
      </c>
      <c r="M705">
        <v>9.3000000000000007</v>
      </c>
      <c r="N705">
        <v>5.5</v>
      </c>
      <c r="O705">
        <v>4.9000000000000004</v>
      </c>
      <c r="P705">
        <v>8.5</v>
      </c>
      <c r="Q705" t="s">
        <v>42</v>
      </c>
      <c r="R705" t="s">
        <v>42</v>
      </c>
      <c r="S705">
        <v>3.8</v>
      </c>
      <c r="T705">
        <v>5.3</v>
      </c>
      <c r="U705">
        <v>2.8</v>
      </c>
      <c r="V705">
        <v>8</v>
      </c>
      <c r="W705">
        <v>5</v>
      </c>
      <c r="X705">
        <v>7.2</v>
      </c>
      <c r="Y705">
        <v>4.4000000000000004</v>
      </c>
      <c r="Z705">
        <v>7.1</v>
      </c>
      <c r="AA705">
        <v>0.1</v>
      </c>
      <c r="AB705">
        <v>2.2000000000000002</v>
      </c>
      <c r="AC705">
        <v>6.2</v>
      </c>
      <c r="AD705" t="s">
        <v>45</v>
      </c>
      <c r="AE705" t="str">
        <f>IF(AND(data[[#This Row],[Age]]&gt;=18,data[[#This Row],[Age]]&lt;=24),"18-24",IF(AND(data[[#This Row],[Age]]&gt;=25,data[[#This Row],[Age]]&lt;=34),"25-34",IF(AND(data[[#This Row],[Age]]&gt;35,data[[#This Row],[Age]]&lt;=44),"35-44",IF(data[[#This Row],[Age]]&gt;44,"45+",IF(data[[#This Row],[Age]]&lt;18,"below 18 ")))))</f>
        <v>35-44</v>
      </c>
    </row>
    <row r="706" spans="1:31" x14ac:dyDescent="0.25">
      <c r="A706" t="s">
        <v>759</v>
      </c>
      <c r="B706">
        <v>26</v>
      </c>
      <c r="C706" t="s">
        <v>47</v>
      </c>
      <c r="D706" t="s">
        <v>32</v>
      </c>
      <c r="E706" t="s">
        <v>40</v>
      </c>
      <c r="F706" t="s">
        <v>59</v>
      </c>
      <c r="G706">
        <v>0.5</v>
      </c>
      <c r="H706">
        <v>3</v>
      </c>
      <c r="I706">
        <v>5</v>
      </c>
      <c r="J706" t="s">
        <v>42</v>
      </c>
      <c r="K706" t="s">
        <v>36</v>
      </c>
      <c r="L706">
        <v>31</v>
      </c>
      <c r="M706">
        <v>6.6</v>
      </c>
      <c r="N706">
        <v>6.2</v>
      </c>
      <c r="O706">
        <v>0.4</v>
      </c>
      <c r="P706">
        <v>3.9</v>
      </c>
      <c r="Q706" t="s">
        <v>35</v>
      </c>
      <c r="R706" t="s">
        <v>35</v>
      </c>
      <c r="S706">
        <v>1.4</v>
      </c>
      <c r="T706">
        <v>3.9</v>
      </c>
      <c r="U706">
        <v>5.6</v>
      </c>
      <c r="V706">
        <v>9.3000000000000007</v>
      </c>
      <c r="X706">
        <v>5.5</v>
      </c>
      <c r="Y706">
        <v>9.9</v>
      </c>
      <c r="Z706">
        <v>5</v>
      </c>
      <c r="AB706">
        <v>0.3</v>
      </c>
      <c r="AC706">
        <v>7.6</v>
      </c>
      <c r="AD706" t="s">
        <v>37</v>
      </c>
      <c r="AE706" t="str">
        <f>IF(AND(data[[#This Row],[Age]]&gt;=18,data[[#This Row],[Age]]&lt;=24),"18-24",IF(AND(data[[#This Row],[Age]]&gt;=25,data[[#This Row],[Age]]&lt;=34),"25-34",IF(AND(data[[#This Row],[Age]]&gt;35,data[[#This Row],[Age]]&lt;=44),"35-44",IF(data[[#This Row],[Age]]&gt;44,"45+",IF(data[[#This Row],[Age]]&lt;18,"below 18 ")))))</f>
        <v>25-34</v>
      </c>
    </row>
    <row r="707" spans="1:31" x14ac:dyDescent="0.25">
      <c r="A707" t="s">
        <v>760</v>
      </c>
      <c r="B707">
        <v>16</v>
      </c>
      <c r="C707" t="s">
        <v>47</v>
      </c>
      <c r="D707" t="s">
        <v>39</v>
      </c>
      <c r="E707" t="s">
        <v>40</v>
      </c>
      <c r="F707" t="s">
        <v>48</v>
      </c>
      <c r="G707">
        <v>2.1</v>
      </c>
      <c r="H707">
        <v>5</v>
      </c>
      <c r="I707">
        <v>4</v>
      </c>
      <c r="J707" t="s">
        <v>42</v>
      </c>
      <c r="K707" t="s">
        <v>36</v>
      </c>
      <c r="L707">
        <v>31</v>
      </c>
      <c r="M707">
        <v>7.5</v>
      </c>
      <c r="N707">
        <v>0.7</v>
      </c>
      <c r="O707">
        <v>5.9</v>
      </c>
      <c r="P707">
        <v>1.5</v>
      </c>
      <c r="Q707" t="s">
        <v>35</v>
      </c>
      <c r="R707" t="s">
        <v>42</v>
      </c>
      <c r="S707">
        <v>6.8</v>
      </c>
      <c r="T707">
        <v>5.7</v>
      </c>
      <c r="V707">
        <v>4.3</v>
      </c>
      <c r="W707">
        <v>5.8</v>
      </c>
      <c r="X707">
        <v>5</v>
      </c>
      <c r="Y707">
        <v>2.1</v>
      </c>
      <c r="Z707">
        <v>3</v>
      </c>
      <c r="AA707">
        <v>1.4</v>
      </c>
      <c r="AB707">
        <v>3.2</v>
      </c>
      <c r="AC707">
        <v>7.2</v>
      </c>
      <c r="AD707" t="s">
        <v>53</v>
      </c>
      <c r="AE707" t="str">
        <f>IF(AND(data[[#This Row],[Age]]&gt;=18,data[[#This Row],[Age]]&lt;=24),"18-24",IF(AND(data[[#This Row],[Age]]&gt;=25,data[[#This Row],[Age]]&lt;=34),"25-34",IF(AND(data[[#This Row],[Age]]&gt;35,data[[#This Row],[Age]]&lt;=44),"35-44",IF(data[[#This Row],[Age]]&gt;44,"45+",IF(data[[#This Row],[Age]]&lt;18,"below 18 ")))))</f>
        <v xml:space="preserve">below 18 </v>
      </c>
    </row>
    <row r="708" spans="1:31" x14ac:dyDescent="0.25">
      <c r="A708" t="s">
        <v>761</v>
      </c>
      <c r="B708">
        <v>35</v>
      </c>
      <c r="C708" t="s">
        <v>31</v>
      </c>
      <c r="D708" t="s">
        <v>39</v>
      </c>
      <c r="E708" t="s">
        <v>33</v>
      </c>
      <c r="F708" t="s">
        <v>41</v>
      </c>
      <c r="G708">
        <v>5.0999999999999996</v>
      </c>
      <c r="H708">
        <v>3</v>
      </c>
      <c r="I708">
        <v>1</v>
      </c>
      <c r="J708" t="s">
        <v>35</v>
      </c>
      <c r="K708" t="s">
        <v>62</v>
      </c>
      <c r="L708">
        <v>27</v>
      </c>
      <c r="M708">
        <v>5.9</v>
      </c>
      <c r="N708">
        <v>3.1</v>
      </c>
      <c r="O708">
        <v>6.9</v>
      </c>
      <c r="P708">
        <v>5</v>
      </c>
      <c r="Q708" t="s">
        <v>42</v>
      </c>
      <c r="R708" t="s">
        <v>42</v>
      </c>
      <c r="S708">
        <v>5</v>
      </c>
      <c r="T708">
        <v>9.6999999999999993</v>
      </c>
      <c r="U708">
        <v>5</v>
      </c>
      <c r="V708">
        <v>6</v>
      </c>
      <c r="W708">
        <v>0.8</v>
      </c>
      <c r="X708">
        <v>7.6</v>
      </c>
      <c r="Y708">
        <v>5.4</v>
      </c>
      <c r="Z708">
        <v>5.9</v>
      </c>
      <c r="AA708">
        <v>3.5</v>
      </c>
      <c r="AB708">
        <v>0.1</v>
      </c>
      <c r="AC708">
        <v>7.2</v>
      </c>
      <c r="AD708" t="s">
        <v>53</v>
      </c>
      <c r="AE708" t="b">
        <f>IF(AND(data[[#This Row],[Age]]&gt;=18,data[[#This Row],[Age]]&lt;=24),"18-24",IF(AND(data[[#This Row],[Age]]&gt;=25,data[[#This Row],[Age]]&lt;=34),"25-34",IF(AND(data[[#This Row],[Age]]&gt;35,data[[#This Row],[Age]]&lt;=44),"35-44",IF(data[[#This Row],[Age]]&gt;44,"45+",IF(data[[#This Row],[Age]]&lt;18,"below 18 ")))))</f>
        <v>0</v>
      </c>
    </row>
    <row r="709" spans="1:31" x14ac:dyDescent="0.25">
      <c r="A709" t="s">
        <v>762</v>
      </c>
      <c r="B709">
        <v>23</v>
      </c>
      <c r="C709" t="s">
        <v>31</v>
      </c>
      <c r="D709" t="s">
        <v>64</v>
      </c>
      <c r="E709" t="s">
        <v>33</v>
      </c>
      <c r="F709" t="s">
        <v>59</v>
      </c>
      <c r="G709">
        <v>3.8</v>
      </c>
      <c r="H709">
        <v>3</v>
      </c>
      <c r="I709">
        <v>4</v>
      </c>
      <c r="J709" t="s">
        <v>42</v>
      </c>
      <c r="K709" t="s">
        <v>36</v>
      </c>
      <c r="L709">
        <v>65</v>
      </c>
      <c r="M709">
        <v>4.3</v>
      </c>
      <c r="N709">
        <v>3.2</v>
      </c>
      <c r="O709">
        <v>4.7</v>
      </c>
      <c r="P709">
        <v>10</v>
      </c>
      <c r="Q709" t="s">
        <v>42</v>
      </c>
      <c r="R709" t="s">
        <v>35</v>
      </c>
      <c r="S709">
        <v>3.8</v>
      </c>
      <c r="T709">
        <v>10</v>
      </c>
      <c r="U709">
        <v>3.8</v>
      </c>
      <c r="V709">
        <v>3.4</v>
      </c>
      <c r="W709">
        <v>4.2</v>
      </c>
      <c r="X709">
        <v>7.2</v>
      </c>
      <c r="Y709">
        <v>1.4</v>
      </c>
      <c r="Z709">
        <v>5.6</v>
      </c>
      <c r="AA709">
        <v>3.5</v>
      </c>
      <c r="AB709">
        <v>1.5</v>
      </c>
      <c r="AC709">
        <v>6.3</v>
      </c>
      <c r="AD709" t="s">
        <v>53</v>
      </c>
      <c r="AE709" t="str">
        <f>IF(AND(data[[#This Row],[Age]]&gt;=18,data[[#This Row],[Age]]&lt;=24),"18-24",IF(AND(data[[#This Row],[Age]]&gt;=25,data[[#This Row],[Age]]&lt;=34),"25-34",IF(AND(data[[#This Row],[Age]]&gt;35,data[[#This Row],[Age]]&lt;=44),"35-44",IF(data[[#This Row],[Age]]&gt;44,"45+",IF(data[[#This Row],[Age]]&lt;18,"below 18 ")))))</f>
        <v>18-24</v>
      </c>
    </row>
    <row r="710" spans="1:31" x14ac:dyDescent="0.25">
      <c r="A710" t="s">
        <v>763</v>
      </c>
      <c r="B710">
        <v>38</v>
      </c>
      <c r="C710" t="s">
        <v>31</v>
      </c>
      <c r="D710" t="s">
        <v>57</v>
      </c>
      <c r="E710" t="s">
        <v>58</v>
      </c>
      <c r="F710" t="s">
        <v>48</v>
      </c>
      <c r="G710">
        <v>3.1</v>
      </c>
      <c r="H710">
        <v>7</v>
      </c>
      <c r="I710">
        <v>4</v>
      </c>
      <c r="J710" t="s">
        <v>35</v>
      </c>
      <c r="K710" t="s">
        <v>52</v>
      </c>
      <c r="L710">
        <v>59</v>
      </c>
      <c r="M710">
        <v>7.1</v>
      </c>
      <c r="N710">
        <v>6.3</v>
      </c>
      <c r="O710">
        <v>3.1</v>
      </c>
      <c r="P710">
        <v>4</v>
      </c>
      <c r="Q710" t="s">
        <v>35</v>
      </c>
      <c r="R710" t="s">
        <v>42</v>
      </c>
      <c r="S710">
        <v>4</v>
      </c>
      <c r="T710">
        <v>0.5</v>
      </c>
      <c r="U710">
        <v>6.1</v>
      </c>
      <c r="V710">
        <v>5.4</v>
      </c>
      <c r="W710">
        <v>5.0999999999999996</v>
      </c>
      <c r="X710">
        <v>8</v>
      </c>
      <c r="Y710">
        <v>6</v>
      </c>
      <c r="Z710">
        <v>0.9</v>
      </c>
      <c r="AA710">
        <v>2.8</v>
      </c>
      <c r="AB710">
        <v>4.5999999999999996</v>
      </c>
      <c r="AC710">
        <v>6.6</v>
      </c>
      <c r="AD710" t="s">
        <v>45</v>
      </c>
      <c r="AE710" t="str">
        <f>IF(AND(data[[#This Row],[Age]]&gt;=18,data[[#This Row],[Age]]&lt;=24),"18-24",IF(AND(data[[#This Row],[Age]]&gt;=25,data[[#This Row],[Age]]&lt;=34),"25-34",IF(AND(data[[#This Row],[Age]]&gt;35,data[[#This Row],[Age]]&lt;=44),"35-44",IF(data[[#This Row],[Age]]&gt;44,"45+",IF(data[[#This Row],[Age]]&lt;18,"below 18 ")))))</f>
        <v>35-44</v>
      </c>
    </row>
    <row r="711" spans="1:31" x14ac:dyDescent="0.25">
      <c r="A711" t="s">
        <v>764</v>
      </c>
      <c r="B711">
        <v>29</v>
      </c>
      <c r="C711" t="s">
        <v>47</v>
      </c>
      <c r="D711" t="s">
        <v>39</v>
      </c>
      <c r="E711" t="s">
        <v>58</v>
      </c>
      <c r="F711" t="s">
        <v>48</v>
      </c>
      <c r="G711">
        <v>6.9</v>
      </c>
      <c r="H711">
        <v>6</v>
      </c>
      <c r="I711">
        <v>0</v>
      </c>
      <c r="J711" t="s">
        <v>35</v>
      </c>
      <c r="K711" t="s">
        <v>36</v>
      </c>
      <c r="L711">
        <v>57</v>
      </c>
      <c r="M711">
        <v>7.8</v>
      </c>
      <c r="N711">
        <v>7.6</v>
      </c>
      <c r="O711">
        <v>6</v>
      </c>
      <c r="P711">
        <v>8</v>
      </c>
      <c r="Q711" t="s">
        <v>42</v>
      </c>
      <c r="R711" t="s">
        <v>35</v>
      </c>
      <c r="S711">
        <v>4.9000000000000004</v>
      </c>
      <c r="T711">
        <v>3</v>
      </c>
      <c r="U711">
        <v>4.2</v>
      </c>
      <c r="V711">
        <v>4.9000000000000004</v>
      </c>
      <c r="W711">
        <v>5.5</v>
      </c>
      <c r="X711">
        <v>8.8000000000000007</v>
      </c>
      <c r="Y711">
        <v>3.2</v>
      </c>
      <c r="Z711">
        <v>4.3</v>
      </c>
      <c r="AA711">
        <v>1.2</v>
      </c>
      <c r="AB711">
        <v>5.2</v>
      </c>
      <c r="AC711">
        <v>5.8</v>
      </c>
      <c r="AD711" t="s">
        <v>45</v>
      </c>
      <c r="AE711" t="str">
        <f>IF(AND(data[[#This Row],[Age]]&gt;=18,data[[#This Row],[Age]]&lt;=24),"18-24",IF(AND(data[[#This Row],[Age]]&gt;=25,data[[#This Row],[Age]]&lt;=34),"25-34",IF(AND(data[[#This Row],[Age]]&gt;35,data[[#This Row],[Age]]&lt;=44),"35-44",IF(data[[#This Row],[Age]]&gt;44,"45+",IF(data[[#This Row],[Age]]&lt;18,"below 18 ")))))</f>
        <v>25-34</v>
      </c>
    </row>
    <row r="712" spans="1:31" x14ac:dyDescent="0.25">
      <c r="A712" t="s">
        <v>765</v>
      </c>
      <c r="B712">
        <v>34</v>
      </c>
      <c r="C712" t="s">
        <v>31</v>
      </c>
      <c r="D712" t="s">
        <v>32</v>
      </c>
      <c r="E712" t="s">
        <v>58</v>
      </c>
      <c r="F712" t="s">
        <v>41</v>
      </c>
      <c r="G712">
        <v>4.0999999999999996</v>
      </c>
      <c r="H712">
        <v>2</v>
      </c>
      <c r="I712">
        <v>2</v>
      </c>
      <c r="J712" t="s">
        <v>42</v>
      </c>
      <c r="K712" t="s">
        <v>36</v>
      </c>
      <c r="L712">
        <v>98</v>
      </c>
      <c r="M712">
        <v>8.6999999999999993</v>
      </c>
      <c r="N712">
        <v>5.4</v>
      </c>
      <c r="O712">
        <v>3.1</v>
      </c>
      <c r="P712">
        <v>6.2</v>
      </c>
      <c r="Q712" t="s">
        <v>35</v>
      </c>
      <c r="R712" t="s">
        <v>35</v>
      </c>
      <c r="S712">
        <v>7.4</v>
      </c>
      <c r="T712">
        <v>4.5999999999999996</v>
      </c>
      <c r="U712">
        <v>2.4</v>
      </c>
      <c r="V712">
        <v>5.5</v>
      </c>
      <c r="X712">
        <v>6.2</v>
      </c>
      <c r="Y712">
        <v>7</v>
      </c>
      <c r="Z712">
        <v>9.3000000000000007</v>
      </c>
      <c r="AA712">
        <v>0</v>
      </c>
      <c r="AB712">
        <v>3.1</v>
      </c>
      <c r="AC712">
        <v>4.8</v>
      </c>
      <c r="AD712" t="s">
        <v>43</v>
      </c>
      <c r="AE712" t="str">
        <f>IF(AND(data[[#This Row],[Age]]&gt;=18,data[[#This Row],[Age]]&lt;=24),"18-24",IF(AND(data[[#This Row],[Age]]&gt;=25,data[[#This Row],[Age]]&lt;=34),"25-34",IF(AND(data[[#This Row],[Age]]&gt;35,data[[#This Row],[Age]]&lt;=44),"35-44",IF(data[[#This Row],[Age]]&gt;44,"45+",IF(data[[#This Row],[Age]]&lt;18,"below 18 ")))))</f>
        <v>25-34</v>
      </c>
    </row>
    <row r="713" spans="1:31" x14ac:dyDescent="0.25">
      <c r="A713" t="s">
        <v>766</v>
      </c>
      <c r="B713">
        <v>44</v>
      </c>
      <c r="C713" t="s">
        <v>47</v>
      </c>
      <c r="D713" t="s">
        <v>32</v>
      </c>
      <c r="E713" t="s">
        <v>33</v>
      </c>
      <c r="F713" t="s">
        <v>34</v>
      </c>
      <c r="G713">
        <v>5.2</v>
      </c>
      <c r="H713">
        <v>5</v>
      </c>
      <c r="I713">
        <v>5</v>
      </c>
      <c r="J713" t="s">
        <v>42</v>
      </c>
      <c r="K713" t="s">
        <v>62</v>
      </c>
      <c r="L713">
        <v>74</v>
      </c>
      <c r="M713">
        <v>4.2</v>
      </c>
      <c r="N713">
        <v>5.4</v>
      </c>
      <c r="O713">
        <v>3.6</v>
      </c>
      <c r="P713">
        <v>5</v>
      </c>
      <c r="Q713" t="s">
        <v>35</v>
      </c>
      <c r="R713" t="s">
        <v>35</v>
      </c>
      <c r="S713">
        <v>7.1</v>
      </c>
      <c r="T713">
        <v>10</v>
      </c>
      <c r="U713">
        <v>4.8</v>
      </c>
      <c r="V713">
        <v>5.0999999999999996</v>
      </c>
      <c r="W713">
        <v>7.6</v>
      </c>
      <c r="X713">
        <v>6.1</v>
      </c>
      <c r="Y713">
        <v>5</v>
      </c>
      <c r="Z713">
        <v>6.8</v>
      </c>
      <c r="AA713">
        <v>4.2</v>
      </c>
      <c r="AB713">
        <v>2.4</v>
      </c>
      <c r="AC713">
        <v>8.1999999999999993</v>
      </c>
      <c r="AD713" t="s">
        <v>37</v>
      </c>
      <c r="AE713" t="str">
        <f>IF(AND(data[[#This Row],[Age]]&gt;=18,data[[#This Row],[Age]]&lt;=24),"18-24",IF(AND(data[[#This Row],[Age]]&gt;=25,data[[#This Row],[Age]]&lt;=34),"25-34",IF(AND(data[[#This Row],[Age]]&gt;35,data[[#This Row],[Age]]&lt;=44),"35-44",IF(data[[#This Row],[Age]]&gt;44,"45+",IF(data[[#This Row],[Age]]&lt;18,"below 18 ")))))</f>
        <v>35-44</v>
      </c>
    </row>
    <row r="714" spans="1:31" x14ac:dyDescent="0.25">
      <c r="A714" t="s">
        <v>767</v>
      </c>
      <c r="B714">
        <v>42</v>
      </c>
      <c r="C714" t="s">
        <v>47</v>
      </c>
      <c r="D714" t="s">
        <v>32</v>
      </c>
      <c r="E714" t="s">
        <v>33</v>
      </c>
      <c r="F714" t="s">
        <v>34</v>
      </c>
      <c r="H714">
        <v>1</v>
      </c>
      <c r="I714">
        <v>7</v>
      </c>
      <c r="J714" t="s">
        <v>35</v>
      </c>
      <c r="K714" t="s">
        <v>36</v>
      </c>
      <c r="L714">
        <v>29</v>
      </c>
      <c r="M714">
        <v>4.8</v>
      </c>
      <c r="N714">
        <v>4.2</v>
      </c>
      <c r="O714">
        <v>5.7</v>
      </c>
      <c r="P714">
        <v>5.2</v>
      </c>
      <c r="Q714" t="s">
        <v>42</v>
      </c>
      <c r="R714" t="s">
        <v>35</v>
      </c>
      <c r="S714">
        <v>4.5999999999999996</v>
      </c>
      <c r="T714">
        <v>2.8</v>
      </c>
      <c r="U714">
        <v>7</v>
      </c>
      <c r="V714">
        <v>7.2</v>
      </c>
      <c r="W714">
        <v>5.4</v>
      </c>
      <c r="X714">
        <v>6.2</v>
      </c>
      <c r="Y714">
        <v>5.0999999999999996</v>
      </c>
      <c r="Z714">
        <v>4.3</v>
      </c>
      <c r="AA714">
        <v>2.9</v>
      </c>
      <c r="AB714">
        <v>1.3</v>
      </c>
      <c r="AC714">
        <v>7</v>
      </c>
      <c r="AD714" t="s">
        <v>37</v>
      </c>
      <c r="AE714" t="str">
        <f>IF(AND(data[[#This Row],[Age]]&gt;=18,data[[#This Row],[Age]]&lt;=24),"18-24",IF(AND(data[[#This Row],[Age]]&gt;=25,data[[#This Row],[Age]]&lt;=34),"25-34",IF(AND(data[[#This Row],[Age]]&gt;35,data[[#This Row],[Age]]&lt;=44),"35-44",IF(data[[#This Row],[Age]]&gt;44,"45+",IF(data[[#This Row],[Age]]&lt;18,"below 18 ")))))</f>
        <v>35-44</v>
      </c>
    </row>
    <row r="715" spans="1:31" x14ac:dyDescent="0.25">
      <c r="A715" t="s">
        <v>768</v>
      </c>
      <c r="B715">
        <v>18</v>
      </c>
      <c r="C715" t="s">
        <v>47</v>
      </c>
      <c r="D715" t="s">
        <v>39</v>
      </c>
      <c r="E715" t="s">
        <v>33</v>
      </c>
      <c r="F715" t="s">
        <v>41</v>
      </c>
      <c r="G715">
        <v>3.6</v>
      </c>
      <c r="H715">
        <v>3</v>
      </c>
      <c r="I715">
        <v>6</v>
      </c>
      <c r="J715" t="s">
        <v>35</v>
      </c>
      <c r="K715" t="s">
        <v>36</v>
      </c>
      <c r="L715">
        <v>75</v>
      </c>
      <c r="M715">
        <v>5.2</v>
      </c>
      <c r="N715">
        <v>4.5999999999999996</v>
      </c>
      <c r="O715">
        <v>7</v>
      </c>
      <c r="P715">
        <v>4.3</v>
      </c>
      <c r="Q715" t="s">
        <v>42</v>
      </c>
      <c r="R715" t="s">
        <v>35</v>
      </c>
      <c r="S715">
        <v>2.9</v>
      </c>
      <c r="T715">
        <v>3.8</v>
      </c>
      <c r="U715">
        <v>3.8</v>
      </c>
      <c r="V715">
        <v>5.3</v>
      </c>
      <c r="W715">
        <v>4.7</v>
      </c>
      <c r="Y715">
        <v>5.5</v>
      </c>
      <c r="Z715">
        <v>4.5</v>
      </c>
      <c r="AA715">
        <v>2.8</v>
      </c>
      <c r="AB715">
        <v>4.0999999999999996</v>
      </c>
      <c r="AC715">
        <v>6.8</v>
      </c>
      <c r="AD715" t="s">
        <v>53</v>
      </c>
      <c r="AE715" t="str">
        <f>IF(AND(data[[#This Row],[Age]]&gt;=18,data[[#This Row],[Age]]&lt;=24),"18-24",IF(AND(data[[#This Row],[Age]]&gt;=25,data[[#This Row],[Age]]&lt;=34),"25-34",IF(AND(data[[#This Row],[Age]]&gt;35,data[[#This Row],[Age]]&lt;=44),"35-44",IF(data[[#This Row],[Age]]&gt;44,"45+",IF(data[[#This Row],[Age]]&lt;18,"below 18 ")))))</f>
        <v>18-24</v>
      </c>
    </row>
    <row r="716" spans="1:31" x14ac:dyDescent="0.25">
      <c r="A716" t="s">
        <v>769</v>
      </c>
      <c r="B716">
        <v>29</v>
      </c>
      <c r="C716" t="s">
        <v>50</v>
      </c>
      <c r="D716" t="s">
        <v>39</v>
      </c>
      <c r="E716" t="s">
        <v>33</v>
      </c>
      <c r="F716" t="s">
        <v>51</v>
      </c>
      <c r="G716">
        <v>5.9</v>
      </c>
      <c r="H716">
        <v>5</v>
      </c>
      <c r="I716">
        <v>4</v>
      </c>
      <c r="J716" t="s">
        <v>42</v>
      </c>
      <c r="K716" t="s">
        <v>62</v>
      </c>
      <c r="L716">
        <v>27</v>
      </c>
      <c r="M716">
        <v>4.2</v>
      </c>
      <c r="N716">
        <v>5.6</v>
      </c>
      <c r="O716">
        <v>6.7</v>
      </c>
      <c r="P716">
        <v>6.4</v>
      </c>
      <c r="Q716" t="s">
        <v>42</v>
      </c>
      <c r="R716" t="s">
        <v>35</v>
      </c>
      <c r="S716">
        <v>7.3</v>
      </c>
      <c r="T716">
        <v>5.6</v>
      </c>
      <c r="U716">
        <v>6.5</v>
      </c>
      <c r="V716">
        <v>7.2</v>
      </c>
      <c r="W716">
        <v>4.2</v>
      </c>
      <c r="X716">
        <v>5.8</v>
      </c>
      <c r="Y716">
        <v>6.3</v>
      </c>
      <c r="Z716">
        <v>4.0999999999999996</v>
      </c>
      <c r="AA716">
        <v>3.4</v>
      </c>
      <c r="AB716">
        <v>1.1000000000000001</v>
      </c>
      <c r="AC716">
        <v>5.9</v>
      </c>
      <c r="AD716" t="s">
        <v>45</v>
      </c>
      <c r="AE716" t="str">
        <f>IF(AND(data[[#This Row],[Age]]&gt;=18,data[[#This Row],[Age]]&lt;=24),"18-24",IF(AND(data[[#This Row],[Age]]&gt;=25,data[[#This Row],[Age]]&lt;=34),"25-34",IF(AND(data[[#This Row],[Age]]&gt;35,data[[#This Row],[Age]]&lt;=44),"35-44",IF(data[[#This Row],[Age]]&gt;44,"45+",IF(data[[#This Row],[Age]]&lt;18,"below 18 ")))))</f>
        <v>25-34</v>
      </c>
    </row>
    <row r="717" spans="1:31" x14ac:dyDescent="0.25">
      <c r="A717" t="s">
        <v>770</v>
      </c>
      <c r="B717">
        <v>37</v>
      </c>
      <c r="C717" t="s">
        <v>47</v>
      </c>
      <c r="D717" t="s">
        <v>39</v>
      </c>
      <c r="E717" t="s">
        <v>33</v>
      </c>
      <c r="F717" t="s">
        <v>51</v>
      </c>
      <c r="G717">
        <v>2.4</v>
      </c>
      <c r="H717">
        <v>2</v>
      </c>
      <c r="I717">
        <v>2</v>
      </c>
      <c r="K717" t="s">
        <v>52</v>
      </c>
      <c r="L717">
        <v>53</v>
      </c>
      <c r="M717">
        <v>5.2</v>
      </c>
      <c r="N717">
        <v>5.6</v>
      </c>
      <c r="O717">
        <v>5.3</v>
      </c>
      <c r="P717">
        <v>6.6</v>
      </c>
      <c r="Q717" t="s">
        <v>42</v>
      </c>
      <c r="R717" t="s">
        <v>42</v>
      </c>
      <c r="S717">
        <v>7.5</v>
      </c>
      <c r="T717">
        <v>3.9</v>
      </c>
      <c r="U717">
        <v>7.5</v>
      </c>
      <c r="V717">
        <v>5.0999999999999996</v>
      </c>
      <c r="W717">
        <v>4.5999999999999996</v>
      </c>
      <c r="X717">
        <v>6.9</v>
      </c>
      <c r="Y717">
        <v>9.6999999999999993</v>
      </c>
      <c r="Z717">
        <v>3.6</v>
      </c>
      <c r="AB717">
        <v>3.6</v>
      </c>
      <c r="AC717">
        <v>5.2</v>
      </c>
      <c r="AD717" t="s">
        <v>45</v>
      </c>
      <c r="AE717" t="str">
        <f>IF(AND(data[[#This Row],[Age]]&gt;=18,data[[#This Row],[Age]]&lt;=24),"18-24",IF(AND(data[[#This Row],[Age]]&gt;=25,data[[#This Row],[Age]]&lt;=34),"25-34",IF(AND(data[[#This Row],[Age]]&gt;35,data[[#This Row],[Age]]&lt;=44),"35-44",IF(data[[#This Row],[Age]]&gt;44,"45+",IF(data[[#This Row],[Age]]&lt;18,"below 18 ")))))</f>
        <v>35-44</v>
      </c>
    </row>
    <row r="718" spans="1:31" x14ac:dyDescent="0.25">
      <c r="A718" t="s">
        <v>771</v>
      </c>
      <c r="B718">
        <v>35</v>
      </c>
      <c r="D718" t="s">
        <v>32</v>
      </c>
      <c r="E718" t="s">
        <v>33</v>
      </c>
      <c r="F718" t="s">
        <v>34</v>
      </c>
      <c r="G718">
        <v>1.8</v>
      </c>
      <c r="H718">
        <v>1</v>
      </c>
      <c r="I718">
        <v>4</v>
      </c>
      <c r="J718" t="s">
        <v>35</v>
      </c>
      <c r="K718" t="s">
        <v>62</v>
      </c>
      <c r="L718">
        <v>120</v>
      </c>
      <c r="M718">
        <v>3.9</v>
      </c>
      <c r="N718">
        <v>7.3</v>
      </c>
      <c r="O718">
        <v>6.6</v>
      </c>
      <c r="P718">
        <v>8.1</v>
      </c>
      <c r="Q718" t="s">
        <v>42</v>
      </c>
      <c r="R718" t="s">
        <v>42</v>
      </c>
      <c r="S718">
        <v>6.6</v>
      </c>
      <c r="T718">
        <v>5.7</v>
      </c>
      <c r="U718">
        <v>6</v>
      </c>
      <c r="V718">
        <v>5.3</v>
      </c>
      <c r="W718">
        <v>4.8</v>
      </c>
      <c r="X718">
        <v>6.3</v>
      </c>
      <c r="Y718">
        <v>3.4</v>
      </c>
      <c r="Z718">
        <v>1</v>
      </c>
      <c r="AA718">
        <v>1.5</v>
      </c>
      <c r="AB718">
        <v>1</v>
      </c>
      <c r="AC718">
        <v>6.6</v>
      </c>
      <c r="AD718" t="s">
        <v>53</v>
      </c>
      <c r="AE718" t="b">
        <f>IF(AND(data[[#This Row],[Age]]&gt;=18,data[[#This Row],[Age]]&lt;=24),"18-24",IF(AND(data[[#This Row],[Age]]&gt;=25,data[[#This Row],[Age]]&lt;=34),"25-34",IF(AND(data[[#This Row],[Age]]&gt;35,data[[#This Row],[Age]]&lt;=44),"35-44",IF(data[[#This Row],[Age]]&gt;44,"45+",IF(data[[#This Row],[Age]]&lt;18,"below 18 ")))))</f>
        <v>0</v>
      </c>
    </row>
    <row r="719" spans="1:31" x14ac:dyDescent="0.25">
      <c r="A719" t="s">
        <v>772</v>
      </c>
      <c r="B719">
        <v>40</v>
      </c>
      <c r="C719" t="s">
        <v>47</v>
      </c>
      <c r="D719" t="s">
        <v>39</v>
      </c>
      <c r="E719" t="s">
        <v>58</v>
      </c>
      <c r="F719" t="s">
        <v>51</v>
      </c>
      <c r="G719">
        <v>6.9</v>
      </c>
      <c r="H719">
        <v>5</v>
      </c>
      <c r="I719">
        <v>2</v>
      </c>
      <c r="J719" t="s">
        <v>35</v>
      </c>
      <c r="K719" t="s">
        <v>52</v>
      </c>
      <c r="L719">
        <v>52</v>
      </c>
      <c r="M719">
        <v>5.6</v>
      </c>
      <c r="N719">
        <v>6</v>
      </c>
      <c r="O719">
        <v>6.9</v>
      </c>
      <c r="P719">
        <v>3.5</v>
      </c>
      <c r="Q719" t="s">
        <v>42</v>
      </c>
      <c r="R719" t="s">
        <v>42</v>
      </c>
      <c r="S719">
        <v>5.9</v>
      </c>
      <c r="T719">
        <v>4.4000000000000004</v>
      </c>
      <c r="U719">
        <v>4.2</v>
      </c>
      <c r="V719">
        <v>5.5</v>
      </c>
      <c r="W719">
        <v>5.8</v>
      </c>
      <c r="X719">
        <v>6.3</v>
      </c>
      <c r="Y719">
        <v>4.7</v>
      </c>
      <c r="Z719">
        <v>4.8</v>
      </c>
      <c r="AA719">
        <v>0.5</v>
      </c>
      <c r="AB719">
        <v>4.9000000000000004</v>
      </c>
      <c r="AC719">
        <v>5.7</v>
      </c>
      <c r="AD719" t="s">
        <v>45</v>
      </c>
      <c r="AE719" t="str">
        <f>IF(AND(data[[#This Row],[Age]]&gt;=18,data[[#This Row],[Age]]&lt;=24),"18-24",IF(AND(data[[#This Row],[Age]]&gt;=25,data[[#This Row],[Age]]&lt;=34),"25-34",IF(AND(data[[#This Row],[Age]]&gt;35,data[[#This Row],[Age]]&lt;=44),"35-44",IF(data[[#This Row],[Age]]&gt;44,"45+",IF(data[[#This Row],[Age]]&lt;18,"below 18 ")))))</f>
        <v>35-44</v>
      </c>
    </row>
    <row r="720" spans="1:31" x14ac:dyDescent="0.25">
      <c r="A720" t="s">
        <v>773</v>
      </c>
      <c r="B720">
        <v>36</v>
      </c>
      <c r="C720" t="s">
        <v>47</v>
      </c>
      <c r="D720" t="s">
        <v>64</v>
      </c>
      <c r="E720" t="s">
        <v>58</v>
      </c>
      <c r="F720" t="s">
        <v>59</v>
      </c>
      <c r="G720">
        <v>7.3</v>
      </c>
      <c r="H720">
        <v>3</v>
      </c>
      <c r="I720">
        <v>3</v>
      </c>
      <c r="J720" t="s">
        <v>35</v>
      </c>
      <c r="K720" t="s">
        <v>36</v>
      </c>
      <c r="L720">
        <v>64</v>
      </c>
      <c r="M720">
        <v>4.9000000000000004</v>
      </c>
      <c r="N720">
        <v>8</v>
      </c>
      <c r="O720">
        <v>8.1999999999999993</v>
      </c>
      <c r="P720">
        <v>6.7</v>
      </c>
      <c r="Q720" t="s">
        <v>42</v>
      </c>
      <c r="R720" t="s">
        <v>35</v>
      </c>
      <c r="S720">
        <v>4.9000000000000004</v>
      </c>
      <c r="T720">
        <v>4.5</v>
      </c>
      <c r="U720">
        <v>3.4</v>
      </c>
      <c r="V720">
        <v>4.5999999999999996</v>
      </c>
      <c r="W720">
        <v>7.1</v>
      </c>
      <c r="X720">
        <v>5</v>
      </c>
      <c r="Y720">
        <v>3.6</v>
      </c>
      <c r="Z720">
        <v>3.3</v>
      </c>
      <c r="AA720">
        <v>2.8</v>
      </c>
      <c r="AB720">
        <v>3.5</v>
      </c>
      <c r="AC720">
        <v>6.4</v>
      </c>
      <c r="AD720" t="s">
        <v>45</v>
      </c>
      <c r="AE720" t="str">
        <f>IF(AND(data[[#This Row],[Age]]&gt;=18,data[[#This Row],[Age]]&lt;=24),"18-24",IF(AND(data[[#This Row],[Age]]&gt;=25,data[[#This Row],[Age]]&lt;=34),"25-34",IF(AND(data[[#This Row],[Age]]&gt;35,data[[#This Row],[Age]]&lt;=44),"35-44",IF(data[[#This Row],[Age]]&gt;44,"45+",IF(data[[#This Row],[Age]]&lt;18,"below 18 ")))))</f>
        <v>35-44</v>
      </c>
    </row>
    <row r="721" spans="1:31" x14ac:dyDescent="0.25">
      <c r="A721" t="s">
        <v>774</v>
      </c>
      <c r="B721">
        <v>44</v>
      </c>
      <c r="C721" t="s">
        <v>31</v>
      </c>
      <c r="D721" t="s">
        <v>39</v>
      </c>
      <c r="E721" t="s">
        <v>58</v>
      </c>
      <c r="F721" t="s">
        <v>41</v>
      </c>
      <c r="G721">
        <v>6.1</v>
      </c>
      <c r="H721">
        <v>1</v>
      </c>
      <c r="I721">
        <v>3</v>
      </c>
      <c r="J721" t="s">
        <v>42</v>
      </c>
      <c r="K721" t="s">
        <v>36</v>
      </c>
      <c r="L721">
        <v>53</v>
      </c>
      <c r="M721">
        <v>2.5</v>
      </c>
      <c r="N721">
        <v>8.5</v>
      </c>
      <c r="O721">
        <v>6</v>
      </c>
      <c r="P721">
        <v>3.4</v>
      </c>
      <c r="Q721" t="s">
        <v>42</v>
      </c>
      <c r="R721" t="s">
        <v>35</v>
      </c>
      <c r="S721">
        <v>6</v>
      </c>
      <c r="T721">
        <v>3.8</v>
      </c>
      <c r="U721">
        <v>5.3</v>
      </c>
      <c r="V721">
        <v>7</v>
      </c>
      <c r="W721">
        <v>3.9</v>
      </c>
      <c r="X721">
        <v>5.4</v>
      </c>
      <c r="Y721">
        <v>5.6</v>
      </c>
      <c r="Z721">
        <v>4.5999999999999996</v>
      </c>
      <c r="AA721">
        <v>2.1</v>
      </c>
      <c r="AB721">
        <v>1.3</v>
      </c>
      <c r="AC721">
        <v>5.9</v>
      </c>
      <c r="AD721" t="s">
        <v>45</v>
      </c>
      <c r="AE721" t="str">
        <f>IF(AND(data[[#This Row],[Age]]&gt;=18,data[[#This Row],[Age]]&lt;=24),"18-24",IF(AND(data[[#This Row],[Age]]&gt;=25,data[[#This Row],[Age]]&lt;=34),"25-34",IF(AND(data[[#This Row],[Age]]&gt;35,data[[#This Row],[Age]]&lt;=44),"35-44",IF(data[[#This Row],[Age]]&gt;44,"45+",IF(data[[#This Row],[Age]]&lt;18,"below 18 ")))))</f>
        <v>35-44</v>
      </c>
    </row>
    <row r="722" spans="1:31" x14ac:dyDescent="0.25">
      <c r="A722" t="s">
        <v>775</v>
      </c>
      <c r="B722">
        <v>38</v>
      </c>
      <c r="C722" t="s">
        <v>31</v>
      </c>
      <c r="D722" t="s">
        <v>32</v>
      </c>
      <c r="E722" t="s">
        <v>33</v>
      </c>
      <c r="F722" t="s">
        <v>34</v>
      </c>
      <c r="G722">
        <v>3</v>
      </c>
      <c r="H722">
        <v>1</v>
      </c>
      <c r="I722">
        <v>2</v>
      </c>
      <c r="J722" t="s">
        <v>42</v>
      </c>
      <c r="K722" t="s">
        <v>36</v>
      </c>
      <c r="L722">
        <v>81</v>
      </c>
      <c r="M722">
        <v>8.9</v>
      </c>
      <c r="N722">
        <v>4.9000000000000004</v>
      </c>
      <c r="O722">
        <v>7.5</v>
      </c>
      <c r="P722">
        <v>7</v>
      </c>
      <c r="Q722" t="s">
        <v>35</v>
      </c>
      <c r="R722" t="s">
        <v>42</v>
      </c>
      <c r="S722">
        <v>5.2</v>
      </c>
      <c r="T722">
        <v>6.6</v>
      </c>
      <c r="U722">
        <v>1.5</v>
      </c>
      <c r="V722">
        <v>8.1999999999999993</v>
      </c>
      <c r="W722">
        <v>3.6</v>
      </c>
      <c r="X722">
        <v>7.3</v>
      </c>
      <c r="Y722">
        <v>5.7</v>
      </c>
      <c r="Z722">
        <v>5.8</v>
      </c>
      <c r="AA722">
        <v>3.1</v>
      </c>
      <c r="AB722">
        <v>2.9</v>
      </c>
      <c r="AC722">
        <v>5.4</v>
      </c>
      <c r="AD722" t="s">
        <v>43</v>
      </c>
      <c r="AE722" t="str">
        <f>IF(AND(data[[#This Row],[Age]]&gt;=18,data[[#This Row],[Age]]&lt;=24),"18-24",IF(AND(data[[#This Row],[Age]]&gt;=25,data[[#This Row],[Age]]&lt;=34),"25-34",IF(AND(data[[#This Row],[Age]]&gt;35,data[[#This Row],[Age]]&lt;=44),"35-44",IF(data[[#This Row],[Age]]&gt;44,"45+",IF(data[[#This Row],[Age]]&lt;18,"below 18 ")))))</f>
        <v>35-44</v>
      </c>
    </row>
    <row r="723" spans="1:31" x14ac:dyDescent="0.25">
      <c r="A723" t="s">
        <v>776</v>
      </c>
      <c r="B723">
        <v>40</v>
      </c>
      <c r="C723" t="s">
        <v>47</v>
      </c>
      <c r="D723" t="s">
        <v>32</v>
      </c>
      <c r="E723" t="s">
        <v>58</v>
      </c>
      <c r="F723" t="s">
        <v>51</v>
      </c>
      <c r="G723">
        <v>3.8</v>
      </c>
      <c r="H723">
        <v>7</v>
      </c>
      <c r="I723">
        <v>4</v>
      </c>
      <c r="J723" t="s">
        <v>42</v>
      </c>
      <c r="K723" t="s">
        <v>52</v>
      </c>
      <c r="L723">
        <v>40</v>
      </c>
      <c r="M723">
        <v>4.4000000000000004</v>
      </c>
      <c r="N723">
        <v>4.4000000000000004</v>
      </c>
      <c r="O723">
        <v>6.3</v>
      </c>
      <c r="P723">
        <v>6.6</v>
      </c>
      <c r="Q723" t="s">
        <v>42</v>
      </c>
      <c r="R723" t="s">
        <v>35</v>
      </c>
      <c r="S723">
        <v>4.2</v>
      </c>
      <c r="T723">
        <v>1.7</v>
      </c>
      <c r="U723">
        <v>3.1</v>
      </c>
      <c r="V723">
        <v>6</v>
      </c>
      <c r="W723">
        <v>5.7</v>
      </c>
      <c r="X723">
        <v>7.4</v>
      </c>
      <c r="Y723">
        <v>1.5</v>
      </c>
      <c r="Z723">
        <v>3.6</v>
      </c>
      <c r="AA723">
        <v>1.1000000000000001</v>
      </c>
      <c r="AB723">
        <v>0.1</v>
      </c>
      <c r="AC723">
        <v>6.9</v>
      </c>
      <c r="AD723" t="s">
        <v>53</v>
      </c>
      <c r="AE723" t="str">
        <f>IF(AND(data[[#This Row],[Age]]&gt;=18,data[[#This Row],[Age]]&lt;=24),"18-24",IF(AND(data[[#This Row],[Age]]&gt;=25,data[[#This Row],[Age]]&lt;=34),"25-34",IF(AND(data[[#This Row],[Age]]&gt;35,data[[#This Row],[Age]]&lt;=44),"35-44",IF(data[[#This Row],[Age]]&gt;44,"45+",IF(data[[#This Row],[Age]]&lt;18,"below 18 ")))))</f>
        <v>35-44</v>
      </c>
    </row>
    <row r="724" spans="1:31" x14ac:dyDescent="0.25">
      <c r="A724" t="s">
        <v>777</v>
      </c>
      <c r="B724">
        <v>29</v>
      </c>
      <c r="C724" t="s">
        <v>31</v>
      </c>
      <c r="D724" t="s">
        <v>39</v>
      </c>
      <c r="E724" t="s">
        <v>33</v>
      </c>
      <c r="F724" t="s">
        <v>48</v>
      </c>
      <c r="G724">
        <v>2.6</v>
      </c>
      <c r="H724">
        <v>5</v>
      </c>
      <c r="I724">
        <v>7</v>
      </c>
      <c r="J724" t="s">
        <v>35</v>
      </c>
      <c r="K724" t="s">
        <v>36</v>
      </c>
      <c r="L724">
        <v>78</v>
      </c>
      <c r="M724">
        <v>4.9000000000000004</v>
      </c>
      <c r="N724">
        <v>4.7</v>
      </c>
      <c r="O724">
        <v>3.5</v>
      </c>
      <c r="P724">
        <v>6.7</v>
      </c>
      <c r="Q724" t="s">
        <v>35</v>
      </c>
      <c r="R724" t="s">
        <v>42</v>
      </c>
      <c r="S724">
        <v>3.1</v>
      </c>
      <c r="T724">
        <v>4.5</v>
      </c>
      <c r="U724">
        <v>4.5</v>
      </c>
      <c r="V724">
        <v>5</v>
      </c>
      <c r="W724">
        <v>6.4</v>
      </c>
      <c r="X724">
        <v>4.8</v>
      </c>
      <c r="Y724">
        <v>7.2</v>
      </c>
      <c r="Z724">
        <v>7.9</v>
      </c>
      <c r="AA724">
        <v>2.9</v>
      </c>
      <c r="AC724">
        <v>6.7</v>
      </c>
      <c r="AD724" t="s">
        <v>53</v>
      </c>
      <c r="AE724" t="str">
        <f>IF(AND(data[[#This Row],[Age]]&gt;=18,data[[#This Row],[Age]]&lt;=24),"18-24",IF(AND(data[[#This Row],[Age]]&gt;=25,data[[#This Row],[Age]]&lt;=34),"25-34",IF(AND(data[[#This Row],[Age]]&gt;35,data[[#This Row],[Age]]&lt;=44),"35-44",IF(data[[#This Row],[Age]]&gt;44,"45+",IF(data[[#This Row],[Age]]&lt;18,"below 18 ")))))</f>
        <v>25-34</v>
      </c>
    </row>
    <row r="725" spans="1:31" x14ac:dyDescent="0.25">
      <c r="A725" t="s">
        <v>778</v>
      </c>
      <c r="B725">
        <v>25</v>
      </c>
      <c r="C725" t="s">
        <v>47</v>
      </c>
      <c r="D725" t="s">
        <v>57</v>
      </c>
      <c r="E725" t="s">
        <v>33</v>
      </c>
      <c r="F725" t="s">
        <v>51</v>
      </c>
      <c r="G725">
        <v>2.6</v>
      </c>
      <c r="H725">
        <v>3</v>
      </c>
      <c r="I725">
        <v>4</v>
      </c>
      <c r="J725" t="s">
        <v>42</v>
      </c>
      <c r="K725" t="s">
        <v>36</v>
      </c>
      <c r="L725">
        <v>104</v>
      </c>
      <c r="M725">
        <v>4.3</v>
      </c>
      <c r="N725">
        <v>6.3</v>
      </c>
      <c r="O725">
        <v>3.8</v>
      </c>
      <c r="P725">
        <v>6</v>
      </c>
      <c r="Q725" t="s">
        <v>35</v>
      </c>
      <c r="R725" t="s">
        <v>35</v>
      </c>
      <c r="T725">
        <v>5.3</v>
      </c>
      <c r="U725">
        <v>5.7</v>
      </c>
      <c r="V725">
        <v>5.2</v>
      </c>
      <c r="W725">
        <v>3.7</v>
      </c>
      <c r="X725">
        <v>6.8</v>
      </c>
      <c r="Y725">
        <v>5.3</v>
      </c>
      <c r="Z725">
        <v>2.7</v>
      </c>
      <c r="AA725">
        <v>3.1</v>
      </c>
      <c r="AB725">
        <v>3</v>
      </c>
      <c r="AC725">
        <v>6.5</v>
      </c>
      <c r="AD725" t="s">
        <v>53</v>
      </c>
      <c r="AE725" t="str">
        <f>IF(AND(data[[#This Row],[Age]]&gt;=18,data[[#This Row],[Age]]&lt;=24),"18-24",IF(AND(data[[#This Row],[Age]]&gt;=25,data[[#This Row],[Age]]&lt;=34),"25-34",IF(AND(data[[#This Row],[Age]]&gt;35,data[[#This Row],[Age]]&lt;=44),"35-44",IF(data[[#This Row],[Age]]&gt;44,"45+",IF(data[[#This Row],[Age]]&lt;18,"below 18 ")))))</f>
        <v>25-34</v>
      </c>
    </row>
    <row r="726" spans="1:31" x14ac:dyDescent="0.25">
      <c r="A726" t="s">
        <v>779</v>
      </c>
      <c r="B726">
        <v>27</v>
      </c>
      <c r="C726" t="s">
        <v>50</v>
      </c>
      <c r="D726" t="s">
        <v>64</v>
      </c>
      <c r="E726" t="s">
        <v>40</v>
      </c>
      <c r="F726" t="s">
        <v>34</v>
      </c>
      <c r="G726">
        <v>4.8</v>
      </c>
      <c r="H726">
        <v>2</v>
      </c>
      <c r="I726">
        <v>3</v>
      </c>
      <c r="J726" t="s">
        <v>35</v>
      </c>
      <c r="K726" t="s">
        <v>52</v>
      </c>
      <c r="L726">
        <v>33</v>
      </c>
      <c r="M726">
        <v>5.5</v>
      </c>
      <c r="N726">
        <v>3</v>
      </c>
      <c r="O726">
        <v>4.8</v>
      </c>
      <c r="P726">
        <v>5.9</v>
      </c>
      <c r="Q726" t="s">
        <v>42</v>
      </c>
      <c r="R726" t="s">
        <v>42</v>
      </c>
      <c r="S726">
        <v>4.7</v>
      </c>
      <c r="T726">
        <v>5.2</v>
      </c>
      <c r="U726">
        <v>2.9</v>
      </c>
      <c r="V726">
        <v>6.6</v>
      </c>
      <c r="W726">
        <v>6.1</v>
      </c>
      <c r="X726">
        <v>6.8</v>
      </c>
      <c r="Y726">
        <v>5.3</v>
      </c>
      <c r="Z726">
        <v>4</v>
      </c>
      <c r="AA726">
        <v>4.8</v>
      </c>
      <c r="AB726">
        <v>3.9</v>
      </c>
      <c r="AC726">
        <v>7.5</v>
      </c>
      <c r="AD726" t="s">
        <v>37</v>
      </c>
      <c r="AE726" t="str">
        <f>IF(AND(data[[#This Row],[Age]]&gt;=18,data[[#This Row],[Age]]&lt;=24),"18-24",IF(AND(data[[#This Row],[Age]]&gt;=25,data[[#This Row],[Age]]&lt;=34),"25-34",IF(AND(data[[#This Row],[Age]]&gt;35,data[[#This Row],[Age]]&lt;=44),"35-44",IF(data[[#This Row],[Age]]&gt;44,"45+",IF(data[[#This Row],[Age]]&lt;18,"below 18 ")))))</f>
        <v>25-34</v>
      </c>
    </row>
    <row r="727" spans="1:31" x14ac:dyDescent="0.25">
      <c r="A727" t="s">
        <v>780</v>
      </c>
      <c r="B727">
        <v>40</v>
      </c>
      <c r="C727" t="s">
        <v>47</v>
      </c>
      <c r="D727" t="s">
        <v>32</v>
      </c>
      <c r="E727" t="s">
        <v>33</v>
      </c>
      <c r="F727" t="s">
        <v>48</v>
      </c>
      <c r="G727">
        <v>3.5</v>
      </c>
      <c r="H727">
        <v>2</v>
      </c>
      <c r="I727">
        <v>1</v>
      </c>
      <c r="J727" t="s">
        <v>42</v>
      </c>
      <c r="K727" t="s">
        <v>52</v>
      </c>
      <c r="L727">
        <v>140</v>
      </c>
      <c r="M727">
        <v>5.6</v>
      </c>
      <c r="N727">
        <v>8.8000000000000007</v>
      </c>
      <c r="O727">
        <v>7.4</v>
      </c>
      <c r="P727">
        <v>7.4</v>
      </c>
      <c r="Q727" t="s">
        <v>35</v>
      </c>
      <c r="R727" t="s">
        <v>42</v>
      </c>
      <c r="S727">
        <v>1.4</v>
      </c>
      <c r="T727">
        <v>5.0999999999999996</v>
      </c>
      <c r="U727">
        <v>8.5</v>
      </c>
      <c r="W727">
        <v>5.0999999999999996</v>
      </c>
      <c r="X727">
        <v>4.4000000000000004</v>
      </c>
      <c r="Y727">
        <v>5.4</v>
      </c>
      <c r="Z727">
        <v>10</v>
      </c>
      <c r="AA727">
        <v>0.9</v>
      </c>
      <c r="AB727">
        <v>4.2</v>
      </c>
      <c r="AC727">
        <v>5.8</v>
      </c>
      <c r="AD727" t="s">
        <v>45</v>
      </c>
      <c r="AE727" t="str">
        <f>IF(AND(data[[#This Row],[Age]]&gt;=18,data[[#This Row],[Age]]&lt;=24),"18-24",IF(AND(data[[#This Row],[Age]]&gt;=25,data[[#This Row],[Age]]&lt;=34),"25-34",IF(AND(data[[#This Row],[Age]]&gt;35,data[[#This Row],[Age]]&lt;=44),"35-44",IF(data[[#This Row],[Age]]&gt;44,"45+",IF(data[[#This Row],[Age]]&lt;18,"below 18 ")))))</f>
        <v>35-44</v>
      </c>
    </row>
    <row r="728" spans="1:31" x14ac:dyDescent="0.25">
      <c r="A728" t="s">
        <v>781</v>
      </c>
      <c r="B728">
        <v>29</v>
      </c>
      <c r="C728" t="s">
        <v>47</v>
      </c>
      <c r="D728" t="s">
        <v>39</v>
      </c>
      <c r="E728" t="s">
        <v>33</v>
      </c>
      <c r="F728" t="s">
        <v>59</v>
      </c>
      <c r="G728">
        <v>7</v>
      </c>
      <c r="H728">
        <v>4</v>
      </c>
      <c r="I728">
        <v>3</v>
      </c>
      <c r="J728" t="s">
        <v>42</v>
      </c>
      <c r="K728" t="s">
        <v>36</v>
      </c>
      <c r="L728">
        <v>88</v>
      </c>
      <c r="M728">
        <v>7.1</v>
      </c>
      <c r="N728">
        <v>3.9</v>
      </c>
      <c r="O728">
        <v>1</v>
      </c>
      <c r="P728">
        <v>0.1</v>
      </c>
      <c r="Q728" t="s">
        <v>35</v>
      </c>
      <c r="R728" t="s">
        <v>35</v>
      </c>
      <c r="S728">
        <v>5.0999999999999996</v>
      </c>
      <c r="T728">
        <v>2.5</v>
      </c>
      <c r="U728">
        <v>2.9</v>
      </c>
      <c r="V728">
        <v>3.5</v>
      </c>
      <c r="W728">
        <v>7.3</v>
      </c>
      <c r="X728">
        <v>8.4</v>
      </c>
      <c r="Y728">
        <v>4.5</v>
      </c>
      <c r="Z728">
        <v>6.8</v>
      </c>
      <c r="AA728">
        <v>3.2</v>
      </c>
      <c r="AB728">
        <v>4.2</v>
      </c>
      <c r="AC728">
        <v>8.6999999999999993</v>
      </c>
      <c r="AD728" t="s">
        <v>37</v>
      </c>
      <c r="AE728" t="str">
        <f>IF(AND(data[[#This Row],[Age]]&gt;=18,data[[#This Row],[Age]]&lt;=24),"18-24",IF(AND(data[[#This Row],[Age]]&gt;=25,data[[#This Row],[Age]]&lt;=34),"25-34",IF(AND(data[[#This Row],[Age]]&gt;35,data[[#This Row],[Age]]&lt;=44),"35-44",IF(data[[#This Row],[Age]]&gt;44,"45+",IF(data[[#This Row],[Age]]&lt;18,"below 18 ")))))</f>
        <v>25-34</v>
      </c>
    </row>
    <row r="729" spans="1:31" x14ac:dyDescent="0.25">
      <c r="A729" t="s">
        <v>782</v>
      </c>
      <c r="B729">
        <v>28</v>
      </c>
      <c r="C729" t="s">
        <v>31</v>
      </c>
      <c r="D729" t="s">
        <v>32</v>
      </c>
      <c r="E729" t="s">
        <v>58</v>
      </c>
      <c r="F729" t="s">
        <v>41</v>
      </c>
      <c r="G729">
        <v>1.2</v>
      </c>
      <c r="H729">
        <v>2</v>
      </c>
      <c r="I729">
        <v>1</v>
      </c>
      <c r="J729" t="s">
        <v>42</v>
      </c>
      <c r="K729" t="s">
        <v>62</v>
      </c>
      <c r="L729">
        <v>115</v>
      </c>
      <c r="M729">
        <v>9.3000000000000007</v>
      </c>
      <c r="N729">
        <v>0</v>
      </c>
      <c r="O729">
        <v>6.7</v>
      </c>
      <c r="P729">
        <v>4.5999999999999996</v>
      </c>
      <c r="Q729" t="s">
        <v>42</v>
      </c>
      <c r="R729" t="s">
        <v>42</v>
      </c>
      <c r="S729">
        <v>4.5</v>
      </c>
      <c r="T729">
        <v>0.1</v>
      </c>
      <c r="U729">
        <v>3</v>
      </c>
      <c r="V729">
        <v>4.4000000000000004</v>
      </c>
      <c r="W729">
        <v>4.4000000000000004</v>
      </c>
      <c r="X729">
        <v>7</v>
      </c>
      <c r="Y729">
        <v>3.1</v>
      </c>
      <c r="Z729">
        <v>8.6999999999999993</v>
      </c>
      <c r="AA729">
        <v>3.6</v>
      </c>
      <c r="AB729">
        <v>3.4</v>
      </c>
      <c r="AC729">
        <v>5.6</v>
      </c>
      <c r="AD729" t="s">
        <v>45</v>
      </c>
      <c r="AE729" t="str">
        <f>IF(AND(data[[#This Row],[Age]]&gt;=18,data[[#This Row],[Age]]&lt;=24),"18-24",IF(AND(data[[#This Row],[Age]]&gt;=25,data[[#This Row],[Age]]&lt;=34),"25-34",IF(AND(data[[#This Row],[Age]]&gt;35,data[[#This Row],[Age]]&lt;=44),"35-44",IF(data[[#This Row],[Age]]&gt;44,"45+",IF(data[[#This Row],[Age]]&lt;18,"below 18 ")))))</f>
        <v>25-34</v>
      </c>
    </row>
    <row r="730" spans="1:31" x14ac:dyDescent="0.25">
      <c r="A730" t="s">
        <v>783</v>
      </c>
      <c r="B730">
        <v>38</v>
      </c>
      <c r="C730" t="s">
        <v>31</v>
      </c>
      <c r="D730" t="s">
        <v>32</v>
      </c>
      <c r="E730" t="s">
        <v>40</v>
      </c>
      <c r="F730" t="s">
        <v>41</v>
      </c>
      <c r="G730">
        <v>3.4</v>
      </c>
      <c r="H730">
        <v>5</v>
      </c>
      <c r="I730">
        <v>6</v>
      </c>
      <c r="J730" t="s">
        <v>42</v>
      </c>
      <c r="K730" t="s">
        <v>52</v>
      </c>
      <c r="L730">
        <v>72</v>
      </c>
      <c r="M730">
        <v>7.4</v>
      </c>
      <c r="N730">
        <v>8.9</v>
      </c>
      <c r="O730">
        <v>2.4</v>
      </c>
      <c r="P730">
        <v>4.5</v>
      </c>
      <c r="Q730" t="s">
        <v>42</v>
      </c>
      <c r="R730" t="s">
        <v>35</v>
      </c>
      <c r="S730">
        <v>5.4</v>
      </c>
      <c r="T730">
        <v>0.9</v>
      </c>
      <c r="U730">
        <v>3.6</v>
      </c>
      <c r="V730">
        <v>9.9</v>
      </c>
      <c r="W730">
        <v>5.5</v>
      </c>
      <c r="X730">
        <v>5.9</v>
      </c>
      <c r="Y730">
        <v>5.4</v>
      </c>
      <c r="Z730">
        <v>5</v>
      </c>
      <c r="AA730">
        <v>4.2</v>
      </c>
      <c r="AB730">
        <v>1.9</v>
      </c>
      <c r="AC730">
        <v>6.5</v>
      </c>
      <c r="AD730" t="s">
        <v>53</v>
      </c>
      <c r="AE730" t="str">
        <f>IF(AND(data[[#This Row],[Age]]&gt;=18,data[[#This Row],[Age]]&lt;=24),"18-24",IF(AND(data[[#This Row],[Age]]&gt;=25,data[[#This Row],[Age]]&lt;=34),"25-34",IF(AND(data[[#This Row],[Age]]&gt;35,data[[#This Row],[Age]]&lt;=44),"35-44",IF(data[[#This Row],[Age]]&gt;44,"45+",IF(data[[#This Row],[Age]]&lt;18,"below 18 ")))))</f>
        <v>35-44</v>
      </c>
    </row>
    <row r="731" spans="1:31" x14ac:dyDescent="0.25">
      <c r="A731" t="s">
        <v>784</v>
      </c>
      <c r="B731">
        <v>21</v>
      </c>
      <c r="C731" t="s">
        <v>31</v>
      </c>
      <c r="D731" t="s">
        <v>39</v>
      </c>
      <c r="E731" t="s">
        <v>40</v>
      </c>
      <c r="F731" t="s">
        <v>34</v>
      </c>
      <c r="G731">
        <v>2</v>
      </c>
      <c r="H731">
        <v>1</v>
      </c>
      <c r="I731">
        <v>4</v>
      </c>
      <c r="J731" t="s">
        <v>35</v>
      </c>
      <c r="K731" t="s">
        <v>36</v>
      </c>
      <c r="L731">
        <v>45</v>
      </c>
      <c r="M731">
        <v>7.2</v>
      </c>
      <c r="N731">
        <v>6.6</v>
      </c>
      <c r="O731">
        <v>5.9</v>
      </c>
      <c r="P731">
        <v>5.4</v>
      </c>
      <c r="Q731" t="s">
        <v>35</v>
      </c>
      <c r="R731" t="s">
        <v>35</v>
      </c>
      <c r="S731">
        <v>2.7</v>
      </c>
      <c r="T731">
        <v>6.7</v>
      </c>
      <c r="U731">
        <v>4.7</v>
      </c>
      <c r="V731">
        <v>9.3000000000000007</v>
      </c>
      <c r="W731">
        <v>5.9</v>
      </c>
      <c r="X731">
        <v>4.0999999999999996</v>
      </c>
      <c r="Y731">
        <v>6.5</v>
      </c>
      <c r="AA731">
        <v>6.6</v>
      </c>
      <c r="AB731">
        <v>4.5</v>
      </c>
      <c r="AC731">
        <v>8.1</v>
      </c>
      <c r="AD731" t="s">
        <v>37</v>
      </c>
      <c r="AE731" t="str">
        <f>IF(AND(data[[#This Row],[Age]]&gt;=18,data[[#This Row],[Age]]&lt;=24),"18-24",IF(AND(data[[#This Row],[Age]]&gt;=25,data[[#This Row],[Age]]&lt;=34),"25-34",IF(AND(data[[#This Row],[Age]]&gt;35,data[[#This Row],[Age]]&lt;=44),"35-44",IF(data[[#This Row],[Age]]&gt;44,"45+",IF(data[[#This Row],[Age]]&lt;18,"below 18 ")))))</f>
        <v>18-24</v>
      </c>
    </row>
    <row r="732" spans="1:31" x14ac:dyDescent="0.25">
      <c r="A732" t="s">
        <v>785</v>
      </c>
      <c r="B732">
        <v>40</v>
      </c>
      <c r="C732" t="s">
        <v>47</v>
      </c>
      <c r="D732" t="s">
        <v>32</v>
      </c>
      <c r="E732" t="s">
        <v>33</v>
      </c>
      <c r="F732" t="s">
        <v>41</v>
      </c>
      <c r="G732">
        <v>1.8</v>
      </c>
      <c r="H732">
        <v>3</v>
      </c>
      <c r="I732">
        <v>4</v>
      </c>
      <c r="J732" t="s">
        <v>35</v>
      </c>
      <c r="K732" t="s">
        <v>52</v>
      </c>
      <c r="L732">
        <v>83</v>
      </c>
      <c r="M732">
        <v>4.9000000000000004</v>
      </c>
      <c r="N732">
        <v>6.8</v>
      </c>
      <c r="O732">
        <v>6.7</v>
      </c>
      <c r="P732">
        <v>1.2</v>
      </c>
      <c r="Q732" t="s">
        <v>35</v>
      </c>
      <c r="R732" t="s">
        <v>35</v>
      </c>
      <c r="S732">
        <v>5.5</v>
      </c>
      <c r="T732">
        <v>6</v>
      </c>
      <c r="U732">
        <v>5</v>
      </c>
      <c r="V732">
        <v>6.6</v>
      </c>
      <c r="W732">
        <v>6.7</v>
      </c>
      <c r="X732">
        <v>7.1</v>
      </c>
      <c r="Y732">
        <v>6.1</v>
      </c>
      <c r="Z732">
        <v>6.6</v>
      </c>
      <c r="AA732">
        <v>3.9</v>
      </c>
      <c r="AB732">
        <v>3.6</v>
      </c>
      <c r="AC732">
        <v>9.1999999999999993</v>
      </c>
      <c r="AD732" t="s">
        <v>37</v>
      </c>
      <c r="AE732" t="str">
        <f>IF(AND(data[[#This Row],[Age]]&gt;=18,data[[#This Row],[Age]]&lt;=24),"18-24",IF(AND(data[[#This Row],[Age]]&gt;=25,data[[#This Row],[Age]]&lt;=34),"25-34",IF(AND(data[[#This Row],[Age]]&gt;35,data[[#This Row],[Age]]&lt;=44),"35-44",IF(data[[#This Row],[Age]]&gt;44,"45+",IF(data[[#This Row],[Age]]&lt;18,"below 18 ")))))</f>
        <v>35-44</v>
      </c>
    </row>
    <row r="733" spans="1:31" x14ac:dyDescent="0.25">
      <c r="A733" t="s">
        <v>786</v>
      </c>
      <c r="B733">
        <v>39</v>
      </c>
      <c r="D733" t="s">
        <v>64</v>
      </c>
      <c r="E733" t="s">
        <v>40</v>
      </c>
      <c r="F733" t="s">
        <v>34</v>
      </c>
      <c r="G733">
        <v>8.5</v>
      </c>
      <c r="H733">
        <v>4</v>
      </c>
      <c r="I733">
        <v>2</v>
      </c>
      <c r="J733" t="s">
        <v>35</v>
      </c>
      <c r="K733" t="s">
        <v>52</v>
      </c>
      <c r="L733">
        <v>146</v>
      </c>
      <c r="M733">
        <v>4.8</v>
      </c>
      <c r="N733">
        <v>7.2</v>
      </c>
      <c r="O733">
        <v>3.6</v>
      </c>
      <c r="P733">
        <v>6.9</v>
      </c>
      <c r="Q733" t="s">
        <v>42</v>
      </c>
      <c r="R733" t="s">
        <v>42</v>
      </c>
      <c r="S733">
        <v>4.3</v>
      </c>
      <c r="T733">
        <v>5.6</v>
      </c>
      <c r="U733">
        <v>0.3</v>
      </c>
      <c r="V733">
        <v>4.4000000000000004</v>
      </c>
      <c r="W733">
        <v>4</v>
      </c>
      <c r="X733">
        <v>6.1</v>
      </c>
      <c r="Y733">
        <v>5.9</v>
      </c>
      <c r="Z733">
        <v>4</v>
      </c>
      <c r="AA733">
        <v>0.1</v>
      </c>
      <c r="AB733">
        <v>3.6</v>
      </c>
      <c r="AC733">
        <v>5</v>
      </c>
      <c r="AD733" t="s">
        <v>45</v>
      </c>
      <c r="AE733" t="str">
        <f>IF(AND(data[[#This Row],[Age]]&gt;=18,data[[#This Row],[Age]]&lt;=24),"18-24",IF(AND(data[[#This Row],[Age]]&gt;=25,data[[#This Row],[Age]]&lt;=34),"25-34",IF(AND(data[[#This Row],[Age]]&gt;35,data[[#This Row],[Age]]&lt;=44),"35-44",IF(data[[#This Row],[Age]]&gt;44,"45+",IF(data[[#This Row],[Age]]&lt;18,"below 18 ")))))</f>
        <v>35-44</v>
      </c>
    </row>
    <row r="734" spans="1:31" x14ac:dyDescent="0.25">
      <c r="A734" t="s">
        <v>787</v>
      </c>
      <c r="B734">
        <v>42</v>
      </c>
      <c r="C734" t="s">
        <v>31</v>
      </c>
      <c r="D734" t="s">
        <v>57</v>
      </c>
      <c r="E734" t="s">
        <v>33</v>
      </c>
      <c r="F734" t="s">
        <v>34</v>
      </c>
      <c r="G734">
        <v>7.9</v>
      </c>
      <c r="H734">
        <v>2</v>
      </c>
      <c r="I734">
        <v>2</v>
      </c>
      <c r="J734" t="s">
        <v>35</v>
      </c>
      <c r="K734" t="s">
        <v>36</v>
      </c>
      <c r="L734">
        <v>122</v>
      </c>
      <c r="M734">
        <v>4.2</v>
      </c>
      <c r="N734">
        <v>9.5</v>
      </c>
      <c r="O734">
        <v>2.7</v>
      </c>
      <c r="P734">
        <v>5</v>
      </c>
      <c r="Q734" t="s">
        <v>35</v>
      </c>
      <c r="R734" t="s">
        <v>42</v>
      </c>
      <c r="S734">
        <v>2.2000000000000002</v>
      </c>
      <c r="T734">
        <v>0</v>
      </c>
      <c r="U734">
        <v>3.1</v>
      </c>
      <c r="V734">
        <v>6.5</v>
      </c>
      <c r="W734">
        <v>4.9000000000000004</v>
      </c>
      <c r="X734">
        <v>8.9</v>
      </c>
      <c r="Y734">
        <v>4.7</v>
      </c>
      <c r="Z734">
        <v>2.5</v>
      </c>
      <c r="AA734">
        <v>5.9</v>
      </c>
      <c r="AB734">
        <v>4</v>
      </c>
      <c r="AC734">
        <v>4.8</v>
      </c>
      <c r="AD734" t="s">
        <v>43</v>
      </c>
      <c r="AE734" t="str">
        <f>IF(AND(data[[#This Row],[Age]]&gt;=18,data[[#This Row],[Age]]&lt;=24),"18-24",IF(AND(data[[#This Row],[Age]]&gt;=25,data[[#This Row],[Age]]&lt;=34),"25-34",IF(AND(data[[#This Row],[Age]]&gt;35,data[[#This Row],[Age]]&lt;=44),"35-44",IF(data[[#This Row],[Age]]&gt;44,"45+",IF(data[[#This Row],[Age]]&lt;18,"below 18 ")))))</f>
        <v>35-44</v>
      </c>
    </row>
    <row r="735" spans="1:31" x14ac:dyDescent="0.25">
      <c r="A735" t="s">
        <v>788</v>
      </c>
      <c r="B735">
        <v>39</v>
      </c>
      <c r="C735" t="s">
        <v>50</v>
      </c>
      <c r="D735" t="s">
        <v>32</v>
      </c>
      <c r="E735" t="s">
        <v>40</v>
      </c>
      <c r="F735" t="s">
        <v>34</v>
      </c>
      <c r="G735">
        <v>5.4</v>
      </c>
      <c r="H735">
        <v>2</v>
      </c>
      <c r="I735">
        <v>5</v>
      </c>
      <c r="J735" t="s">
        <v>35</v>
      </c>
      <c r="K735" t="s">
        <v>36</v>
      </c>
      <c r="L735">
        <v>66</v>
      </c>
      <c r="M735">
        <v>3.7</v>
      </c>
      <c r="N735">
        <v>4.5999999999999996</v>
      </c>
      <c r="O735">
        <v>6.1</v>
      </c>
      <c r="P735">
        <v>8.3000000000000007</v>
      </c>
      <c r="Q735" t="s">
        <v>42</v>
      </c>
      <c r="R735" t="s">
        <v>35</v>
      </c>
      <c r="S735">
        <v>2</v>
      </c>
      <c r="T735">
        <v>3.2</v>
      </c>
      <c r="U735">
        <v>2.2000000000000002</v>
      </c>
      <c r="V735">
        <v>5.7</v>
      </c>
      <c r="W735">
        <v>5.2</v>
      </c>
      <c r="X735">
        <v>5.2</v>
      </c>
      <c r="Y735">
        <v>8</v>
      </c>
      <c r="AA735">
        <v>5</v>
      </c>
      <c r="AC735">
        <v>6.1</v>
      </c>
      <c r="AD735" t="s">
        <v>45</v>
      </c>
      <c r="AE735" t="str">
        <f>IF(AND(data[[#This Row],[Age]]&gt;=18,data[[#This Row],[Age]]&lt;=24),"18-24",IF(AND(data[[#This Row],[Age]]&gt;=25,data[[#This Row],[Age]]&lt;=34),"25-34",IF(AND(data[[#This Row],[Age]]&gt;35,data[[#This Row],[Age]]&lt;=44),"35-44",IF(data[[#This Row],[Age]]&gt;44,"45+",IF(data[[#This Row],[Age]]&lt;18,"below 18 ")))))</f>
        <v>35-44</v>
      </c>
    </row>
    <row r="736" spans="1:31" x14ac:dyDescent="0.25">
      <c r="A736" t="s">
        <v>789</v>
      </c>
      <c r="B736">
        <v>37</v>
      </c>
      <c r="C736" t="s">
        <v>31</v>
      </c>
      <c r="D736" t="s">
        <v>39</v>
      </c>
      <c r="E736" t="s">
        <v>40</v>
      </c>
      <c r="F736" t="s">
        <v>59</v>
      </c>
      <c r="G736">
        <v>5.6</v>
      </c>
      <c r="H736">
        <v>4</v>
      </c>
      <c r="I736">
        <v>6</v>
      </c>
      <c r="J736" t="s">
        <v>42</v>
      </c>
      <c r="K736" t="s">
        <v>36</v>
      </c>
      <c r="L736">
        <v>67</v>
      </c>
      <c r="M736">
        <v>9.4</v>
      </c>
      <c r="N736">
        <v>2.7</v>
      </c>
      <c r="O736">
        <v>5.8</v>
      </c>
      <c r="P736">
        <v>6.1</v>
      </c>
      <c r="Q736" t="s">
        <v>42</v>
      </c>
      <c r="R736" t="s">
        <v>42</v>
      </c>
      <c r="S736">
        <v>3.4</v>
      </c>
      <c r="T736">
        <v>4</v>
      </c>
      <c r="U736">
        <v>3.3</v>
      </c>
      <c r="V736">
        <v>4.5999999999999996</v>
      </c>
      <c r="W736">
        <v>6.5</v>
      </c>
      <c r="X736">
        <v>8.5</v>
      </c>
      <c r="Y736">
        <v>10</v>
      </c>
      <c r="Z736">
        <v>5.2</v>
      </c>
      <c r="AA736">
        <v>3.5</v>
      </c>
      <c r="AB736">
        <v>4.5999999999999996</v>
      </c>
      <c r="AC736">
        <v>4.2</v>
      </c>
      <c r="AD736" t="s">
        <v>43</v>
      </c>
      <c r="AE736" t="str">
        <f>IF(AND(data[[#This Row],[Age]]&gt;=18,data[[#This Row],[Age]]&lt;=24),"18-24",IF(AND(data[[#This Row],[Age]]&gt;=25,data[[#This Row],[Age]]&lt;=34),"25-34",IF(AND(data[[#This Row],[Age]]&gt;35,data[[#This Row],[Age]]&lt;=44),"35-44",IF(data[[#This Row],[Age]]&gt;44,"45+",IF(data[[#This Row],[Age]]&lt;18,"below 18 ")))))</f>
        <v>35-44</v>
      </c>
    </row>
    <row r="737" spans="1:31" x14ac:dyDescent="0.25">
      <c r="A737" t="s">
        <v>790</v>
      </c>
      <c r="B737">
        <v>42</v>
      </c>
      <c r="C737" t="s">
        <v>31</v>
      </c>
      <c r="D737" t="s">
        <v>39</v>
      </c>
      <c r="E737" t="s">
        <v>40</v>
      </c>
      <c r="F737" t="s">
        <v>59</v>
      </c>
      <c r="G737">
        <v>5.8</v>
      </c>
      <c r="H737">
        <v>2</v>
      </c>
      <c r="I737">
        <v>6</v>
      </c>
      <c r="J737" t="s">
        <v>35</v>
      </c>
      <c r="K737" t="s">
        <v>62</v>
      </c>
      <c r="L737">
        <v>37</v>
      </c>
      <c r="M737">
        <v>7.1</v>
      </c>
      <c r="N737">
        <v>7.2</v>
      </c>
      <c r="O737">
        <v>3.5</v>
      </c>
      <c r="P737">
        <v>3.7</v>
      </c>
      <c r="Q737" t="s">
        <v>42</v>
      </c>
      <c r="R737" t="s">
        <v>42</v>
      </c>
      <c r="S737">
        <v>1.5</v>
      </c>
      <c r="T737">
        <v>4.3</v>
      </c>
      <c r="U737">
        <v>0.7</v>
      </c>
      <c r="V737">
        <v>10</v>
      </c>
      <c r="W737">
        <v>6.9</v>
      </c>
      <c r="Y737">
        <v>7.4</v>
      </c>
      <c r="Z737">
        <v>5.3</v>
      </c>
      <c r="AA737">
        <v>0</v>
      </c>
      <c r="AB737">
        <v>3</v>
      </c>
      <c r="AC737">
        <v>8.3000000000000007</v>
      </c>
      <c r="AD737" t="s">
        <v>37</v>
      </c>
      <c r="AE737" t="str">
        <f>IF(AND(data[[#This Row],[Age]]&gt;=18,data[[#This Row],[Age]]&lt;=24),"18-24",IF(AND(data[[#This Row],[Age]]&gt;=25,data[[#This Row],[Age]]&lt;=34),"25-34",IF(AND(data[[#This Row],[Age]]&gt;35,data[[#This Row],[Age]]&lt;=44),"35-44",IF(data[[#This Row],[Age]]&gt;44,"45+",IF(data[[#This Row],[Age]]&lt;18,"below 18 ")))))</f>
        <v>35-44</v>
      </c>
    </row>
    <row r="738" spans="1:31" x14ac:dyDescent="0.25">
      <c r="A738" t="s">
        <v>791</v>
      </c>
      <c r="B738">
        <v>17</v>
      </c>
      <c r="C738" t="s">
        <v>47</v>
      </c>
      <c r="D738" t="s">
        <v>64</v>
      </c>
      <c r="E738" t="s">
        <v>33</v>
      </c>
      <c r="F738" t="s">
        <v>51</v>
      </c>
      <c r="G738">
        <v>4.5999999999999996</v>
      </c>
      <c r="H738">
        <v>3</v>
      </c>
      <c r="I738">
        <v>2</v>
      </c>
      <c r="J738" t="s">
        <v>42</v>
      </c>
      <c r="K738" t="s">
        <v>52</v>
      </c>
      <c r="L738">
        <v>28</v>
      </c>
      <c r="M738">
        <v>7</v>
      </c>
      <c r="N738">
        <v>4.2</v>
      </c>
      <c r="O738">
        <v>3.8</v>
      </c>
      <c r="P738">
        <v>10</v>
      </c>
      <c r="Q738" t="s">
        <v>42</v>
      </c>
      <c r="R738" t="s">
        <v>42</v>
      </c>
      <c r="S738">
        <v>5.9</v>
      </c>
      <c r="T738">
        <v>8</v>
      </c>
      <c r="U738">
        <v>4.2</v>
      </c>
      <c r="W738">
        <v>5.3</v>
      </c>
      <c r="X738">
        <v>7.1</v>
      </c>
      <c r="Y738">
        <v>5.8</v>
      </c>
      <c r="Z738">
        <v>0</v>
      </c>
      <c r="AA738">
        <v>2.2000000000000002</v>
      </c>
      <c r="AB738">
        <v>2.2999999999999998</v>
      </c>
      <c r="AC738">
        <v>4.4000000000000004</v>
      </c>
      <c r="AD738" t="s">
        <v>43</v>
      </c>
      <c r="AE738" t="str">
        <f>IF(AND(data[[#This Row],[Age]]&gt;=18,data[[#This Row],[Age]]&lt;=24),"18-24",IF(AND(data[[#This Row],[Age]]&gt;=25,data[[#This Row],[Age]]&lt;=34),"25-34",IF(AND(data[[#This Row],[Age]]&gt;35,data[[#This Row],[Age]]&lt;=44),"35-44",IF(data[[#This Row],[Age]]&gt;44,"45+",IF(data[[#This Row],[Age]]&lt;18,"below 18 ")))))</f>
        <v xml:space="preserve">below 18 </v>
      </c>
    </row>
    <row r="739" spans="1:31" x14ac:dyDescent="0.25">
      <c r="A739" t="s">
        <v>792</v>
      </c>
      <c r="B739">
        <v>33</v>
      </c>
      <c r="C739" t="s">
        <v>47</v>
      </c>
      <c r="D739" t="s">
        <v>39</v>
      </c>
      <c r="E739" t="s">
        <v>40</v>
      </c>
      <c r="F739" t="s">
        <v>41</v>
      </c>
      <c r="G739">
        <v>0.5</v>
      </c>
      <c r="H739">
        <v>3</v>
      </c>
      <c r="I739">
        <v>1</v>
      </c>
      <c r="J739" t="s">
        <v>42</v>
      </c>
      <c r="K739" t="s">
        <v>36</v>
      </c>
      <c r="L739">
        <v>24</v>
      </c>
      <c r="M739">
        <v>2.6</v>
      </c>
      <c r="N739">
        <v>7.6</v>
      </c>
      <c r="O739">
        <v>3.8</v>
      </c>
      <c r="P739">
        <v>3.5</v>
      </c>
      <c r="Q739" t="s">
        <v>42</v>
      </c>
      <c r="R739" t="s">
        <v>35</v>
      </c>
      <c r="S739">
        <v>5</v>
      </c>
      <c r="T739">
        <v>1.6</v>
      </c>
      <c r="U739">
        <v>7.9</v>
      </c>
      <c r="V739">
        <v>5.2</v>
      </c>
      <c r="W739">
        <v>4.5999999999999996</v>
      </c>
      <c r="X739">
        <v>4.9000000000000004</v>
      </c>
      <c r="Y739">
        <v>7.2</v>
      </c>
      <c r="AA739">
        <v>4.2</v>
      </c>
      <c r="AB739">
        <v>3</v>
      </c>
      <c r="AC739">
        <v>6.4</v>
      </c>
      <c r="AD739" t="s">
        <v>53</v>
      </c>
      <c r="AE739" t="str">
        <f>IF(AND(data[[#This Row],[Age]]&gt;=18,data[[#This Row],[Age]]&lt;=24),"18-24",IF(AND(data[[#This Row],[Age]]&gt;=25,data[[#This Row],[Age]]&lt;=34),"25-34",IF(AND(data[[#This Row],[Age]]&gt;35,data[[#This Row],[Age]]&lt;=44),"35-44",IF(data[[#This Row],[Age]]&gt;44,"45+",IF(data[[#This Row],[Age]]&lt;18,"below 18 ")))))</f>
        <v>25-34</v>
      </c>
    </row>
    <row r="740" spans="1:31" x14ac:dyDescent="0.25">
      <c r="A740" t="s">
        <v>793</v>
      </c>
      <c r="B740">
        <v>33</v>
      </c>
      <c r="C740" t="s">
        <v>47</v>
      </c>
      <c r="D740" t="s">
        <v>32</v>
      </c>
      <c r="E740" t="s">
        <v>40</v>
      </c>
      <c r="F740" t="s">
        <v>59</v>
      </c>
      <c r="G740">
        <v>0.5</v>
      </c>
      <c r="H740">
        <v>4</v>
      </c>
      <c r="I740">
        <v>6</v>
      </c>
      <c r="J740" t="s">
        <v>42</v>
      </c>
      <c r="K740" t="s">
        <v>52</v>
      </c>
      <c r="L740">
        <v>86</v>
      </c>
      <c r="M740">
        <v>5.3</v>
      </c>
      <c r="N740">
        <v>2.2999999999999998</v>
      </c>
      <c r="O740">
        <v>3.2</v>
      </c>
      <c r="P740">
        <v>4.5</v>
      </c>
      <c r="Q740" t="s">
        <v>35</v>
      </c>
      <c r="R740" t="s">
        <v>42</v>
      </c>
      <c r="S740">
        <v>5.4</v>
      </c>
      <c r="T740">
        <v>6.1</v>
      </c>
      <c r="U740">
        <v>5.9</v>
      </c>
      <c r="V740">
        <v>4.5</v>
      </c>
      <c r="W740">
        <v>7.7</v>
      </c>
      <c r="X740">
        <v>7.7</v>
      </c>
      <c r="Z740">
        <v>7.9</v>
      </c>
      <c r="AA740">
        <v>2.5</v>
      </c>
      <c r="AB740">
        <v>5.6</v>
      </c>
      <c r="AC740">
        <v>6.8</v>
      </c>
      <c r="AD740" t="s">
        <v>53</v>
      </c>
      <c r="AE740" t="str">
        <f>IF(AND(data[[#This Row],[Age]]&gt;=18,data[[#This Row],[Age]]&lt;=24),"18-24",IF(AND(data[[#This Row],[Age]]&gt;=25,data[[#This Row],[Age]]&lt;=34),"25-34",IF(AND(data[[#This Row],[Age]]&gt;35,data[[#This Row],[Age]]&lt;=44),"35-44",IF(data[[#This Row],[Age]]&gt;44,"45+",IF(data[[#This Row],[Age]]&lt;18,"below 18 ")))))</f>
        <v>25-34</v>
      </c>
    </row>
    <row r="741" spans="1:31" x14ac:dyDescent="0.25">
      <c r="A741" t="s">
        <v>794</v>
      </c>
      <c r="B741">
        <v>26</v>
      </c>
      <c r="C741" t="s">
        <v>31</v>
      </c>
      <c r="D741" t="s">
        <v>32</v>
      </c>
      <c r="E741" t="s">
        <v>58</v>
      </c>
      <c r="F741" t="s">
        <v>34</v>
      </c>
      <c r="G741">
        <v>5.7</v>
      </c>
      <c r="H741">
        <v>1</v>
      </c>
      <c r="I741">
        <v>2</v>
      </c>
      <c r="J741" t="s">
        <v>42</v>
      </c>
      <c r="K741" t="s">
        <v>52</v>
      </c>
      <c r="L741">
        <v>78</v>
      </c>
      <c r="M741">
        <v>0</v>
      </c>
      <c r="N741">
        <v>6.4</v>
      </c>
      <c r="O741">
        <v>6.4</v>
      </c>
      <c r="P741">
        <v>7.2</v>
      </c>
      <c r="Q741" t="s">
        <v>35</v>
      </c>
      <c r="R741" t="s">
        <v>35</v>
      </c>
      <c r="S741">
        <v>1.8</v>
      </c>
      <c r="T741">
        <v>4.5999999999999996</v>
      </c>
      <c r="U741">
        <v>7.1</v>
      </c>
      <c r="V741">
        <v>8.4</v>
      </c>
      <c r="W741">
        <v>6.2</v>
      </c>
      <c r="X741">
        <v>5.9</v>
      </c>
      <c r="Y741">
        <v>3.8</v>
      </c>
      <c r="Z741">
        <v>5.0999999999999996</v>
      </c>
      <c r="AA741">
        <v>3.6</v>
      </c>
      <c r="AB741">
        <v>2.1</v>
      </c>
      <c r="AC741">
        <v>7.6</v>
      </c>
      <c r="AD741" t="s">
        <v>37</v>
      </c>
      <c r="AE741" t="str">
        <f>IF(AND(data[[#This Row],[Age]]&gt;=18,data[[#This Row],[Age]]&lt;=24),"18-24",IF(AND(data[[#This Row],[Age]]&gt;=25,data[[#This Row],[Age]]&lt;=34),"25-34",IF(AND(data[[#This Row],[Age]]&gt;35,data[[#This Row],[Age]]&lt;=44),"35-44",IF(data[[#This Row],[Age]]&gt;44,"45+",IF(data[[#This Row],[Age]]&lt;18,"below 18 ")))))</f>
        <v>25-34</v>
      </c>
    </row>
    <row r="742" spans="1:31" x14ac:dyDescent="0.25">
      <c r="A742" t="s">
        <v>795</v>
      </c>
      <c r="B742">
        <v>20</v>
      </c>
      <c r="C742" t="s">
        <v>47</v>
      </c>
      <c r="D742" t="s">
        <v>32</v>
      </c>
      <c r="F742" t="s">
        <v>51</v>
      </c>
      <c r="G742">
        <v>0.5</v>
      </c>
      <c r="H742">
        <v>3</v>
      </c>
      <c r="I742">
        <v>0</v>
      </c>
      <c r="J742" t="s">
        <v>42</v>
      </c>
      <c r="K742" t="s">
        <v>62</v>
      </c>
      <c r="L742">
        <v>95</v>
      </c>
      <c r="M742">
        <v>3.4</v>
      </c>
      <c r="N742">
        <v>5.9</v>
      </c>
      <c r="O742">
        <v>5.9</v>
      </c>
      <c r="P742">
        <v>7.9</v>
      </c>
      <c r="Q742" t="s">
        <v>42</v>
      </c>
      <c r="R742" t="s">
        <v>42</v>
      </c>
      <c r="S742">
        <v>3.8</v>
      </c>
      <c r="T742">
        <v>2.2000000000000002</v>
      </c>
      <c r="U742">
        <v>10</v>
      </c>
      <c r="V742">
        <v>1.5</v>
      </c>
      <c r="W742">
        <v>8.9</v>
      </c>
      <c r="X742">
        <v>3.8</v>
      </c>
      <c r="Y742">
        <v>2.6</v>
      </c>
      <c r="Z742">
        <v>3.2</v>
      </c>
      <c r="AA742">
        <v>5</v>
      </c>
      <c r="AB742">
        <v>1.8</v>
      </c>
      <c r="AC742">
        <v>6.5</v>
      </c>
      <c r="AD742" t="s">
        <v>53</v>
      </c>
      <c r="AE742" t="str">
        <f>IF(AND(data[[#This Row],[Age]]&gt;=18,data[[#This Row],[Age]]&lt;=24),"18-24",IF(AND(data[[#This Row],[Age]]&gt;=25,data[[#This Row],[Age]]&lt;=34),"25-34",IF(AND(data[[#This Row],[Age]]&gt;35,data[[#This Row],[Age]]&lt;=44),"35-44",IF(data[[#This Row],[Age]]&gt;44,"45+",IF(data[[#This Row],[Age]]&lt;18,"below 18 ")))))</f>
        <v>18-24</v>
      </c>
    </row>
    <row r="743" spans="1:31" x14ac:dyDescent="0.25">
      <c r="A743" t="s">
        <v>796</v>
      </c>
      <c r="B743">
        <v>32</v>
      </c>
      <c r="C743" t="s">
        <v>31</v>
      </c>
      <c r="D743" t="s">
        <v>64</v>
      </c>
      <c r="E743" t="s">
        <v>33</v>
      </c>
      <c r="F743" t="s">
        <v>51</v>
      </c>
      <c r="G743">
        <v>7.5</v>
      </c>
      <c r="H743">
        <v>7</v>
      </c>
      <c r="I743">
        <v>4</v>
      </c>
      <c r="J743" t="s">
        <v>35</v>
      </c>
      <c r="K743" t="s">
        <v>36</v>
      </c>
      <c r="L743">
        <v>67</v>
      </c>
      <c r="M743">
        <v>5.4</v>
      </c>
      <c r="N743">
        <v>4.4000000000000004</v>
      </c>
      <c r="O743">
        <v>9.4</v>
      </c>
      <c r="P743">
        <v>8.6</v>
      </c>
      <c r="Q743" t="s">
        <v>35</v>
      </c>
      <c r="R743" t="s">
        <v>35</v>
      </c>
      <c r="S743">
        <v>4</v>
      </c>
      <c r="T743">
        <v>2.8</v>
      </c>
      <c r="U743">
        <v>5.0999999999999996</v>
      </c>
      <c r="V743">
        <v>4.7</v>
      </c>
      <c r="W743">
        <v>4.5999999999999996</v>
      </c>
      <c r="X743">
        <v>6.1</v>
      </c>
      <c r="Y743">
        <v>4.9000000000000004</v>
      </c>
      <c r="Z743">
        <v>4</v>
      </c>
      <c r="AA743">
        <v>1.2</v>
      </c>
      <c r="AB743">
        <v>4.3</v>
      </c>
      <c r="AC743">
        <v>4.4000000000000004</v>
      </c>
      <c r="AD743" t="s">
        <v>43</v>
      </c>
      <c r="AE743" t="str">
        <f>IF(AND(data[[#This Row],[Age]]&gt;=18,data[[#This Row],[Age]]&lt;=24),"18-24",IF(AND(data[[#This Row],[Age]]&gt;=25,data[[#This Row],[Age]]&lt;=34),"25-34",IF(AND(data[[#This Row],[Age]]&gt;35,data[[#This Row],[Age]]&lt;=44),"35-44",IF(data[[#This Row],[Age]]&gt;44,"45+",IF(data[[#This Row],[Age]]&lt;18,"below 18 ")))))</f>
        <v>25-34</v>
      </c>
    </row>
    <row r="744" spans="1:31" x14ac:dyDescent="0.25">
      <c r="A744" t="s">
        <v>797</v>
      </c>
      <c r="B744">
        <v>35</v>
      </c>
      <c r="C744" t="s">
        <v>47</v>
      </c>
      <c r="D744" t="s">
        <v>39</v>
      </c>
      <c r="E744" t="s">
        <v>58</v>
      </c>
      <c r="F744" t="s">
        <v>41</v>
      </c>
      <c r="G744">
        <v>6.2</v>
      </c>
      <c r="H744">
        <v>3</v>
      </c>
      <c r="I744">
        <v>3</v>
      </c>
      <c r="J744" t="s">
        <v>42</v>
      </c>
      <c r="K744" t="s">
        <v>36</v>
      </c>
      <c r="L744">
        <v>111</v>
      </c>
      <c r="M744">
        <v>6.4</v>
      </c>
      <c r="N744">
        <v>5.7</v>
      </c>
      <c r="O744">
        <v>5.2</v>
      </c>
      <c r="P744">
        <v>6.9</v>
      </c>
      <c r="Q744" t="s">
        <v>35</v>
      </c>
      <c r="R744" t="s">
        <v>42</v>
      </c>
      <c r="S744">
        <v>8.8000000000000007</v>
      </c>
      <c r="T744">
        <v>5.7</v>
      </c>
      <c r="U744">
        <v>1.6</v>
      </c>
      <c r="V744">
        <v>6.8</v>
      </c>
      <c r="W744">
        <v>2.9</v>
      </c>
      <c r="X744">
        <v>7.3</v>
      </c>
      <c r="Y744">
        <v>3.4</v>
      </c>
      <c r="Z744">
        <v>5.3</v>
      </c>
      <c r="AB744">
        <v>0.2</v>
      </c>
      <c r="AC744">
        <v>3.1</v>
      </c>
      <c r="AD744" t="s">
        <v>43</v>
      </c>
      <c r="AE744" t="b">
        <f>IF(AND(data[[#This Row],[Age]]&gt;=18,data[[#This Row],[Age]]&lt;=24),"18-24",IF(AND(data[[#This Row],[Age]]&gt;=25,data[[#This Row],[Age]]&lt;=34),"25-34",IF(AND(data[[#This Row],[Age]]&gt;35,data[[#This Row],[Age]]&lt;=44),"35-44",IF(data[[#This Row],[Age]]&gt;44,"45+",IF(data[[#This Row],[Age]]&lt;18,"below 18 ")))))</f>
        <v>0</v>
      </c>
    </row>
    <row r="745" spans="1:31" x14ac:dyDescent="0.25">
      <c r="A745" t="s">
        <v>798</v>
      </c>
      <c r="B745">
        <v>32</v>
      </c>
      <c r="C745" t="s">
        <v>50</v>
      </c>
      <c r="D745" t="s">
        <v>32</v>
      </c>
      <c r="E745" t="s">
        <v>40</v>
      </c>
      <c r="F745" t="s">
        <v>41</v>
      </c>
      <c r="G745">
        <v>5.0999999999999996</v>
      </c>
      <c r="H745">
        <v>1</v>
      </c>
      <c r="I745">
        <v>4</v>
      </c>
      <c r="J745" t="s">
        <v>42</v>
      </c>
      <c r="K745" t="s">
        <v>36</v>
      </c>
      <c r="L745">
        <v>120</v>
      </c>
      <c r="M745">
        <v>3.9</v>
      </c>
      <c r="N745">
        <v>5.0999999999999996</v>
      </c>
      <c r="O745">
        <v>7.5</v>
      </c>
      <c r="P745">
        <v>7.8</v>
      </c>
      <c r="Q745" t="s">
        <v>42</v>
      </c>
      <c r="R745" t="s">
        <v>42</v>
      </c>
      <c r="S745">
        <v>5.5</v>
      </c>
      <c r="T745">
        <v>3.8</v>
      </c>
      <c r="U745">
        <v>5.3</v>
      </c>
      <c r="V745">
        <v>5.4</v>
      </c>
      <c r="W745">
        <v>2.6</v>
      </c>
      <c r="X745">
        <v>5.3</v>
      </c>
      <c r="Y745">
        <v>4.9000000000000004</v>
      </c>
      <c r="Z745">
        <v>5.8</v>
      </c>
      <c r="AA745">
        <v>4.7</v>
      </c>
      <c r="AB745">
        <v>5</v>
      </c>
      <c r="AC745">
        <v>3.2</v>
      </c>
      <c r="AD745" t="s">
        <v>43</v>
      </c>
      <c r="AE745" t="str">
        <f>IF(AND(data[[#This Row],[Age]]&gt;=18,data[[#This Row],[Age]]&lt;=24),"18-24",IF(AND(data[[#This Row],[Age]]&gt;=25,data[[#This Row],[Age]]&lt;=34),"25-34",IF(AND(data[[#This Row],[Age]]&gt;35,data[[#This Row],[Age]]&lt;=44),"35-44",IF(data[[#This Row],[Age]]&gt;44,"45+",IF(data[[#This Row],[Age]]&lt;18,"below 18 ")))))</f>
        <v>25-34</v>
      </c>
    </row>
    <row r="746" spans="1:31" x14ac:dyDescent="0.25">
      <c r="A746" t="s">
        <v>799</v>
      </c>
      <c r="B746">
        <v>19</v>
      </c>
      <c r="C746" t="s">
        <v>31</v>
      </c>
      <c r="D746" t="s">
        <v>39</v>
      </c>
      <c r="E746" t="s">
        <v>58</v>
      </c>
      <c r="F746" t="s">
        <v>34</v>
      </c>
      <c r="G746">
        <v>5.3</v>
      </c>
      <c r="H746">
        <v>1</v>
      </c>
      <c r="I746">
        <v>3</v>
      </c>
      <c r="J746" t="s">
        <v>35</v>
      </c>
      <c r="K746" t="s">
        <v>52</v>
      </c>
      <c r="L746">
        <v>28</v>
      </c>
      <c r="M746">
        <v>5.4</v>
      </c>
      <c r="N746">
        <v>6</v>
      </c>
      <c r="O746">
        <v>5.9</v>
      </c>
      <c r="P746">
        <v>8.4</v>
      </c>
      <c r="Q746" t="s">
        <v>42</v>
      </c>
      <c r="R746" t="s">
        <v>35</v>
      </c>
      <c r="S746">
        <v>5.7</v>
      </c>
      <c r="T746">
        <v>8.1</v>
      </c>
      <c r="U746">
        <v>2.5</v>
      </c>
      <c r="W746">
        <v>1.7</v>
      </c>
      <c r="X746">
        <v>6.2</v>
      </c>
      <c r="Y746">
        <v>4</v>
      </c>
      <c r="Z746">
        <v>6.3</v>
      </c>
      <c r="AA746">
        <v>2.2000000000000002</v>
      </c>
      <c r="AB746">
        <v>3.1</v>
      </c>
      <c r="AC746">
        <v>6.4</v>
      </c>
      <c r="AD746" t="s">
        <v>53</v>
      </c>
      <c r="AE746" t="str">
        <f>IF(AND(data[[#This Row],[Age]]&gt;=18,data[[#This Row],[Age]]&lt;=24),"18-24",IF(AND(data[[#This Row],[Age]]&gt;=25,data[[#This Row],[Age]]&lt;=34),"25-34",IF(AND(data[[#This Row],[Age]]&gt;35,data[[#This Row],[Age]]&lt;=44),"35-44",IF(data[[#This Row],[Age]]&gt;44,"45+",IF(data[[#This Row],[Age]]&lt;18,"below 18 ")))))</f>
        <v>18-24</v>
      </c>
    </row>
    <row r="747" spans="1:31" x14ac:dyDescent="0.25">
      <c r="A747" t="s">
        <v>800</v>
      </c>
      <c r="B747">
        <v>40</v>
      </c>
      <c r="C747" t="s">
        <v>47</v>
      </c>
      <c r="D747" t="s">
        <v>64</v>
      </c>
      <c r="E747" t="s">
        <v>58</v>
      </c>
      <c r="F747" t="s">
        <v>34</v>
      </c>
      <c r="G747">
        <v>6</v>
      </c>
      <c r="H747">
        <v>3</v>
      </c>
      <c r="I747">
        <v>3</v>
      </c>
      <c r="J747" t="s">
        <v>42</v>
      </c>
      <c r="K747" t="s">
        <v>36</v>
      </c>
      <c r="L747">
        <v>100</v>
      </c>
      <c r="M747">
        <v>6.6</v>
      </c>
      <c r="N747">
        <v>3.4</v>
      </c>
      <c r="O747">
        <v>3.6</v>
      </c>
      <c r="P747">
        <v>6</v>
      </c>
      <c r="Q747" t="s">
        <v>42</v>
      </c>
      <c r="R747" t="s">
        <v>42</v>
      </c>
      <c r="S747">
        <v>2</v>
      </c>
      <c r="T747">
        <v>4.0999999999999996</v>
      </c>
      <c r="U747">
        <v>3.1</v>
      </c>
      <c r="V747">
        <v>7.1</v>
      </c>
      <c r="W747">
        <v>2.9</v>
      </c>
      <c r="X747">
        <v>5.5</v>
      </c>
      <c r="Y747">
        <v>4.4000000000000004</v>
      </c>
      <c r="Z747">
        <v>7.3</v>
      </c>
      <c r="AA747">
        <v>3.9</v>
      </c>
      <c r="AB747">
        <v>3.1</v>
      </c>
      <c r="AC747">
        <v>5.0999999999999996</v>
      </c>
      <c r="AD747" t="s">
        <v>45</v>
      </c>
      <c r="AE747" t="str">
        <f>IF(AND(data[[#This Row],[Age]]&gt;=18,data[[#This Row],[Age]]&lt;=24),"18-24",IF(AND(data[[#This Row],[Age]]&gt;=25,data[[#This Row],[Age]]&lt;=34),"25-34",IF(AND(data[[#This Row],[Age]]&gt;35,data[[#This Row],[Age]]&lt;=44),"35-44",IF(data[[#This Row],[Age]]&gt;44,"45+",IF(data[[#This Row],[Age]]&lt;18,"below 18 ")))))</f>
        <v>35-44</v>
      </c>
    </row>
    <row r="748" spans="1:31" x14ac:dyDescent="0.25">
      <c r="A748" t="s">
        <v>801</v>
      </c>
      <c r="B748">
        <v>44</v>
      </c>
      <c r="C748" t="s">
        <v>47</v>
      </c>
      <c r="D748" t="s">
        <v>39</v>
      </c>
      <c r="E748" t="s">
        <v>58</v>
      </c>
      <c r="F748" t="s">
        <v>34</v>
      </c>
      <c r="G748">
        <v>3.2</v>
      </c>
      <c r="H748">
        <v>2</v>
      </c>
      <c r="I748">
        <v>7</v>
      </c>
      <c r="J748" t="s">
        <v>35</v>
      </c>
      <c r="K748" t="s">
        <v>62</v>
      </c>
      <c r="L748">
        <v>8</v>
      </c>
      <c r="M748">
        <v>3.2</v>
      </c>
      <c r="N748">
        <v>7.1</v>
      </c>
      <c r="O748">
        <v>4</v>
      </c>
      <c r="P748">
        <v>8.4</v>
      </c>
      <c r="Q748" t="s">
        <v>35</v>
      </c>
      <c r="R748" t="s">
        <v>42</v>
      </c>
      <c r="T748">
        <v>3.1</v>
      </c>
      <c r="U748">
        <v>6.4</v>
      </c>
      <c r="V748">
        <v>4.8</v>
      </c>
      <c r="W748">
        <v>6.3</v>
      </c>
      <c r="X748">
        <v>5.6</v>
      </c>
      <c r="Y748">
        <v>6.5</v>
      </c>
      <c r="Z748">
        <v>7.1</v>
      </c>
      <c r="AA748">
        <v>1.9</v>
      </c>
      <c r="AB748">
        <v>4.5</v>
      </c>
      <c r="AC748">
        <v>6.4</v>
      </c>
      <c r="AD748" t="s">
        <v>53</v>
      </c>
      <c r="AE748" t="str">
        <f>IF(AND(data[[#This Row],[Age]]&gt;=18,data[[#This Row],[Age]]&lt;=24),"18-24",IF(AND(data[[#This Row],[Age]]&gt;=25,data[[#This Row],[Age]]&lt;=34),"25-34",IF(AND(data[[#This Row],[Age]]&gt;35,data[[#This Row],[Age]]&lt;=44),"35-44",IF(data[[#This Row],[Age]]&gt;44,"45+",IF(data[[#This Row],[Age]]&lt;18,"below 18 ")))))</f>
        <v>35-44</v>
      </c>
    </row>
    <row r="749" spans="1:31" x14ac:dyDescent="0.25">
      <c r="A749" t="s">
        <v>802</v>
      </c>
      <c r="B749">
        <v>26</v>
      </c>
      <c r="C749" t="s">
        <v>47</v>
      </c>
      <c r="D749" t="s">
        <v>39</v>
      </c>
      <c r="E749" t="s">
        <v>58</v>
      </c>
      <c r="F749" t="s">
        <v>51</v>
      </c>
      <c r="G749">
        <v>8.4</v>
      </c>
      <c r="H749">
        <v>3</v>
      </c>
      <c r="I749">
        <v>3</v>
      </c>
      <c r="J749" t="s">
        <v>35</v>
      </c>
      <c r="K749" t="s">
        <v>52</v>
      </c>
      <c r="L749">
        <v>5</v>
      </c>
      <c r="M749">
        <v>4.9000000000000004</v>
      </c>
      <c r="N749">
        <v>4</v>
      </c>
      <c r="O749">
        <v>5.8</v>
      </c>
      <c r="P749">
        <v>7.7</v>
      </c>
      <c r="R749" t="s">
        <v>42</v>
      </c>
      <c r="S749">
        <v>8.6</v>
      </c>
      <c r="T749">
        <v>6.3</v>
      </c>
      <c r="U749">
        <v>0.7</v>
      </c>
      <c r="V749">
        <v>5.8</v>
      </c>
      <c r="W749">
        <v>3.8</v>
      </c>
      <c r="X749">
        <v>5.9</v>
      </c>
      <c r="Y749">
        <v>5.8</v>
      </c>
      <c r="Z749">
        <v>4.9000000000000004</v>
      </c>
      <c r="AA749">
        <v>2.5</v>
      </c>
      <c r="AB749">
        <v>2.2000000000000002</v>
      </c>
      <c r="AC749">
        <v>5.4</v>
      </c>
      <c r="AD749" t="s">
        <v>43</v>
      </c>
      <c r="AE749" t="str">
        <f>IF(AND(data[[#This Row],[Age]]&gt;=18,data[[#This Row],[Age]]&lt;=24),"18-24",IF(AND(data[[#This Row],[Age]]&gt;=25,data[[#This Row],[Age]]&lt;=34),"25-34",IF(AND(data[[#This Row],[Age]]&gt;35,data[[#This Row],[Age]]&lt;=44),"35-44",IF(data[[#This Row],[Age]]&gt;44,"45+",IF(data[[#This Row],[Age]]&lt;18,"below 18 ")))))</f>
        <v>25-34</v>
      </c>
    </row>
    <row r="750" spans="1:31" x14ac:dyDescent="0.25">
      <c r="A750" t="s">
        <v>803</v>
      </c>
      <c r="B750">
        <v>20</v>
      </c>
      <c r="C750" t="s">
        <v>31</v>
      </c>
      <c r="D750" t="s">
        <v>39</v>
      </c>
      <c r="E750" t="s">
        <v>58</v>
      </c>
      <c r="F750" t="s">
        <v>34</v>
      </c>
      <c r="G750">
        <v>3.9</v>
      </c>
      <c r="H750">
        <v>3</v>
      </c>
      <c r="I750">
        <v>8</v>
      </c>
      <c r="J750" t="s">
        <v>42</v>
      </c>
      <c r="K750" t="s">
        <v>36</v>
      </c>
      <c r="L750">
        <v>27</v>
      </c>
      <c r="M750">
        <v>5.9</v>
      </c>
      <c r="N750">
        <v>6.7</v>
      </c>
      <c r="O750">
        <v>8.3000000000000007</v>
      </c>
      <c r="P750">
        <v>5.0999999999999996</v>
      </c>
      <c r="Q750" t="s">
        <v>35</v>
      </c>
      <c r="R750" t="s">
        <v>35</v>
      </c>
      <c r="S750">
        <v>4.7</v>
      </c>
      <c r="T750">
        <v>2</v>
      </c>
      <c r="U750">
        <v>4.2</v>
      </c>
      <c r="V750">
        <v>5.8</v>
      </c>
      <c r="W750">
        <v>5.0999999999999996</v>
      </c>
      <c r="X750">
        <v>8.4</v>
      </c>
      <c r="Y750">
        <v>1.7</v>
      </c>
      <c r="Z750">
        <v>5.5</v>
      </c>
      <c r="AA750">
        <v>6</v>
      </c>
      <c r="AB750">
        <v>4.2</v>
      </c>
      <c r="AC750">
        <v>6.6</v>
      </c>
      <c r="AD750" t="s">
        <v>53</v>
      </c>
      <c r="AE750" t="str">
        <f>IF(AND(data[[#This Row],[Age]]&gt;=18,data[[#This Row],[Age]]&lt;=24),"18-24",IF(AND(data[[#This Row],[Age]]&gt;=25,data[[#This Row],[Age]]&lt;=34),"25-34",IF(AND(data[[#This Row],[Age]]&gt;35,data[[#This Row],[Age]]&lt;=44),"35-44",IF(data[[#This Row],[Age]]&gt;44,"45+",IF(data[[#This Row],[Age]]&lt;18,"below 18 ")))))</f>
        <v>18-24</v>
      </c>
    </row>
    <row r="751" spans="1:31" x14ac:dyDescent="0.25">
      <c r="A751" t="s">
        <v>804</v>
      </c>
      <c r="B751">
        <v>41</v>
      </c>
      <c r="C751" t="s">
        <v>31</v>
      </c>
      <c r="D751" t="s">
        <v>32</v>
      </c>
      <c r="E751" t="s">
        <v>58</v>
      </c>
      <c r="F751" t="s">
        <v>70</v>
      </c>
      <c r="G751">
        <v>2.5</v>
      </c>
      <c r="H751">
        <v>3</v>
      </c>
      <c r="I751">
        <v>6</v>
      </c>
      <c r="J751" t="s">
        <v>35</v>
      </c>
      <c r="K751" t="s">
        <v>62</v>
      </c>
      <c r="L751">
        <v>23</v>
      </c>
      <c r="M751">
        <v>3.3</v>
      </c>
      <c r="N751">
        <v>7.7</v>
      </c>
      <c r="O751">
        <v>6.7</v>
      </c>
      <c r="P751">
        <v>6.7</v>
      </c>
      <c r="Q751" t="s">
        <v>42</v>
      </c>
      <c r="R751" t="s">
        <v>42</v>
      </c>
      <c r="S751">
        <v>5.3</v>
      </c>
      <c r="T751">
        <v>8</v>
      </c>
      <c r="U751">
        <v>1.7</v>
      </c>
      <c r="V751">
        <v>6.8</v>
      </c>
      <c r="W751">
        <v>10</v>
      </c>
      <c r="X751">
        <v>9</v>
      </c>
      <c r="Y751">
        <v>4</v>
      </c>
      <c r="Z751">
        <v>5.9</v>
      </c>
      <c r="AA751">
        <v>7.5</v>
      </c>
      <c r="AB751">
        <v>3.4</v>
      </c>
      <c r="AC751">
        <v>8.1999999999999993</v>
      </c>
      <c r="AD751" t="s">
        <v>37</v>
      </c>
      <c r="AE751" t="str">
        <f>IF(AND(data[[#This Row],[Age]]&gt;=18,data[[#This Row],[Age]]&lt;=24),"18-24",IF(AND(data[[#This Row],[Age]]&gt;=25,data[[#This Row],[Age]]&lt;=34),"25-34",IF(AND(data[[#This Row],[Age]]&gt;35,data[[#This Row],[Age]]&lt;=44),"35-44",IF(data[[#This Row],[Age]]&gt;44,"45+",IF(data[[#This Row],[Age]]&lt;18,"below 18 ")))))</f>
        <v>35-44</v>
      </c>
    </row>
    <row r="752" spans="1:31" x14ac:dyDescent="0.25">
      <c r="A752" t="s">
        <v>805</v>
      </c>
      <c r="B752">
        <v>18</v>
      </c>
      <c r="C752" t="s">
        <v>47</v>
      </c>
      <c r="D752" t="s">
        <v>39</v>
      </c>
      <c r="E752" t="s">
        <v>58</v>
      </c>
      <c r="F752" t="s">
        <v>41</v>
      </c>
      <c r="G752">
        <v>8.4</v>
      </c>
      <c r="H752">
        <v>3</v>
      </c>
      <c r="I752">
        <v>2</v>
      </c>
      <c r="J752" t="s">
        <v>35</v>
      </c>
      <c r="K752" t="s">
        <v>52</v>
      </c>
      <c r="L752">
        <v>100</v>
      </c>
      <c r="M752">
        <v>7.9</v>
      </c>
      <c r="N752">
        <v>5</v>
      </c>
      <c r="O752">
        <v>3.4</v>
      </c>
      <c r="P752">
        <v>1.4</v>
      </c>
      <c r="Q752" t="s">
        <v>35</v>
      </c>
      <c r="R752" t="s">
        <v>42</v>
      </c>
      <c r="S752">
        <v>2.2999999999999998</v>
      </c>
      <c r="T752">
        <v>5</v>
      </c>
      <c r="U752">
        <v>3.7</v>
      </c>
      <c r="V752">
        <v>7.7</v>
      </c>
      <c r="W752">
        <v>5</v>
      </c>
      <c r="X752">
        <v>8.1999999999999993</v>
      </c>
      <c r="Y752">
        <v>5.6</v>
      </c>
      <c r="Z752">
        <v>6.2</v>
      </c>
      <c r="AA752">
        <v>4.7</v>
      </c>
      <c r="AB752">
        <v>0</v>
      </c>
      <c r="AC752">
        <v>6.5</v>
      </c>
      <c r="AD752" t="s">
        <v>53</v>
      </c>
      <c r="AE752" t="str">
        <f>IF(AND(data[[#This Row],[Age]]&gt;=18,data[[#This Row],[Age]]&lt;=24),"18-24",IF(AND(data[[#This Row],[Age]]&gt;=25,data[[#This Row],[Age]]&lt;=34),"25-34",IF(AND(data[[#This Row],[Age]]&gt;35,data[[#This Row],[Age]]&lt;=44),"35-44",IF(data[[#This Row],[Age]]&gt;44,"45+",IF(data[[#This Row],[Age]]&lt;18,"below 18 ")))))</f>
        <v>18-24</v>
      </c>
    </row>
    <row r="753" spans="1:31" x14ac:dyDescent="0.25">
      <c r="A753" t="s">
        <v>806</v>
      </c>
      <c r="B753">
        <v>28</v>
      </c>
      <c r="C753" t="s">
        <v>31</v>
      </c>
      <c r="D753" t="s">
        <v>64</v>
      </c>
      <c r="E753" t="s">
        <v>58</v>
      </c>
      <c r="F753" t="s">
        <v>51</v>
      </c>
      <c r="G753">
        <v>4.8</v>
      </c>
      <c r="H753">
        <v>2</v>
      </c>
      <c r="I753">
        <v>5</v>
      </c>
      <c r="J753" t="s">
        <v>35</v>
      </c>
      <c r="K753" t="s">
        <v>52</v>
      </c>
      <c r="L753">
        <v>5</v>
      </c>
      <c r="M753">
        <v>7</v>
      </c>
      <c r="N753">
        <v>1.7</v>
      </c>
      <c r="O753">
        <v>4.7</v>
      </c>
      <c r="P753">
        <v>8</v>
      </c>
      <c r="Q753" t="s">
        <v>35</v>
      </c>
      <c r="R753" t="s">
        <v>42</v>
      </c>
      <c r="S753">
        <v>4.2</v>
      </c>
      <c r="T753">
        <v>7.5</v>
      </c>
      <c r="U753">
        <v>4</v>
      </c>
      <c r="V753">
        <v>7</v>
      </c>
      <c r="W753">
        <v>5.8</v>
      </c>
      <c r="X753">
        <v>6.9</v>
      </c>
      <c r="Y753">
        <v>6.8</v>
      </c>
      <c r="Z753">
        <v>6</v>
      </c>
      <c r="AA753">
        <v>1.3</v>
      </c>
      <c r="AB753">
        <v>6.1</v>
      </c>
      <c r="AC753">
        <v>6.9</v>
      </c>
      <c r="AD753" t="s">
        <v>53</v>
      </c>
      <c r="AE753" t="str">
        <f>IF(AND(data[[#This Row],[Age]]&gt;=18,data[[#This Row],[Age]]&lt;=24),"18-24",IF(AND(data[[#This Row],[Age]]&gt;=25,data[[#This Row],[Age]]&lt;=34),"25-34",IF(AND(data[[#This Row],[Age]]&gt;35,data[[#This Row],[Age]]&lt;=44),"35-44",IF(data[[#This Row],[Age]]&gt;44,"45+",IF(data[[#This Row],[Age]]&lt;18,"below 18 ")))))</f>
        <v>25-34</v>
      </c>
    </row>
    <row r="754" spans="1:31" x14ac:dyDescent="0.25">
      <c r="A754" t="s">
        <v>807</v>
      </c>
      <c r="B754">
        <v>20</v>
      </c>
      <c r="C754" t="s">
        <v>47</v>
      </c>
      <c r="D754" t="s">
        <v>32</v>
      </c>
      <c r="E754" t="s">
        <v>58</v>
      </c>
      <c r="F754" t="s">
        <v>34</v>
      </c>
      <c r="G754">
        <v>5.2</v>
      </c>
      <c r="H754">
        <v>3</v>
      </c>
      <c r="I754">
        <v>3</v>
      </c>
      <c r="J754" t="s">
        <v>42</v>
      </c>
      <c r="K754" t="s">
        <v>36</v>
      </c>
      <c r="L754">
        <v>34</v>
      </c>
      <c r="M754">
        <v>5.0999999999999996</v>
      </c>
      <c r="N754">
        <v>8.1</v>
      </c>
      <c r="O754">
        <v>7.3</v>
      </c>
      <c r="P754">
        <v>8.1</v>
      </c>
      <c r="Q754" t="s">
        <v>42</v>
      </c>
      <c r="R754" t="s">
        <v>42</v>
      </c>
      <c r="S754">
        <v>8.9</v>
      </c>
      <c r="T754">
        <v>6.4</v>
      </c>
      <c r="U754">
        <v>1.8</v>
      </c>
      <c r="V754">
        <v>9.6</v>
      </c>
      <c r="W754">
        <v>6.9</v>
      </c>
      <c r="Y754">
        <v>4.8</v>
      </c>
      <c r="Z754">
        <v>1.5</v>
      </c>
      <c r="AA754">
        <v>1.1000000000000001</v>
      </c>
      <c r="AB754">
        <v>2.2000000000000002</v>
      </c>
      <c r="AC754">
        <v>4</v>
      </c>
      <c r="AD754" t="s">
        <v>43</v>
      </c>
      <c r="AE754" t="str">
        <f>IF(AND(data[[#This Row],[Age]]&gt;=18,data[[#This Row],[Age]]&lt;=24),"18-24",IF(AND(data[[#This Row],[Age]]&gt;=25,data[[#This Row],[Age]]&lt;=34),"25-34",IF(AND(data[[#This Row],[Age]]&gt;35,data[[#This Row],[Age]]&lt;=44),"35-44",IF(data[[#This Row],[Age]]&gt;44,"45+",IF(data[[#This Row],[Age]]&lt;18,"below 18 ")))))</f>
        <v>18-24</v>
      </c>
    </row>
    <row r="755" spans="1:31" x14ac:dyDescent="0.25">
      <c r="A755" t="s">
        <v>808</v>
      </c>
      <c r="B755">
        <v>39</v>
      </c>
      <c r="C755" t="s">
        <v>47</v>
      </c>
      <c r="D755" t="s">
        <v>39</v>
      </c>
      <c r="E755" t="s">
        <v>33</v>
      </c>
      <c r="F755" t="s">
        <v>34</v>
      </c>
      <c r="G755">
        <v>7</v>
      </c>
      <c r="H755">
        <v>3</v>
      </c>
      <c r="I755">
        <v>3</v>
      </c>
      <c r="J755" t="s">
        <v>42</v>
      </c>
      <c r="K755" t="s">
        <v>36</v>
      </c>
      <c r="L755">
        <v>70</v>
      </c>
      <c r="M755">
        <v>7.2</v>
      </c>
      <c r="N755">
        <v>7.6</v>
      </c>
      <c r="O755">
        <v>5.3</v>
      </c>
      <c r="P755">
        <v>8.8000000000000007</v>
      </c>
      <c r="Q755" t="s">
        <v>42</v>
      </c>
      <c r="R755" t="s">
        <v>42</v>
      </c>
      <c r="S755">
        <v>3.7</v>
      </c>
      <c r="T755">
        <v>3.3</v>
      </c>
      <c r="U755">
        <v>5.3</v>
      </c>
      <c r="V755">
        <v>2.5</v>
      </c>
      <c r="W755">
        <v>4.9000000000000004</v>
      </c>
      <c r="X755">
        <v>5.0999999999999996</v>
      </c>
      <c r="Y755">
        <v>3.2</v>
      </c>
      <c r="Z755">
        <v>6.9</v>
      </c>
      <c r="AA755">
        <v>2.6</v>
      </c>
      <c r="AB755">
        <v>2.9</v>
      </c>
      <c r="AC755">
        <v>3.4</v>
      </c>
      <c r="AD755" t="s">
        <v>43</v>
      </c>
      <c r="AE755" t="str">
        <f>IF(AND(data[[#This Row],[Age]]&gt;=18,data[[#This Row],[Age]]&lt;=24),"18-24",IF(AND(data[[#This Row],[Age]]&gt;=25,data[[#This Row],[Age]]&lt;=34),"25-34",IF(AND(data[[#This Row],[Age]]&gt;35,data[[#This Row],[Age]]&lt;=44),"35-44",IF(data[[#This Row],[Age]]&gt;44,"45+",IF(data[[#This Row],[Age]]&lt;18,"below 18 ")))))</f>
        <v>35-44</v>
      </c>
    </row>
    <row r="756" spans="1:31" x14ac:dyDescent="0.25">
      <c r="A756" t="s">
        <v>809</v>
      </c>
      <c r="B756">
        <v>22</v>
      </c>
      <c r="C756" t="s">
        <v>31</v>
      </c>
      <c r="D756" t="s">
        <v>32</v>
      </c>
      <c r="E756" t="s">
        <v>58</v>
      </c>
      <c r="F756" t="s">
        <v>41</v>
      </c>
      <c r="G756">
        <v>9.1999999999999993</v>
      </c>
      <c r="H756">
        <v>3</v>
      </c>
      <c r="I756">
        <v>0</v>
      </c>
      <c r="J756" t="s">
        <v>42</v>
      </c>
      <c r="K756" t="s">
        <v>36</v>
      </c>
      <c r="L756">
        <v>22</v>
      </c>
      <c r="M756">
        <v>5.3</v>
      </c>
      <c r="N756">
        <v>2.1</v>
      </c>
      <c r="O756">
        <v>3.6</v>
      </c>
      <c r="P756">
        <v>3.5</v>
      </c>
      <c r="Q756" t="s">
        <v>42</v>
      </c>
      <c r="R756" t="s">
        <v>42</v>
      </c>
      <c r="S756">
        <v>2.4</v>
      </c>
      <c r="U756">
        <v>5</v>
      </c>
      <c r="V756">
        <v>6.9</v>
      </c>
      <c r="W756">
        <v>5.8</v>
      </c>
      <c r="X756">
        <v>6.3</v>
      </c>
      <c r="Y756">
        <v>0.4</v>
      </c>
      <c r="Z756">
        <v>4.9000000000000004</v>
      </c>
      <c r="AA756">
        <v>3.4</v>
      </c>
      <c r="AB756">
        <v>2.5</v>
      </c>
      <c r="AC756">
        <v>6.4</v>
      </c>
      <c r="AD756" t="s">
        <v>53</v>
      </c>
      <c r="AE756" t="str">
        <f>IF(AND(data[[#This Row],[Age]]&gt;=18,data[[#This Row],[Age]]&lt;=24),"18-24",IF(AND(data[[#This Row],[Age]]&gt;=25,data[[#This Row],[Age]]&lt;=34),"25-34",IF(AND(data[[#This Row],[Age]]&gt;35,data[[#This Row],[Age]]&lt;=44),"35-44",IF(data[[#This Row],[Age]]&gt;44,"45+",IF(data[[#This Row],[Age]]&lt;18,"below 18 ")))))</f>
        <v>18-24</v>
      </c>
    </row>
    <row r="757" spans="1:31" x14ac:dyDescent="0.25">
      <c r="A757" t="s">
        <v>810</v>
      </c>
      <c r="B757">
        <v>15</v>
      </c>
      <c r="C757" t="s">
        <v>47</v>
      </c>
      <c r="D757" t="s">
        <v>57</v>
      </c>
      <c r="E757" t="s">
        <v>33</v>
      </c>
      <c r="F757" t="s">
        <v>41</v>
      </c>
      <c r="G757">
        <v>4.4000000000000004</v>
      </c>
      <c r="H757">
        <v>1</v>
      </c>
      <c r="I757">
        <v>3</v>
      </c>
      <c r="J757" t="s">
        <v>35</v>
      </c>
      <c r="K757" t="s">
        <v>62</v>
      </c>
      <c r="L757">
        <v>58</v>
      </c>
      <c r="M757">
        <v>5.3</v>
      </c>
      <c r="N757">
        <v>5</v>
      </c>
      <c r="O757">
        <v>0</v>
      </c>
      <c r="P757">
        <v>7.7</v>
      </c>
      <c r="Q757" t="s">
        <v>42</v>
      </c>
      <c r="R757" t="s">
        <v>35</v>
      </c>
      <c r="S757">
        <v>8</v>
      </c>
      <c r="T757">
        <v>3.2</v>
      </c>
      <c r="U757">
        <v>2.8</v>
      </c>
      <c r="V757">
        <v>7.4</v>
      </c>
      <c r="W757">
        <v>6.4</v>
      </c>
      <c r="X757">
        <v>7.1</v>
      </c>
      <c r="Y757">
        <v>8.3000000000000007</v>
      </c>
      <c r="Z757">
        <v>5.5</v>
      </c>
      <c r="AA757">
        <v>2.6</v>
      </c>
      <c r="AC757">
        <v>6.8</v>
      </c>
      <c r="AD757" t="s">
        <v>37</v>
      </c>
      <c r="AE757" t="str">
        <f>IF(AND(data[[#This Row],[Age]]&gt;=18,data[[#This Row],[Age]]&lt;=24),"18-24",IF(AND(data[[#This Row],[Age]]&gt;=25,data[[#This Row],[Age]]&lt;=34),"25-34",IF(AND(data[[#This Row],[Age]]&gt;35,data[[#This Row],[Age]]&lt;=44),"35-44",IF(data[[#This Row],[Age]]&gt;44,"45+",IF(data[[#This Row],[Age]]&lt;18,"below 18 ")))))</f>
        <v xml:space="preserve">below 18 </v>
      </c>
    </row>
    <row r="758" spans="1:31" x14ac:dyDescent="0.25">
      <c r="A758" t="s">
        <v>811</v>
      </c>
      <c r="B758">
        <v>25</v>
      </c>
      <c r="C758" t="s">
        <v>31</v>
      </c>
      <c r="D758" t="s">
        <v>32</v>
      </c>
      <c r="E758" t="s">
        <v>58</v>
      </c>
      <c r="F758" t="s">
        <v>41</v>
      </c>
      <c r="G758">
        <v>4.7</v>
      </c>
      <c r="H758">
        <v>3</v>
      </c>
      <c r="I758">
        <v>6</v>
      </c>
      <c r="K758" t="s">
        <v>36</v>
      </c>
      <c r="L758">
        <v>97</v>
      </c>
      <c r="M758">
        <v>2.4</v>
      </c>
      <c r="N758">
        <v>4.8</v>
      </c>
      <c r="O758">
        <v>5.4</v>
      </c>
      <c r="P758">
        <v>6.7</v>
      </c>
      <c r="Q758" t="s">
        <v>35</v>
      </c>
      <c r="R758" t="s">
        <v>42</v>
      </c>
      <c r="S758">
        <v>1.9</v>
      </c>
      <c r="T758">
        <v>3.3</v>
      </c>
      <c r="U758">
        <v>7</v>
      </c>
      <c r="V758">
        <v>6.7</v>
      </c>
      <c r="W758">
        <v>3.7</v>
      </c>
      <c r="Y758">
        <v>3.2</v>
      </c>
      <c r="Z758">
        <v>6.7</v>
      </c>
      <c r="AA758">
        <v>2.1</v>
      </c>
      <c r="AB758">
        <v>2.5</v>
      </c>
      <c r="AC758">
        <v>5.5</v>
      </c>
      <c r="AD758" t="s">
        <v>45</v>
      </c>
      <c r="AE758" t="str">
        <f>IF(AND(data[[#This Row],[Age]]&gt;=18,data[[#This Row],[Age]]&lt;=24),"18-24",IF(AND(data[[#This Row],[Age]]&gt;=25,data[[#This Row],[Age]]&lt;=34),"25-34",IF(AND(data[[#This Row],[Age]]&gt;35,data[[#This Row],[Age]]&lt;=44),"35-44",IF(data[[#This Row],[Age]]&gt;44,"45+",IF(data[[#This Row],[Age]]&lt;18,"below 18 ")))))</f>
        <v>25-34</v>
      </c>
    </row>
    <row r="759" spans="1:31" x14ac:dyDescent="0.25">
      <c r="A759" t="s">
        <v>812</v>
      </c>
      <c r="B759">
        <v>27</v>
      </c>
      <c r="C759" t="s">
        <v>47</v>
      </c>
      <c r="D759" t="s">
        <v>32</v>
      </c>
      <c r="E759" t="s">
        <v>40</v>
      </c>
      <c r="F759" t="s">
        <v>48</v>
      </c>
      <c r="G759">
        <v>1.5</v>
      </c>
      <c r="H759">
        <v>3</v>
      </c>
      <c r="I759">
        <v>1</v>
      </c>
      <c r="J759" t="s">
        <v>35</v>
      </c>
      <c r="K759" t="s">
        <v>36</v>
      </c>
      <c r="L759">
        <v>33</v>
      </c>
      <c r="M759">
        <v>7</v>
      </c>
      <c r="N759">
        <v>4.2</v>
      </c>
      <c r="O759">
        <v>4.3</v>
      </c>
      <c r="P759">
        <v>3.8</v>
      </c>
      <c r="Q759" t="s">
        <v>42</v>
      </c>
      <c r="R759" t="s">
        <v>42</v>
      </c>
      <c r="S759">
        <v>5.3</v>
      </c>
      <c r="T759">
        <v>3.7</v>
      </c>
      <c r="U759">
        <v>5.0999999999999996</v>
      </c>
      <c r="W759">
        <v>7.7</v>
      </c>
      <c r="X759">
        <v>6.5</v>
      </c>
      <c r="Z759">
        <v>6.7</v>
      </c>
      <c r="AA759">
        <v>3.1</v>
      </c>
      <c r="AB759">
        <v>4.3</v>
      </c>
      <c r="AC759">
        <v>7.2</v>
      </c>
      <c r="AD759" t="s">
        <v>37</v>
      </c>
      <c r="AE759" t="str">
        <f>IF(AND(data[[#This Row],[Age]]&gt;=18,data[[#This Row],[Age]]&lt;=24),"18-24",IF(AND(data[[#This Row],[Age]]&gt;=25,data[[#This Row],[Age]]&lt;=34),"25-34",IF(AND(data[[#This Row],[Age]]&gt;35,data[[#This Row],[Age]]&lt;=44),"35-44",IF(data[[#This Row],[Age]]&gt;44,"45+",IF(data[[#This Row],[Age]]&lt;18,"below 18 ")))))</f>
        <v>25-34</v>
      </c>
    </row>
    <row r="760" spans="1:31" x14ac:dyDescent="0.25">
      <c r="A760" t="s">
        <v>813</v>
      </c>
      <c r="B760">
        <v>39</v>
      </c>
      <c r="C760" t="s">
        <v>47</v>
      </c>
      <c r="D760" t="s">
        <v>32</v>
      </c>
      <c r="E760" t="s">
        <v>58</v>
      </c>
      <c r="F760" t="s">
        <v>51</v>
      </c>
      <c r="H760">
        <v>2</v>
      </c>
      <c r="I760">
        <v>2</v>
      </c>
      <c r="J760" t="s">
        <v>42</v>
      </c>
      <c r="K760" t="s">
        <v>36</v>
      </c>
      <c r="L760">
        <v>73</v>
      </c>
      <c r="M760">
        <v>1.7</v>
      </c>
      <c r="N760">
        <v>5.6</v>
      </c>
      <c r="O760">
        <v>7.6</v>
      </c>
      <c r="P760">
        <v>4.9000000000000004</v>
      </c>
      <c r="Q760" t="s">
        <v>35</v>
      </c>
      <c r="R760" t="s">
        <v>35</v>
      </c>
      <c r="S760">
        <v>5.6</v>
      </c>
      <c r="T760">
        <v>1.9</v>
      </c>
      <c r="U760">
        <v>3.9</v>
      </c>
      <c r="V760">
        <v>3.8</v>
      </c>
      <c r="W760">
        <v>5.9</v>
      </c>
      <c r="X760">
        <v>4.5999999999999996</v>
      </c>
      <c r="Y760">
        <v>3</v>
      </c>
      <c r="Z760">
        <v>5</v>
      </c>
      <c r="AA760">
        <v>0.4</v>
      </c>
      <c r="AB760">
        <v>1.4</v>
      </c>
      <c r="AC760">
        <v>6.3</v>
      </c>
      <c r="AD760" t="s">
        <v>53</v>
      </c>
      <c r="AE760" t="str">
        <f>IF(AND(data[[#This Row],[Age]]&gt;=18,data[[#This Row],[Age]]&lt;=24),"18-24",IF(AND(data[[#This Row],[Age]]&gt;=25,data[[#This Row],[Age]]&lt;=34),"25-34",IF(AND(data[[#This Row],[Age]]&gt;35,data[[#This Row],[Age]]&lt;=44),"35-44",IF(data[[#This Row],[Age]]&gt;44,"45+",IF(data[[#This Row],[Age]]&lt;18,"below 18 ")))))</f>
        <v>35-44</v>
      </c>
    </row>
    <row r="761" spans="1:31" x14ac:dyDescent="0.25">
      <c r="A761" t="s">
        <v>814</v>
      </c>
      <c r="B761">
        <v>30</v>
      </c>
      <c r="C761" t="s">
        <v>31</v>
      </c>
      <c r="D761" t="s">
        <v>32</v>
      </c>
      <c r="E761" t="s">
        <v>33</v>
      </c>
      <c r="F761" t="s">
        <v>51</v>
      </c>
      <c r="G761">
        <v>8.1</v>
      </c>
      <c r="H761">
        <v>2</v>
      </c>
      <c r="I761">
        <v>2</v>
      </c>
      <c r="J761" t="s">
        <v>42</v>
      </c>
      <c r="K761" t="s">
        <v>62</v>
      </c>
      <c r="L761">
        <v>100</v>
      </c>
      <c r="M761">
        <v>4.8</v>
      </c>
      <c r="N761">
        <v>3.3</v>
      </c>
      <c r="O761">
        <v>6.2</v>
      </c>
      <c r="P761">
        <v>6.3</v>
      </c>
      <c r="Q761" t="s">
        <v>42</v>
      </c>
      <c r="R761" t="s">
        <v>42</v>
      </c>
      <c r="S761">
        <v>3.7</v>
      </c>
      <c r="T761">
        <v>5.6</v>
      </c>
      <c r="U761">
        <v>6.9</v>
      </c>
      <c r="V761">
        <v>6.4</v>
      </c>
      <c r="W761">
        <v>4.0999999999999996</v>
      </c>
      <c r="X761">
        <v>7.5</v>
      </c>
      <c r="Z761">
        <v>3.8</v>
      </c>
      <c r="AA761">
        <v>1.3</v>
      </c>
      <c r="AB761">
        <v>4.4000000000000004</v>
      </c>
      <c r="AC761">
        <v>6.2</v>
      </c>
      <c r="AD761" t="s">
        <v>45</v>
      </c>
      <c r="AE761" t="str">
        <f>IF(AND(data[[#This Row],[Age]]&gt;=18,data[[#This Row],[Age]]&lt;=24),"18-24",IF(AND(data[[#This Row],[Age]]&gt;=25,data[[#This Row],[Age]]&lt;=34),"25-34",IF(AND(data[[#This Row],[Age]]&gt;35,data[[#This Row],[Age]]&lt;=44),"35-44",IF(data[[#This Row],[Age]]&gt;44,"45+",IF(data[[#This Row],[Age]]&lt;18,"below 18 ")))))</f>
        <v>25-34</v>
      </c>
    </row>
    <row r="762" spans="1:31" x14ac:dyDescent="0.25">
      <c r="A762" t="s">
        <v>815</v>
      </c>
      <c r="B762">
        <v>43</v>
      </c>
      <c r="C762" t="s">
        <v>47</v>
      </c>
      <c r="D762" t="s">
        <v>32</v>
      </c>
      <c r="E762" t="s">
        <v>58</v>
      </c>
      <c r="F762" t="s">
        <v>51</v>
      </c>
      <c r="G762">
        <v>2.8</v>
      </c>
      <c r="H762">
        <v>4</v>
      </c>
      <c r="I762">
        <v>5</v>
      </c>
      <c r="J762" t="s">
        <v>35</v>
      </c>
      <c r="K762" t="s">
        <v>36</v>
      </c>
      <c r="L762">
        <v>50</v>
      </c>
      <c r="M762">
        <v>5.5</v>
      </c>
      <c r="N762">
        <v>10</v>
      </c>
      <c r="O762">
        <v>7.9</v>
      </c>
      <c r="P762">
        <v>5.2</v>
      </c>
      <c r="Q762" t="s">
        <v>42</v>
      </c>
      <c r="R762" t="s">
        <v>35</v>
      </c>
      <c r="S762">
        <v>7.8</v>
      </c>
      <c r="T762">
        <v>5.3</v>
      </c>
      <c r="U762">
        <v>5.2</v>
      </c>
      <c r="V762">
        <v>3</v>
      </c>
      <c r="W762">
        <v>8.8000000000000007</v>
      </c>
      <c r="X762">
        <v>8.6999999999999993</v>
      </c>
      <c r="Y762">
        <v>5.6</v>
      </c>
      <c r="Z762">
        <v>1.8</v>
      </c>
      <c r="AB762">
        <v>5.5</v>
      </c>
      <c r="AC762">
        <v>5.8</v>
      </c>
      <c r="AD762" t="s">
        <v>43</v>
      </c>
      <c r="AE762" t="str">
        <f>IF(AND(data[[#This Row],[Age]]&gt;=18,data[[#This Row],[Age]]&lt;=24),"18-24",IF(AND(data[[#This Row],[Age]]&gt;=25,data[[#This Row],[Age]]&lt;=34),"25-34",IF(AND(data[[#This Row],[Age]]&gt;35,data[[#This Row],[Age]]&lt;=44),"35-44",IF(data[[#This Row],[Age]]&gt;44,"45+",IF(data[[#This Row],[Age]]&lt;18,"below 18 ")))))</f>
        <v>35-44</v>
      </c>
    </row>
    <row r="763" spans="1:31" x14ac:dyDescent="0.25">
      <c r="A763" t="s">
        <v>816</v>
      </c>
      <c r="B763">
        <v>36</v>
      </c>
      <c r="C763" t="s">
        <v>47</v>
      </c>
      <c r="D763" t="s">
        <v>39</v>
      </c>
      <c r="E763" t="s">
        <v>40</v>
      </c>
      <c r="F763" t="s">
        <v>51</v>
      </c>
      <c r="G763">
        <v>2.5</v>
      </c>
      <c r="H763">
        <v>3</v>
      </c>
      <c r="I763">
        <v>3</v>
      </c>
      <c r="K763" t="s">
        <v>36</v>
      </c>
      <c r="L763">
        <v>46</v>
      </c>
      <c r="M763">
        <v>6.2</v>
      </c>
      <c r="N763">
        <v>7.8</v>
      </c>
      <c r="O763">
        <v>5.3</v>
      </c>
      <c r="P763">
        <v>4.3</v>
      </c>
      <c r="Q763" t="s">
        <v>42</v>
      </c>
      <c r="R763" t="s">
        <v>35</v>
      </c>
      <c r="S763">
        <v>0</v>
      </c>
      <c r="T763">
        <v>5.2</v>
      </c>
      <c r="U763">
        <v>7.7</v>
      </c>
      <c r="V763">
        <v>3.7</v>
      </c>
      <c r="X763">
        <v>3.5</v>
      </c>
      <c r="Y763">
        <v>4.5</v>
      </c>
      <c r="Z763">
        <v>8.3000000000000007</v>
      </c>
      <c r="AA763">
        <v>5.0999999999999996</v>
      </c>
      <c r="AB763">
        <v>0</v>
      </c>
      <c r="AC763">
        <v>7.2</v>
      </c>
      <c r="AD763" t="s">
        <v>53</v>
      </c>
      <c r="AE763" t="str">
        <f>IF(AND(data[[#This Row],[Age]]&gt;=18,data[[#This Row],[Age]]&lt;=24),"18-24",IF(AND(data[[#This Row],[Age]]&gt;=25,data[[#This Row],[Age]]&lt;=34),"25-34",IF(AND(data[[#This Row],[Age]]&gt;35,data[[#This Row],[Age]]&lt;=44),"35-44",IF(data[[#This Row],[Age]]&gt;44,"45+",IF(data[[#This Row],[Age]]&lt;18,"below 18 ")))))</f>
        <v>35-44</v>
      </c>
    </row>
    <row r="764" spans="1:31" x14ac:dyDescent="0.25">
      <c r="A764" t="s">
        <v>817</v>
      </c>
      <c r="B764">
        <v>19</v>
      </c>
      <c r="C764" t="s">
        <v>31</v>
      </c>
      <c r="D764" t="s">
        <v>39</v>
      </c>
      <c r="E764" t="s">
        <v>58</v>
      </c>
      <c r="F764" t="s">
        <v>41</v>
      </c>
      <c r="G764">
        <v>0.8</v>
      </c>
      <c r="H764">
        <v>3</v>
      </c>
      <c r="I764">
        <v>5</v>
      </c>
      <c r="J764" t="s">
        <v>42</v>
      </c>
      <c r="K764" t="s">
        <v>36</v>
      </c>
      <c r="L764">
        <v>131</v>
      </c>
      <c r="M764">
        <v>1</v>
      </c>
      <c r="N764">
        <v>3.9</v>
      </c>
      <c r="O764">
        <v>3.9</v>
      </c>
      <c r="P764">
        <v>5.9</v>
      </c>
      <c r="Q764" t="s">
        <v>42</v>
      </c>
      <c r="R764" t="s">
        <v>35</v>
      </c>
      <c r="S764">
        <v>7.7</v>
      </c>
      <c r="T764">
        <v>7.6</v>
      </c>
      <c r="V764">
        <v>5.7</v>
      </c>
      <c r="W764">
        <v>7.4</v>
      </c>
      <c r="X764">
        <v>7</v>
      </c>
      <c r="Y764">
        <v>0</v>
      </c>
      <c r="Z764">
        <v>5.2</v>
      </c>
      <c r="AA764">
        <v>4</v>
      </c>
      <c r="AB764">
        <v>0</v>
      </c>
      <c r="AC764">
        <v>7.4</v>
      </c>
      <c r="AD764" t="s">
        <v>37</v>
      </c>
      <c r="AE764" t="str">
        <f>IF(AND(data[[#This Row],[Age]]&gt;=18,data[[#This Row],[Age]]&lt;=24),"18-24",IF(AND(data[[#This Row],[Age]]&gt;=25,data[[#This Row],[Age]]&lt;=34),"25-34",IF(AND(data[[#This Row],[Age]]&gt;35,data[[#This Row],[Age]]&lt;=44),"35-44",IF(data[[#This Row],[Age]]&gt;44,"45+",IF(data[[#This Row],[Age]]&lt;18,"below 18 ")))))</f>
        <v>18-24</v>
      </c>
    </row>
    <row r="765" spans="1:31" x14ac:dyDescent="0.25">
      <c r="A765" t="s">
        <v>818</v>
      </c>
      <c r="B765">
        <v>27</v>
      </c>
      <c r="C765" t="s">
        <v>31</v>
      </c>
      <c r="D765" t="s">
        <v>39</v>
      </c>
      <c r="E765" t="s">
        <v>58</v>
      </c>
      <c r="F765" t="s">
        <v>41</v>
      </c>
      <c r="G765">
        <v>1.7</v>
      </c>
      <c r="H765">
        <v>4</v>
      </c>
      <c r="I765">
        <v>6</v>
      </c>
      <c r="J765" t="s">
        <v>35</v>
      </c>
      <c r="K765" t="s">
        <v>62</v>
      </c>
      <c r="L765">
        <v>78</v>
      </c>
      <c r="M765">
        <v>4</v>
      </c>
      <c r="N765">
        <v>3.1</v>
      </c>
      <c r="O765">
        <v>6.8</v>
      </c>
      <c r="P765">
        <v>2.8</v>
      </c>
      <c r="Q765" t="s">
        <v>35</v>
      </c>
      <c r="R765" t="s">
        <v>42</v>
      </c>
      <c r="S765">
        <v>9.6999999999999993</v>
      </c>
      <c r="T765">
        <v>1.6</v>
      </c>
      <c r="U765">
        <v>2.1</v>
      </c>
      <c r="V765">
        <v>1.3</v>
      </c>
      <c r="W765">
        <v>5.8</v>
      </c>
      <c r="X765">
        <v>6.8</v>
      </c>
      <c r="Y765">
        <v>4.5</v>
      </c>
      <c r="Z765">
        <v>6.8</v>
      </c>
      <c r="AA765">
        <v>2.7</v>
      </c>
      <c r="AB765">
        <v>3.3</v>
      </c>
      <c r="AC765">
        <v>8.6999999999999993</v>
      </c>
      <c r="AD765" t="s">
        <v>37</v>
      </c>
      <c r="AE765" t="str">
        <f>IF(AND(data[[#This Row],[Age]]&gt;=18,data[[#This Row],[Age]]&lt;=24),"18-24",IF(AND(data[[#This Row],[Age]]&gt;=25,data[[#This Row],[Age]]&lt;=34),"25-34",IF(AND(data[[#This Row],[Age]]&gt;35,data[[#This Row],[Age]]&lt;=44),"35-44",IF(data[[#This Row],[Age]]&gt;44,"45+",IF(data[[#This Row],[Age]]&lt;18,"below 18 ")))))</f>
        <v>25-34</v>
      </c>
    </row>
    <row r="766" spans="1:31" x14ac:dyDescent="0.25">
      <c r="A766" t="s">
        <v>819</v>
      </c>
      <c r="B766">
        <v>28</v>
      </c>
      <c r="C766" t="s">
        <v>31</v>
      </c>
      <c r="D766" t="s">
        <v>32</v>
      </c>
      <c r="E766" t="s">
        <v>58</v>
      </c>
      <c r="F766" t="s">
        <v>70</v>
      </c>
      <c r="G766">
        <v>1.6</v>
      </c>
      <c r="H766">
        <v>2</v>
      </c>
      <c r="I766">
        <v>5</v>
      </c>
      <c r="J766" t="s">
        <v>42</v>
      </c>
      <c r="K766" t="s">
        <v>36</v>
      </c>
      <c r="L766">
        <v>79</v>
      </c>
      <c r="M766">
        <v>8.4</v>
      </c>
      <c r="N766">
        <v>7.4</v>
      </c>
      <c r="O766">
        <v>5.4</v>
      </c>
      <c r="P766">
        <v>1.7</v>
      </c>
      <c r="Q766" t="s">
        <v>35</v>
      </c>
      <c r="R766" t="s">
        <v>35</v>
      </c>
      <c r="S766">
        <v>4.8</v>
      </c>
      <c r="T766">
        <v>2.2000000000000002</v>
      </c>
      <c r="U766">
        <v>2.1</v>
      </c>
      <c r="V766">
        <v>7.5</v>
      </c>
      <c r="W766">
        <v>7.5</v>
      </c>
      <c r="X766">
        <v>5.2</v>
      </c>
      <c r="Y766">
        <v>7.5</v>
      </c>
      <c r="Z766">
        <v>7.7</v>
      </c>
      <c r="AA766">
        <v>1.7</v>
      </c>
      <c r="AB766">
        <v>4.5</v>
      </c>
      <c r="AC766">
        <v>6.8</v>
      </c>
      <c r="AD766" t="s">
        <v>53</v>
      </c>
      <c r="AE766" t="str">
        <f>IF(AND(data[[#This Row],[Age]]&gt;=18,data[[#This Row],[Age]]&lt;=24),"18-24",IF(AND(data[[#This Row],[Age]]&gt;=25,data[[#This Row],[Age]]&lt;=34),"25-34",IF(AND(data[[#This Row],[Age]]&gt;35,data[[#This Row],[Age]]&lt;=44),"35-44",IF(data[[#This Row],[Age]]&gt;44,"45+",IF(data[[#This Row],[Age]]&lt;18,"below 18 ")))))</f>
        <v>25-34</v>
      </c>
    </row>
    <row r="767" spans="1:31" x14ac:dyDescent="0.25">
      <c r="A767" t="s">
        <v>820</v>
      </c>
      <c r="B767">
        <v>15</v>
      </c>
      <c r="C767" t="s">
        <v>50</v>
      </c>
      <c r="D767" t="s">
        <v>64</v>
      </c>
      <c r="E767" t="s">
        <v>58</v>
      </c>
      <c r="F767" t="s">
        <v>41</v>
      </c>
      <c r="G767">
        <v>4.5</v>
      </c>
      <c r="H767">
        <v>7</v>
      </c>
      <c r="I767">
        <v>3</v>
      </c>
      <c r="J767" t="s">
        <v>35</v>
      </c>
      <c r="K767" t="s">
        <v>36</v>
      </c>
      <c r="L767">
        <v>98</v>
      </c>
      <c r="M767">
        <v>3.4</v>
      </c>
      <c r="N767">
        <v>7.6</v>
      </c>
      <c r="O767">
        <v>3.4</v>
      </c>
      <c r="P767">
        <v>4.5</v>
      </c>
      <c r="Q767" t="s">
        <v>42</v>
      </c>
      <c r="R767" t="s">
        <v>42</v>
      </c>
      <c r="S767">
        <v>6</v>
      </c>
      <c r="T767">
        <v>0.8</v>
      </c>
      <c r="U767">
        <v>3.1</v>
      </c>
      <c r="V767">
        <v>5.4</v>
      </c>
      <c r="W767">
        <v>2.6</v>
      </c>
      <c r="X767">
        <v>6.4</v>
      </c>
      <c r="Y767">
        <v>3.9</v>
      </c>
      <c r="Z767">
        <v>4.5999999999999996</v>
      </c>
      <c r="AA767">
        <v>2.5</v>
      </c>
      <c r="AB767">
        <v>0.7</v>
      </c>
      <c r="AC767">
        <v>4.4000000000000004</v>
      </c>
      <c r="AD767" t="s">
        <v>43</v>
      </c>
      <c r="AE767" t="str">
        <f>IF(AND(data[[#This Row],[Age]]&gt;=18,data[[#This Row],[Age]]&lt;=24),"18-24",IF(AND(data[[#This Row],[Age]]&gt;=25,data[[#This Row],[Age]]&lt;=34),"25-34",IF(AND(data[[#This Row],[Age]]&gt;35,data[[#This Row],[Age]]&lt;=44),"35-44",IF(data[[#This Row],[Age]]&gt;44,"45+",IF(data[[#This Row],[Age]]&lt;18,"below 18 ")))))</f>
        <v xml:space="preserve">below 18 </v>
      </c>
    </row>
    <row r="768" spans="1:31" x14ac:dyDescent="0.25">
      <c r="A768" t="s">
        <v>821</v>
      </c>
      <c r="B768">
        <v>35</v>
      </c>
      <c r="C768" t="s">
        <v>47</v>
      </c>
      <c r="D768" t="s">
        <v>39</v>
      </c>
      <c r="E768" t="s">
        <v>40</v>
      </c>
      <c r="F768" t="s">
        <v>59</v>
      </c>
      <c r="G768">
        <v>5.0999999999999996</v>
      </c>
      <c r="H768">
        <v>4</v>
      </c>
      <c r="I768">
        <v>2</v>
      </c>
      <c r="J768" t="s">
        <v>42</v>
      </c>
      <c r="K768" t="s">
        <v>36</v>
      </c>
      <c r="L768">
        <v>5</v>
      </c>
      <c r="M768">
        <v>9.5</v>
      </c>
      <c r="N768">
        <v>6.9</v>
      </c>
      <c r="O768">
        <v>5.7</v>
      </c>
      <c r="P768">
        <v>7.4</v>
      </c>
      <c r="Q768" t="s">
        <v>35</v>
      </c>
      <c r="R768" t="s">
        <v>35</v>
      </c>
      <c r="S768">
        <v>2.7</v>
      </c>
      <c r="T768">
        <v>4.4000000000000004</v>
      </c>
      <c r="U768">
        <v>5.0999999999999996</v>
      </c>
      <c r="V768">
        <v>5.8</v>
      </c>
      <c r="W768">
        <v>3.1</v>
      </c>
      <c r="X768">
        <v>5.9</v>
      </c>
      <c r="Y768">
        <v>3.1</v>
      </c>
      <c r="Z768">
        <v>8.6999999999999993</v>
      </c>
      <c r="AA768">
        <v>1.8</v>
      </c>
      <c r="AB768">
        <v>5.2</v>
      </c>
      <c r="AC768">
        <v>7</v>
      </c>
      <c r="AD768" t="s">
        <v>53</v>
      </c>
      <c r="AE768" t="b">
        <f>IF(AND(data[[#This Row],[Age]]&gt;=18,data[[#This Row],[Age]]&lt;=24),"18-24",IF(AND(data[[#This Row],[Age]]&gt;=25,data[[#This Row],[Age]]&lt;=34),"25-34",IF(AND(data[[#This Row],[Age]]&gt;35,data[[#This Row],[Age]]&lt;=44),"35-44",IF(data[[#This Row],[Age]]&gt;44,"45+",IF(data[[#This Row],[Age]]&lt;18,"below 18 ")))))</f>
        <v>0</v>
      </c>
    </row>
    <row r="769" spans="1:31" x14ac:dyDescent="0.25">
      <c r="A769" t="s">
        <v>822</v>
      </c>
      <c r="B769">
        <v>38</v>
      </c>
      <c r="C769" t="s">
        <v>50</v>
      </c>
      <c r="D769" t="s">
        <v>64</v>
      </c>
      <c r="E769" t="s">
        <v>40</v>
      </c>
      <c r="F769" t="s">
        <v>34</v>
      </c>
      <c r="G769">
        <v>0.5</v>
      </c>
      <c r="H769">
        <v>3</v>
      </c>
      <c r="I769">
        <v>7</v>
      </c>
      <c r="J769" t="s">
        <v>35</v>
      </c>
      <c r="K769" t="s">
        <v>62</v>
      </c>
      <c r="L769">
        <v>104</v>
      </c>
      <c r="M769">
        <v>8.8000000000000007</v>
      </c>
      <c r="N769">
        <v>5</v>
      </c>
      <c r="O769">
        <v>2.2999999999999998</v>
      </c>
      <c r="P769">
        <v>4.4000000000000004</v>
      </c>
      <c r="Q769" t="s">
        <v>42</v>
      </c>
      <c r="R769" t="s">
        <v>42</v>
      </c>
      <c r="S769">
        <v>6.6</v>
      </c>
      <c r="T769">
        <v>3</v>
      </c>
      <c r="U769">
        <v>5.2</v>
      </c>
      <c r="V769">
        <v>7.5</v>
      </c>
      <c r="W769">
        <v>6.9</v>
      </c>
      <c r="X769">
        <v>5.4</v>
      </c>
      <c r="Y769">
        <v>6.1</v>
      </c>
      <c r="Z769">
        <v>4.3</v>
      </c>
      <c r="AA769">
        <v>0</v>
      </c>
      <c r="AB769">
        <v>3.1</v>
      </c>
      <c r="AC769">
        <v>7.7</v>
      </c>
      <c r="AD769" t="s">
        <v>37</v>
      </c>
      <c r="AE769" t="str">
        <f>IF(AND(data[[#This Row],[Age]]&gt;=18,data[[#This Row],[Age]]&lt;=24),"18-24",IF(AND(data[[#This Row],[Age]]&gt;=25,data[[#This Row],[Age]]&lt;=34),"25-34",IF(AND(data[[#This Row],[Age]]&gt;35,data[[#This Row],[Age]]&lt;=44),"35-44",IF(data[[#This Row],[Age]]&gt;44,"45+",IF(data[[#This Row],[Age]]&lt;18,"below 18 ")))))</f>
        <v>35-44</v>
      </c>
    </row>
    <row r="770" spans="1:31" x14ac:dyDescent="0.25">
      <c r="A770" t="s">
        <v>823</v>
      </c>
      <c r="B770">
        <v>41</v>
      </c>
      <c r="C770" t="s">
        <v>47</v>
      </c>
      <c r="D770" t="s">
        <v>39</v>
      </c>
      <c r="E770" t="s">
        <v>58</v>
      </c>
      <c r="F770" t="s">
        <v>41</v>
      </c>
      <c r="G770">
        <v>5.4</v>
      </c>
      <c r="H770">
        <v>3</v>
      </c>
      <c r="I770">
        <v>2</v>
      </c>
      <c r="J770" t="s">
        <v>42</v>
      </c>
      <c r="K770" t="s">
        <v>36</v>
      </c>
      <c r="L770">
        <v>56</v>
      </c>
      <c r="M770">
        <v>7.8</v>
      </c>
      <c r="N770">
        <v>9.1</v>
      </c>
      <c r="O770">
        <v>5</v>
      </c>
      <c r="P770">
        <v>5.8</v>
      </c>
      <c r="Q770" t="s">
        <v>42</v>
      </c>
      <c r="R770" t="s">
        <v>35</v>
      </c>
      <c r="S770">
        <v>6.3</v>
      </c>
      <c r="T770">
        <v>3.6</v>
      </c>
      <c r="U770">
        <v>9.8000000000000007</v>
      </c>
      <c r="V770">
        <v>3.4</v>
      </c>
      <c r="W770">
        <v>2.5</v>
      </c>
      <c r="X770">
        <v>5.3</v>
      </c>
      <c r="Y770">
        <v>3</v>
      </c>
      <c r="Z770">
        <v>4.4000000000000004</v>
      </c>
      <c r="AA770">
        <v>2.7</v>
      </c>
      <c r="AB770">
        <v>1.2</v>
      </c>
      <c r="AC770">
        <v>3.1</v>
      </c>
      <c r="AD770" t="s">
        <v>43</v>
      </c>
      <c r="AE770" t="str">
        <f>IF(AND(data[[#This Row],[Age]]&gt;=18,data[[#This Row],[Age]]&lt;=24),"18-24",IF(AND(data[[#This Row],[Age]]&gt;=25,data[[#This Row],[Age]]&lt;=34),"25-34",IF(AND(data[[#This Row],[Age]]&gt;35,data[[#This Row],[Age]]&lt;=44),"35-44",IF(data[[#This Row],[Age]]&gt;44,"45+",IF(data[[#This Row],[Age]]&lt;18,"below 18 ")))))</f>
        <v>35-44</v>
      </c>
    </row>
    <row r="771" spans="1:31" x14ac:dyDescent="0.25">
      <c r="A771" t="s">
        <v>824</v>
      </c>
      <c r="B771">
        <v>15</v>
      </c>
      <c r="C771" t="s">
        <v>47</v>
      </c>
      <c r="D771" t="s">
        <v>39</v>
      </c>
      <c r="F771" t="s">
        <v>41</v>
      </c>
      <c r="G771">
        <v>7.3</v>
      </c>
      <c r="H771">
        <v>3</v>
      </c>
      <c r="I771">
        <v>8</v>
      </c>
      <c r="J771" t="s">
        <v>35</v>
      </c>
      <c r="K771" t="s">
        <v>62</v>
      </c>
      <c r="L771">
        <v>59</v>
      </c>
      <c r="N771">
        <v>5.4</v>
      </c>
      <c r="O771">
        <v>3.8</v>
      </c>
      <c r="P771">
        <v>2.1</v>
      </c>
      <c r="Q771" t="s">
        <v>35</v>
      </c>
      <c r="R771" t="s">
        <v>35</v>
      </c>
      <c r="S771">
        <v>5.2</v>
      </c>
      <c r="T771">
        <v>0.9</v>
      </c>
      <c r="U771">
        <v>5</v>
      </c>
      <c r="V771">
        <v>3.4</v>
      </c>
      <c r="W771">
        <v>2.1</v>
      </c>
      <c r="X771">
        <v>5</v>
      </c>
      <c r="Y771">
        <v>0.3</v>
      </c>
      <c r="Z771">
        <v>4.5</v>
      </c>
      <c r="AA771">
        <v>2.2000000000000002</v>
      </c>
      <c r="AB771">
        <v>1</v>
      </c>
      <c r="AC771">
        <v>9.5</v>
      </c>
      <c r="AD771" t="s">
        <v>37</v>
      </c>
      <c r="AE771" t="str">
        <f>IF(AND(data[[#This Row],[Age]]&gt;=18,data[[#This Row],[Age]]&lt;=24),"18-24",IF(AND(data[[#This Row],[Age]]&gt;=25,data[[#This Row],[Age]]&lt;=34),"25-34",IF(AND(data[[#This Row],[Age]]&gt;35,data[[#This Row],[Age]]&lt;=44),"35-44",IF(data[[#This Row],[Age]]&gt;44,"45+",IF(data[[#This Row],[Age]]&lt;18,"below 18 ")))))</f>
        <v xml:space="preserve">below 18 </v>
      </c>
    </row>
    <row r="772" spans="1:31" x14ac:dyDescent="0.25">
      <c r="A772" t="s">
        <v>825</v>
      </c>
      <c r="B772">
        <v>37</v>
      </c>
      <c r="C772" t="s">
        <v>31</v>
      </c>
      <c r="D772" t="s">
        <v>32</v>
      </c>
      <c r="E772" t="s">
        <v>40</v>
      </c>
      <c r="F772" t="s">
        <v>48</v>
      </c>
      <c r="G772">
        <v>6.3</v>
      </c>
      <c r="H772">
        <v>2</v>
      </c>
      <c r="I772">
        <v>7</v>
      </c>
      <c r="J772" t="s">
        <v>42</v>
      </c>
      <c r="K772" t="s">
        <v>52</v>
      </c>
      <c r="L772">
        <v>93</v>
      </c>
      <c r="M772">
        <v>4.2</v>
      </c>
      <c r="N772">
        <v>6.4</v>
      </c>
      <c r="O772">
        <v>8</v>
      </c>
      <c r="P772">
        <v>3.4</v>
      </c>
      <c r="Q772" t="s">
        <v>35</v>
      </c>
      <c r="R772" t="s">
        <v>42</v>
      </c>
      <c r="S772">
        <v>2</v>
      </c>
      <c r="T772">
        <v>6.5</v>
      </c>
      <c r="U772">
        <v>7.2</v>
      </c>
      <c r="V772">
        <v>7.9</v>
      </c>
      <c r="W772">
        <v>5.0999999999999996</v>
      </c>
      <c r="X772">
        <v>7.2</v>
      </c>
      <c r="Y772">
        <v>7.3</v>
      </c>
      <c r="Z772">
        <v>4.5999999999999996</v>
      </c>
      <c r="AA772">
        <v>0.7</v>
      </c>
      <c r="AB772">
        <v>0.9</v>
      </c>
      <c r="AC772">
        <v>7.2</v>
      </c>
      <c r="AD772" t="s">
        <v>53</v>
      </c>
      <c r="AE772" t="str">
        <f>IF(AND(data[[#This Row],[Age]]&gt;=18,data[[#This Row],[Age]]&lt;=24),"18-24",IF(AND(data[[#This Row],[Age]]&gt;=25,data[[#This Row],[Age]]&lt;=34),"25-34",IF(AND(data[[#This Row],[Age]]&gt;35,data[[#This Row],[Age]]&lt;=44),"35-44",IF(data[[#This Row],[Age]]&gt;44,"45+",IF(data[[#This Row],[Age]]&lt;18,"below 18 ")))))</f>
        <v>35-44</v>
      </c>
    </row>
    <row r="773" spans="1:31" x14ac:dyDescent="0.25">
      <c r="A773" t="s">
        <v>826</v>
      </c>
      <c r="B773">
        <v>26</v>
      </c>
      <c r="C773" t="s">
        <v>47</v>
      </c>
      <c r="D773" t="s">
        <v>57</v>
      </c>
      <c r="E773" t="s">
        <v>40</v>
      </c>
      <c r="F773" t="s">
        <v>41</v>
      </c>
      <c r="G773">
        <v>2.8</v>
      </c>
      <c r="H773">
        <v>4</v>
      </c>
      <c r="I773">
        <v>3</v>
      </c>
      <c r="J773" t="s">
        <v>35</v>
      </c>
      <c r="K773" t="s">
        <v>52</v>
      </c>
      <c r="L773">
        <v>73</v>
      </c>
      <c r="M773">
        <v>8.8000000000000007</v>
      </c>
      <c r="N773">
        <v>6.6</v>
      </c>
      <c r="O773">
        <v>6.5</v>
      </c>
      <c r="P773">
        <v>8</v>
      </c>
      <c r="Q773" t="s">
        <v>42</v>
      </c>
      <c r="R773" t="s">
        <v>35</v>
      </c>
      <c r="S773">
        <v>5.0999999999999996</v>
      </c>
      <c r="T773">
        <v>3.6</v>
      </c>
      <c r="U773">
        <v>4.9000000000000004</v>
      </c>
      <c r="V773">
        <v>3.3</v>
      </c>
      <c r="W773">
        <v>6.1</v>
      </c>
      <c r="X773">
        <v>5.9</v>
      </c>
      <c r="Y773">
        <v>2.1</v>
      </c>
      <c r="Z773">
        <v>7.1</v>
      </c>
      <c r="AA773">
        <v>1.6</v>
      </c>
      <c r="AB773">
        <v>2.5</v>
      </c>
      <c r="AC773">
        <v>6.1</v>
      </c>
      <c r="AD773" t="s">
        <v>45</v>
      </c>
      <c r="AE773" t="str">
        <f>IF(AND(data[[#This Row],[Age]]&gt;=18,data[[#This Row],[Age]]&lt;=24),"18-24",IF(AND(data[[#This Row],[Age]]&gt;=25,data[[#This Row],[Age]]&lt;=34),"25-34",IF(AND(data[[#This Row],[Age]]&gt;35,data[[#This Row],[Age]]&lt;=44),"35-44",IF(data[[#This Row],[Age]]&gt;44,"45+",IF(data[[#This Row],[Age]]&lt;18,"below 18 ")))))</f>
        <v>25-34</v>
      </c>
    </row>
    <row r="774" spans="1:31" x14ac:dyDescent="0.25">
      <c r="A774" t="s">
        <v>827</v>
      </c>
      <c r="B774">
        <v>26</v>
      </c>
      <c r="C774" t="s">
        <v>31</v>
      </c>
      <c r="D774" t="s">
        <v>57</v>
      </c>
      <c r="E774" t="s">
        <v>40</v>
      </c>
      <c r="F774" t="s">
        <v>41</v>
      </c>
      <c r="G774">
        <v>6.2</v>
      </c>
      <c r="H774">
        <v>3</v>
      </c>
      <c r="I774">
        <v>3</v>
      </c>
      <c r="J774" t="s">
        <v>42</v>
      </c>
      <c r="K774" t="s">
        <v>36</v>
      </c>
      <c r="L774">
        <v>103</v>
      </c>
      <c r="M774">
        <v>8.1</v>
      </c>
      <c r="N774">
        <v>8.5</v>
      </c>
      <c r="O774">
        <v>5.9</v>
      </c>
      <c r="P774">
        <v>5.9</v>
      </c>
      <c r="Q774" t="s">
        <v>42</v>
      </c>
      <c r="R774" t="s">
        <v>35</v>
      </c>
      <c r="S774">
        <v>5.6</v>
      </c>
      <c r="T774">
        <v>4.8</v>
      </c>
      <c r="U774">
        <v>5.7</v>
      </c>
      <c r="V774">
        <v>3.8</v>
      </c>
      <c r="W774">
        <v>5.7</v>
      </c>
      <c r="X774">
        <v>7.8</v>
      </c>
      <c r="Y774">
        <v>9.1999999999999993</v>
      </c>
      <c r="Z774">
        <v>8</v>
      </c>
      <c r="AA774">
        <v>3.8</v>
      </c>
      <c r="AB774">
        <v>0.5</v>
      </c>
      <c r="AC774">
        <v>3.7</v>
      </c>
      <c r="AD774" t="s">
        <v>43</v>
      </c>
      <c r="AE774" t="str">
        <f>IF(AND(data[[#This Row],[Age]]&gt;=18,data[[#This Row],[Age]]&lt;=24),"18-24",IF(AND(data[[#This Row],[Age]]&gt;=25,data[[#This Row],[Age]]&lt;=34),"25-34",IF(AND(data[[#This Row],[Age]]&gt;35,data[[#This Row],[Age]]&lt;=44),"35-44",IF(data[[#This Row],[Age]]&gt;44,"45+",IF(data[[#This Row],[Age]]&lt;18,"below 18 ")))))</f>
        <v>25-34</v>
      </c>
    </row>
    <row r="775" spans="1:31" x14ac:dyDescent="0.25">
      <c r="A775" t="s">
        <v>828</v>
      </c>
      <c r="B775">
        <v>16</v>
      </c>
      <c r="C775" t="s">
        <v>47</v>
      </c>
      <c r="D775" t="s">
        <v>39</v>
      </c>
      <c r="E775" t="s">
        <v>40</v>
      </c>
      <c r="F775" t="s">
        <v>41</v>
      </c>
      <c r="G775">
        <v>3.4</v>
      </c>
      <c r="H775">
        <v>4</v>
      </c>
      <c r="I775">
        <v>5</v>
      </c>
      <c r="J775" t="s">
        <v>42</v>
      </c>
      <c r="K775" t="s">
        <v>36</v>
      </c>
      <c r="L775">
        <v>56</v>
      </c>
      <c r="M775">
        <v>6.2</v>
      </c>
      <c r="N775">
        <v>6.3</v>
      </c>
      <c r="O775">
        <v>7.4</v>
      </c>
      <c r="P775">
        <v>7.8</v>
      </c>
      <c r="Q775" t="s">
        <v>35</v>
      </c>
      <c r="R775" t="s">
        <v>42</v>
      </c>
      <c r="S775">
        <v>3.2</v>
      </c>
      <c r="T775">
        <v>3.9</v>
      </c>
      <c r="U775">
        <v>4.4000000000000004</v>
      </c>
      <c r="V775">
        <v>4.9000000000000004</v>
      </c>
      <c r="W775">
        <v>2.1</v>
      </c>
      <c r="X775">
        <v>6.2</v>
      </c>
      <c r="Y775">
        <v>6.6</v>
      </c>
      <c r="Z775">
        <v>5.3</v>
      </c>
      <c r="AA775">
        <v>3.7</v>
      </c>
      <c r="AB775">
        <v>1.3</v>
      </c>
      <c r="AC775">
        <v>3.9</v>
      </c>
      <c r="AD775" t="s">
        <v>43</v>
      </c>
      <c r="AE775" t="str">
        <f>IF(AND(data[[#This Row],[Age]]&gt;=18,data[[#This Row],[Age]]&lt;=24),"18-24",IF(AND(data[[#This Row],[Age]]&gt;=25,data[[#This Row],[Age]]&lt;=34),"25-34",IF(AND(data[[#This Row],[Age]]&gt;35,data[[#This Row],[Age]]&lt;=44),"35-44",IF(data[[#This Row],[Age]]&gt;44,"45+",IF(data[[#This Row],[Age]]&lt;18,"below 18 ")))))</f>
        <v xml:space="preserve">below 18 </v>
      </c>
    </row>
    <row r="776" spans="1:31" x14ac:dyDescent="0.25">
      <c r="A776" t="s">
        <v>829</v>
      </c>
      <c r="B776">
        <v>15</v>
      </c>
      <c r="C776" t="s">
        <v>47</v>
      </c>
      <c r="D776" t="s">
        <v>39</v>
      </c>
      <c r="E776" t="s">
        <v>33</v>
      </c>
      <c r="F776" t="s">
        <v>41</v>
      </c>
      <c r="G776">
        <v>2.1</v>
      </c>
      <c r="H776">
        <v>4</v>
      </c>
      <c r="I776">
        <v>3</v>
      </c>
      <c r="J776" t="s">
        <v>42</v>
      </c>
      <c r="K776" t="s">
        <v>36</v>
      </c>
      <c r="L776">
        <v>80</v>
      </c>
      <c r="M776">
        <v>7.1</v>
      </c>
      <c r="N776">
        <v>5</v>
      </c>
      <c r="O776">
        <v>6.2</v>
      </c>
      <c r="P776">
        <v>6.8</v>
      </c>
      <c r="Q776" t="s">
        <v>35</v>
      </c>
      <c r="R776" t="s">
        <v>35</v>
      </c>
      <c r="S776">
        <v>4.2</v>
      </c>
      <c r="T776">
        <v>5.0999999999999996</v>
      </c>
      <c r="U776">
        <v>4.7</v>
      </c>
      <c r="V776">
        <v>9</v>
      </c>
      <c r="W776">
        <v>5.4</v>
      </c>
      <c r="X776">
        <v>5.8</v>
      </c>
      <c r="Y776">
        <v>4.9000000000000004</v>
      </c>
      <c r="Z776">
        <v>3.7</v>
      </c>
      <c r="AA776">
        <v>6.2</v>
      </c>
      <c r="AB776">
        <v>3.1</v>
      </c>
      <c r="AC776">
        <v>5.5</v>
      </c>
      <c r="AD776" t="s">
        <v>45</v>
      </c>
      <c r="AE776" t="str">
        <f>IF(AND(data[[#This Row],[Age]]&gt;=18,data[[#This Row],[Age]]&lt;=24),"18-24",IF(AND(data[[#This Row],[Age]]&gt;=25,data[[#This Row],[Age]]&lt;=34),"25-34",IF(AND(data[[#This Row],[Age]]&gt;35,data[[#This Row],[Age]]&lt;=44),"35-44",IF(data[[#This Row],[Age]]&gt;44,"45+",IF(data[[#This Row],[Age]]&lt;18,"below 18 ")))))</f>
        <v xml:space="preserve">below 18 </v>
      </c>
    </row>
    <row r="777" spans="1:31" x14ac:dyDescent="0.25">
      <c r="A777" t="s">
        <v>830</v>
      </c>
      <c r="B777">
        <v>22</v>
      </c>
      <c r="C777" t="s">
        <v>47</v>
      </c>
      <c r="D777" t="s">
        <v>32</v>
      </c>
      <c r="E777" t="s">
        <v>58</v>
      </c>
      <c r="F777" t="s">
        <v>59</v>
      </c>
      <c r="G777">
        <v>1.4</v>
      </c>
      <c r="H777">
        <v>1</v>
      </c>
      <c r="I777">
        <v>5</v>
      </c>
      <c r="J777" t="s">
        <v>35</v>
      </c>
      <c r="K777" t="s">
        <v>36</v>
      </c>
      <c r="L777">
        <v>76</v>
      </c>
      <c r="M777">
        <v>4</v>
      </c>
      <c r="N777">
        <v>3</v>
      </c>
      <c r="O777">
        <v>2.2999999999999998</v>
      </c>
      <c r="P777">
        <v>6.6</v>
      </c>
      <c r="Q777" t="s">
        <v>42</v>
      </c>
      <c r="R777" t="s">
        <v>35</v>
      </c>
      <c r="T777">
        <v>5.3</v>
      </c>
      <c r="U777">
        <v>5.9</v>
      </c>
      <c r="V777">
        <v>6.1</v>
      </c>
      <c r="W777">
        <v>3.5</v>
      </c>
      <c r="X777">
        <v>6.7</v>
      </c>
      <c r="Y777">
        <v>5.6</v>
      </c>
      <c r="Z777">
        <v>8.3000000000000007</v>
      </c>
      <c r="AA777">
        <v>0.9</v>
      </c>
      <c r="AB777">
        <v>3</v>
      </c>
      <c r="AC777">
        <v>7</v>
      </c>
      <c r="AD777" t="s">
        <v>37</v>
      </c>
      <c r="AE777" t="str">
        <f>IF(AND(data[[#This Row],[Age]]&gt;=18,data[[#This Row],[Age]]&lt;=24),"18-24",IF(AND(data[[#This Row],[Age]]&gt;=25,data[[#This Row],[Age]]&lt;=34),"25-34",IF(AND(data[[#This Row],[Age]]&gt;35,data[[#This Row],[Age]]&lt;=44),"35-44",IF(data[[#This Row],[Age]]&gt;44,"45+",IF(data[[#This Row],[Age]]&lt;18,"below 18 ")))))</f>
        <v>18-24</v>
      </c>
    </row>
    <row r="778" spans="1:31" x14ac:dyDescent="0.25">
      <c r="A778" t="s">
        <v>831</v>
      </c>
      <c r="B778">
        <v>21</v>
      </c>
      <c r="C778" t="s">
        <v>31</v>
      </c>
      <c r="D778" t="s">
        <v>39</v>
      </c>
      <c r="E778" t="s">
        <v>33</v>
      </c>
      <c r="F778" t="s">
        <v>41</v>
      </c>
      <c r="G778">
        <v>1.3</v>
      </c>
      <c r="H778">
        <v>5</v>
      </c>
      <c r="I778">
        <v>4</v>
      </c>
      <c r="J778" t="s">
        <v>42</v>
      </c>
      <c r="K778" t="s">
        <v>62</v>
      </c>
      <c r="L778">
        <v>81</v>
      </c>
      <c r="M778">
        <v>8.6</v>
      </c>
      <c r="N778">
        <v>2.7</v>
      </c>
      <c r="O778">
        <v>3</v>
      </c>
      <c r="P778">
        <v>2.8</v>
      </c>
      <c r="Q778" t="s">
        <v>42</v>
      </c>
      <c r="R778" t="s">
        <v>42</v>
      </c>
      <c r="S778">
        <v>6</v>
      </c>
      <c r="T778">
        <v>3.9</v>
      </c>
      <c r="U778">
        <v>6.2</v>
      </c>
      <c r="V778">
        <v>4.5</v>
      </c>
      <c r="W778">
        <v>2.2000000000000002</v>
      </c>
      <c r="X778">
        <v>6.3</v>
      </c>
      <c r="Y778">
        <v>6.2</v>
      </c>
      <c r="Z778">
        <v>7.2</v>
      </c>
      <c r="AA778">
        <v>4.7</v>
      </c>
      <c r="AB778">
        <v>2.6</v>
      </c>
      <c r="AC778">
        <v>6.5</v>
      </c>
      <c r="AD778" t="s">
        <v>53</v>
      </c>
      <c r="AE778" t="str">
        <f>IF(AND(data[[#This Row],[Age]]&gt;=18,data[[#This Row],[Age]]&lt;=24),"18-24",IF(AND(data[[#This Row],[Age]]&gt;=25,data[[#This Row],[Age]]&lt;=34),"25-34",IF(AND(data[[#This Row],[Age]]&gt;35,data[[#This Row],[Age]]&lt;=44),"35-44",IF(data[[#This Row],[Age]]&gt;44,"45+",IF(data[[#This Row],[Age]]&lt;18,"below 18 ")))))</f>
        <v>18-24</v>
      </c>
    </row>
    <row r="779" spans="1:31" x14ac:dyDescent="0.25">
      <c r="A779" t="s">
        <v>832</v>
      </c>
      <c r="B779">
        <v>31</v>
      </c>
      <c r="C779" t="s">
        <v>47</v>
      </c>
      <c r="D779" t="s">
        <v>57</v>
      </c>
      <c r="E779" t="s">
        <v>58</v>
      </c>
      <c r="F779" t="s">
        <v>59</v>
      </c>
      <c r="G779">
        <v>3.8</v>
      </c>
      <c r="H779">
        <v>2</v>
      </c>
      <c r="I779">
        <v>5</v>
      </c>
      <c r="J779" t="s">
        <v>35</v>
      </c>
      <c r="K779" t="s">
        <v>36</v>
      </c>
      <c r="L779">
        <v>23</v>
      </c>
      <c r="M779">
        <v>4.8</v>
      </c>
      <c r="N779">
        <v>7.8</v>
      </c>
      <c r="O779">
        <v>3.9</v>
      </c>
      <c r="P779">
        <v>4.9000000000000004</v>
      </c>
      <c r="Q779" t="s">
        <v>42</v>
      </c>
      <c r="R779" t="s">
        <v>42</v>
      </c>
      <c r="S779">
        <v>3.7</v>
      </c>
      <c r="T779">
        <v>10</v>
      </c>
      <c r="U779">
        <v>4.5999999999999996</v>
      </c>
      <c r="V779">
        <v>7.4</v>
      </c>
      <c r="W779">
        <v>5</v>
      </c>
      <c r="X779">
        <v>6.7</v>
      </c>
      <c r="Y779">
        <v>5.0999999999999996</v>
      </c>
      <c r="Z779">
        <v>6.7</v>
      </c>
      <c r="AA779">
        <v>3.2</v>
      </c>
      <c r="AB779">
        <v>1.3</v>
      </c>
      <c r="AC779">
        <v>7</v>
      </c>
      <c r="AD779" t="s">
        <v>53</v>
      </c>
      <c r="AE779" t="str">
        <f>IF(AND(data[[#This Row],[Age]]&gt;=18,data[[#This Row],[Age]]&lt;=24),"18-24",IF(AND(data[[#This Row],[Age]]&gt;=25,data[[#This Row],[Age]]&lt;=34),"25-34",IF(AND(data[[#This Row],[Age]]&gt;35,data[[#This Row],[Age]]&lt;=44),"35-44",IF(data[[#This Row],[Age]]&gt;44,"45+",IF(data[[#This Row],[Age]]&lt;18,"below 18 ")))))</f>
        <v>25-34</v>
      </c>
    </row>
    <row r="780" spans="1:31" x14ac:dyDescent="0.25">
      <c r="A780" t="s">
        <v>833</v>
      </c>
      <c r="B780">
        <v>18</v>
      </c>
      <c r="C780" t="s">
        <v>47</v>
      </c>
      <c r="D780" t="s">
        <v>32</v>
      </c>
      <c r="E780" t="s">
        <v>33</v>
      </c>
      <c r="F780" t="s">
        <v>41</v>
      </c>
      <c r="G780">
        <v>5.8</v>
      </c>
      <c r="H780">
        <v>2</v>
      </c>
      <c r="I780">
        <v>4</v>
      </c>
      <c r="J780" t="s">
        <v>35</v>
      </c>
      <c r="K780" t="s">
        <v>36</v>
      </c>
      <c r="L780">
        <v>5</v>
      </c>
      <c r="M780">
        <v>2</v>
      </c>
      <c r="N780">
        <v>4.0999999999999996</v>
      </c>
      <c r="O780">
        <v>3.5</v>
      </c>
      <c r="P780">
        <v>2.2999999999999998</v>
      </c>
      <c r="Q780" t="s">
        <v>42</v>
      </c>
      <c r="R780" t="s">
        <v>35</v>
      </c>
      <c r="S780">
        <v>2.9</v>
      </c>
      <c r="T780">
        <v>3.8</v>
      </c>
      <c r="U780">
        <v>2.1</v>
      </c>
      <c r="V780">
        <v>7</v>
      </c>
      <c r="W780">
        <v>7.4</v>
      </c>
      <c r="X780">
        <v>8</v>
      </c>
      <c r="Y780">
        <v>2.9</v>
      </c>
      <c r="Z780">
        <v>4.4000000000000004</v>
      </c>
      <c r="AA780">
        <v>3.2</v>
      </c>
      <c r="AB780">
        <v>0.2</v>
      </c>
      <c r="AC780">
        <v>9.3000000000000007</v>
      </c>
      <c r="AD780" t="s">
        <v>37</v>
      </c>
      <c r="AE780" t="str">
        <f>IF(AND(data[[#This Row],[Age]]&gt;=18,data[[#This Row],[Age]]&lt;=24),"18-24",IF(AND(data[[#This Row],[Age]]&gt;=25,data[[#This Row],[Age]]&lt;=34),"25-34",IF(AND(data[[#This Row],[Age]]&gt;35,data[[#This Row],[Age]]&lt;=44),"35-44",IF(data[[#This Row],[Age]]&gt;44,"45+",IF(data[[#This Row],[Age]]&lt;18,"below 18 ")))))</f>
        <v>18-24</v>
      </c>
    </row>
    <row r="781" spans="1:31" x14ac:dyDescent="0.25">
      <c r="A781" t="s">
        <v>834</v>
      </c>
      <c r="B781">
        <v>21</v>
      </c>
      <c r="C781" t="s">
        <v>47</v>
      </c>
      <c r="D781" t="s">
        <v>39</v>
      </c>
      <c r="E781" t="s">
        <v>33</v>
      </c>
      <c r="F781" t="s">
        <v>41</v>
      </c>
      <c r="G781">
        <v>0.6</v>
      </c>
      <c r="H781">
        <v>2</v>
      </c>
      <c r="I781">
        <v>3</v>
      </c>
      <c r="J781" t="s">
        <v>42</v>
      </c>
      <c r="K781" t="s">
        <v>52</v>
      </c>
      <c r="L781">
        <v>55</v>
      </c>
      <c r="M781">
        <v>6.6</v>
      </c>
      <c r="N781">
        <v>3.2</v>
      </c>
      <c r="O781">
        <v>2.9</v>
      </c>
      <c r="P781">
        <v>4</v>
      </c>
      <c r="Q781" t="s">
        <v>35</v>
      </c>
      <c r="R781" t="s">
        <v>42</v>
      </c>
      <c r="S781">
        <v>4.7</v>
      </c>
      <c r="T781">
        <v>2.9</v>
      </c>
      <c r="U781">
        <v>3.1</v>
      </c>
      <c r="V781">
        <v>5.0999999999999996</v>
      </c>
      <c r="W781">
        <v>2.5</v>
      </c>
      <c r="X781">
        <v>6.3</v>
      </c>
      <c r="Y781">
        <v>4.3</v>
      </c>
      <c r="Z781">
        <v>7.3</v>
      </c>
      <c r="AA781">
        <v>0</v>
      </c>
      <c r="AB781">
        <v>3.1</v>
      </c>
      <c r="AC781">
        <v>7.6</v>
      </c>
      <c r="AD781" t="s">
        <v>53</v>
      </c>
      <c r="AE781" t="str">
        <f>IF(AND(data[[#This Row],[Age]]&gt;=18,data[[#This Row],[Age]]&lt;=24),"18-24",IF(AND(data[[#This Row],[Age]]&gt;=25,data[[#This Row],[Age]]&lt;=34),"25-34",IF(AND(data[[#This Row],[Age]]&gt;35,data[[#This Row],[Age]]&lt;=44),"35-44",IF(data[[#This Row],[Age]]&gt;44,"45+",IF(data[[#This Row],[Age]]&lt;18,"below 18 ")))))</f>
        <v>18-24</v>
      </c>
    </row>
    <row r="782" spans="1:31" x14ac:dyDescent="0.25">
      <c r="A782" t="s">
        <v>835</v>
      </c>
      <c r="B782">
        <v>38</v>
      </c>
      <c r="C782" t="s">
        <v>31</v>
      </c>
      <c r="D782" t="s">
        <v>32</v>
      </c>
      <c r="E782" t="s">
        <v>33</v>
      </c>
      <c r="F782" t="s">
        <v>34</v>
      </c>
      <c r="G782">
        <v>0.5</v>
      </c>
      <c r="H782">
        <v>4</v>
      </c>
      <c r="I782">
        <v>5</v>
      </c>
      <c r="J782" t="s">
        <v>35</v>
      </c>
      <c r="K782" t="s">
        <v>52</v>
      </c>
      <c r="L782">
        <v>5</v>
      </c>
      <c r="M782">
        <v>6.6</v>
      </c>
      <c r="N782">
        <v>5.7</v>
      </c>
      <c r="O782">
        <v>4.2</v>
      </c>
      <c r="P782">
        <v>9.9</v>
      </c>
      <c r="Q782" t="s">
        <v>42</v>
      </c>
      <c r="R782" t="s">
        <v>35</v>
      </c>
      <c r="S782">
        <v>3.3</v>
      </c>
      <c r="T782">
        <v>6.6</v>
      </c>
      <c r="U782">
        <v>1.4</v>
      </c>
      <c r="V782">
        <v>6.8</v>
      </c>
      <c r="W782">
        <v>6.2</v>
      </c>
      <c r="X782">
        <v>7.6</v>
      </c>
      <c r="Y782">
        <v>5.9</v>
      </c>
      <c r="Z782">
        <v>4.4000000000000004</v>
      </c>
      <c r="AA782">
        <v>3.4</v>
      </c>
      <c r="AB782">
        <v>4.5999999999999996</v>
      </c>
      <c r="AC782">
        <v>8</v>
      </c>
      <c r="AD782" t="s">
        <v>37</v>
      </c>
      <c r="AE782" t="str">
        <f>IF(AND(data[[#This Row],[Age]]&gt;=18,data[[#This Row],[Age]]&lt;=24),"18-24",IF(AND(data[[#This Row],[Age]]&gt;=25,data[[#This Row],[Age]]&lt;=34),"25-34",IF(AND(data[[#This Row],[Age]]&gt;35,data[[#This Row],[Age]]&lt;=44),"35-44",IF(data[[#This Row],[Age]]&gt;44,"45+",IF(data[[#This Row],[Age]]&lt;18,"below 18 ")))))</f>
        <v>35-44</v>
      </c>
    </row>
    <row r="783" spans="1:31" x14ac:dyDescent="0.25">
      <c r="A783" t="s">
        <v>836</v>
      </c>
      <c r="B783">
        <v>19</v>
      </c>
      <c r="C783" t="s">
        <v>31</v>
      </c>
      <c r="D783" t="s">
        <v>32</v>
      </c>
      <c r="E783" t="s">
        <v>40</v>
      </c>
      <c r="F783" t="s">
        <v>59</v>
      </c>
      <c r="G783">
        <v>7</v>
      </c>
      <c r="H783">
        <v>1</v>
      </c>
      <c r="I783">
        <v>5</v>
      </c>
      <c r="J783" t="s">
        <v>35</v>
      </c>
      <c r="K783" t="s">
        <v>52</v>
      </c>
      <c r="L783">
        <v>80</v>
      </c>
      <c r="M783">
        <v>5.9</v>
      </c>
      <c r="N783">
        <v>4.9000000000000004</v>
      </c>
      <c r="O783">
        <v>4.9000000000000004</v>
      </c>
      <c r="P783">
        <v>9.4</v>
      </c>
      <c r="Q783" t="s">
        <v>42</v>
      </c>
      <c r="R783" t="s">
        <v>35</v>
      </c>
      <c r="S783">
        <v>4.4000000000000004</v>
      </c>
      <c r="U783">
        <v>6.1</v>
      </c>
      <c r="V783">
        <v>6.9</v>
      </c>
      <c r="W783">
        <v>5.4</v>
      </c>
      <c r="X783">
        <v>6.5</v>
      </c>
      <c r="Y783">
        <v>8.4</v>
      </c>
      <c r="Z783">
        <v>0.3</v>
      </c>
      <c r="AA783">
        <v>0.3</v>
      </c>
      <c r="AB783">
        <v>1.6</v>
      </c>
      <c r="AC783">
        <v>6.1</v>
      </c>
      <c r="AD783" t="s">
        <v>45</v>
      </c>
      <c r="AE783" t="str">
        <f>IF(AND(data[[#This Row],[Age]]&gt;=18,data[[#This Row],[Age]]&lt;=24),"18-24",IF(AND(data[[#This Row],[Age]]&gt;=25,data[[#This Row],[Age]]&lt;=34),"25-34",IF(AND(data[[#This Row],[Age]]&gt;35,data[[#This Row],[Age]]&lt;=44),"35-44",IF(data[[#This Row],[Age]]&gt;44,"45+",IF(data[[#This Row],[Age]]&lt;18,"below 18 ")))))</f>
        <v>18-24</v>
      </c>
    </row>
    <row r="784" spans="1:31" x14ac:dyDescent="0.25">
      <c r="A784" t="s">
        <v>837</v>
      </c>
      <c r="B784">
        <v>42</v>
      </c>
      <c r="C784" t="s">
        <v>47</v>
      </c>
      <c r="D784" t="s">
        <v>64</v>
      </c>
      <c r="E784" t="s">
        <v>33</v>
      </c>
      <c r="F784" t="s">
        <v>34</v>
      </c>
      <c r="G784">
        <v>2.4</v>
      </c>
      <c r="H784">
        <v>6</v>
      </c>
      <c r="I784">
        <v>4</v>
      </c>
      <c r="J784" t="s">
        <v>42</v>
      </c>
      <c r="K784" t="s">
        <v>36</v>
      </c>
      <c r="L784">
        <v>84</v>
      </c>
      <c r="M784">
        <v>6.8</v>
      </c>
      <c r="N784">
        <v>4.2</v>
      </c>
      <c r="O784">
        <v>7.5</v>
      </c>
      <c r="P784">
        <v>7.3</v>
      </c>
      <c r="Q784" t="s">
        <v>35</v>
      </c>
      <c r="R784" t="s">
        <v>42</v>
      </c>
      <c r="S784">
        <v>5.0999999999999996</v>
      </c>
      <c r="T784">
        <v>2.7</v>
      </c>
      <c r="V784">
        <v>3.7</v>
      </c>
      <c r="W784">
        <v>5.4</v>
      </c>
      <c r="X784">
        <v>7.8</v>
      </c>
      <c r="Y784">
        <v>5.4</v>
      </c>
      <c r="Z784">
        <v>7.1</v>
      </c>
      <c r="AA784">
        <v>2.4</v>
      </c>
      <c r="AB784">
        <v>1.5</v>
      </c>
      <c r="AC784">
        <v>4.5</v>
      </c>
      <c r="AD784" t="s">
        <v>43</v>
      </c>
      <c r="AE784" t="str">
        <f>IF(AND(data[[#This Row],[Age]]&gt;=18,data[[#This Row],[Age]]&lt;=24),"18-24",IF(AND(data[[#This Row],[Age]]&gt;=25,data[[#This Row],[Age]]&lt;=34),"25-34",IF(AND(data[[#This Row],[Age]]&gt;35,data[[#This Row],[Age]]&lt;=44),"35-44",IF(data[[#This Row],[Age]]&gt;44,"45+",IF(data[[#This Row],[Age]]&lt;18,"below 18 ")))))</f>
        <v>35-44</v>
      </c>
    </row>
    <row r="785" spans="1:31" x14ac:dyDescent="0.25">
      <c r="A785" t="s">
        <v>838</v>
      </c>
      <c r="B785">
        <v>23</v>
      </c>
      <c r="C785" t="s">
        <v>47</v>
      </c>
      <c r="D785" t="s">
        <v>64</v>
      </c>
      <c r="E785" t="s">
        <v>58</v>
      </c>
      <c r="F785" t="s">
        <v>41</v>
      </c>
      <c r="G785">
        <v>9.3000000000000007</v>
      </c>
      <c r="H785">
        <v>3</v>
      </c>
      <c r="I785">
        <v>5</v>
      </c>
      <c r="J785" t="s">
        <v>35</v>
      </c>
      <c r="K785" t="s">
        <v>36</v>
      </c>
      <c r="L785">
        <v>37</v>
      </c>
      <c r="M785">
        <v>5.0999999999999996</v>
      </c>
      <c r="N785">
        <v>7.2</v>
      </c>
      <c r="O785">
        <v>4.3</v>
      </c>
      <c r="P785">
        <v>6.6</v>
      </c>
      <c r="Q785" t="s">
        <v>42</v>
      </c>
      <c r="R785" t="s">
        <v>35</v>
      </c>
      <c r="S785">
        <v>6.7</v>
      </c>
      <c r="T785">
        <v>4.4000000000000004</v>
      </c>
      <c r="V785">
        <v>7.8</v>
      </c>
      <c r="W785">
        <v>5.6</v>
      </c>
      <c r="X785">
        <v>5.2</v>
      </c>
      <c r="Y785">
        <v>5.4</v>
      </c>
      <c r="Z785">
        <v>8.5</v>
      </c>
      <c r="AA785">
        <v>3.3</v>
      </c>
      <c r="AB785">
        <v>4.2</v>
      </c>
      <c r="AC785">
        <v>6.7</v>
      </c>
      <c r="AD785" t="s">
        <v>45</v>
      </c>
      <c r="AE785" t="str">
        <f>IF(AND(data[[#This Row],[Age]]&gt;=18,data[[#This Row],[Age]]&lt;=24),"18-24",IF(AND(data[[#This Row],[Age]]&gt;=25,data[[#This Row],[Age]]&lt;=34),"25-34",IF(AND(data[[#This Row],[Age]]&gt;35,data[[#This Row],[Age]]&lt;=44),"35-44",IF(data[[#This Row],[Age]]&gt;44,"45+",IF(data[[#This Row],[Age]]&lt;18,"below 18 ")))))</f>
        <v>18-24</v>
      </c>
    </row>
    <row r="786" spans="1:31" x14ac:dyDescent="0.25">
      <c r="A786" t="s">
        <v>839</v>
      </c>
      <c r="B786">
        <v>41</v>
      </c>
      <c r="C786" t="s">
        <v>31</v>
      </c>
      <c r="D786" t="s">
        <v>32</v>
      </c>
      <c r="E786" t="s">
        <v>58</v>
      </c>
      <c r="F786" t="s">
        <v>51</v>
      </c>
      <c r="G786">
        <v>5.3</v>
      </c>
      <c r="H786">
        <v>8</v>
      </c>
      <c r="I786">
        <v>3</v>
      </c>
      <c r="J786" t="s">
        <v>42</v>
      </c>
      <c r="K786" t="s">
        <v>52</v>
      </c>
      <c r="L786">
        <v>5</v>
      </c>
      <c r="M786">
        <v>6.1</v>
      </c>
      <c r="N786">
        <v>7.8</v>
      </c>
      <c r="O786">
        <v>5.2</v>
      </c>
      <c r="P786">
        <v>6.5</v>
      </c>
      <c r="Q786" t="s">
        <v>35</v>
      </c>
      <c r="R786" t="s">
        <v>42</v>
      </c>
      <c r="S786">
        <v>1.7</v>
      </c>
      <c r="T786">
        <v>1.8</v>
      </c>
      <c r="U786">
        <v>2.5</v>
      </c>
      <c r="V786">
        <v>5.3</v>
      </c>
      <c r="W786">
        <v>4.4000000000000004</v>
      </c>
      <c r="X786">
        <v>7.8</v>
      </c>
      <c r="Y786">
        <v>2.5</v>
      </c>
      <c r="Z786">
        <v>8.6999999999999993</v>
      </c>
      <c r="AA786">
        <v>4</v>
      </c>
      <c r="AC786">
        <v>5.6</v>
      </c>
      <c r="AD786" t="s">
        <v>43</v>
      </c>
      <c r="AE786" t="str">
        <f>IF(AND(data[[#This Row],[Age]]&gt;=18,data[[#This Row],[Age]]&lt;=24),"18-24",IF(AND(data[[#This Row],[Age]]&gt;=25,data[[#This Row],[Age]]&lt;=34),"25-34",IF(AND(data[[#This Row],[Age]]&gt;35,data[[#This Row],[Age]]&lt;=44),"35-44",IF(data[[#This Row],[Age]]&gt;44,"45+",IF(data[[#This Row],[Age]]&lt;18,"below 18 ")))))</f>
        <v>35-44</v>
      </c>
    </row>
    <row r="787" spans="1:31" x14ac:dyDescent="0.25">
      <c r="A787" t="s">
        <v>840</v>
      </c>
      <c r="B787">
        <v>29</v>
      </c>
      <c r="D787" t="s">
        <v>32</v>
      </c>
      <c r="E787" t="s">
        <v>33</v>
      </c>
      <c r="F787" t="s">
        <v>41</v>
      </c>
      <c r="H787">
        <v>2</v>
      </c>
      <c r="I787">
        <v>2</v>
      </c>
      <c r="J787" t="s">
        <v>35</v>
      </c>
      <c r="K787" t="s">
        <v>36</v>
      </c>
      <c r="L787">
        <v>69</v>
      </c>
      <c r="M787">
        <v>4.0999999999999996</v>
      </c>
      <c r="N787">
        <v>5.4</v>
      </c>
      <c r="O787">
        <v>6.3</v>
      </c>
      <c r="P787">
        <v>7.1</v>
      </c>
      <c r="Q787" t="s">
        <v>35</v>
      </c>
      <c r="R787" t="s">
        <v>35</v>
      </c>
      <c r="S787">
        <v>3</v>
      </c>
      <c r="T787">
        <v>2.9</v>
      </c>
      <c r="U787">
        <v>5</v>
      </c>
      <c r="V787">
        <v>5.3</v>
      </c>
      <c r="W787">
        <v>8.6</v>
      </c>
      <c r="X787">
        <v>5.5</v>
      </c>
      <c r="Y787">
        <v>3.8</v>
      </c>
      <c r="Z787">
        <v>5.7</v>
      </c>
      <c r="AA787">
        <v>1.1000000000000001</v>
      </c>
      <c r="AB787">
        <v>1.7</v>
      </c>
      <c r="AC787">
        <v>6.8</v>
      </c>
      <c r="AD787" t="s">
        <v>53</v>
      </c>
      <c r="AE787" t="str">
        <f>IF(AND(data[[#This Row],[Age]]&gt;=18,data[[#This Row],[Age]]&lt;=24),"18-24",IF(AND(data[[#This Row],[Age]]&gt;=25,data[[#This Row],[Age]]&lt;=34),"25-34",IF(AND(data[[#This Row],[Age]]&gt;35,data[[#This Row],[Age]]&lt;=44),"35-44",IF(data[[#This Row],[Age]]&gt;44,"45+",IF(data[[#This Row],[Age]]&lt;18,"below 18 ")))))</f>
        <v>25-34</v>
      </c>
    </row>
    <row r="788" spans="1:31" x14ac:dyDescent="0.25">
      <c r="A788" t="s">
        <v>841</v>
      </c>
      <c r="B788">
        <v>38</v>
      </c>
      <c r="C788" t="s">
        <v>50</v>
      </c>
      <c r="D788" t="s">
        <v>57</v>
      </c>
      <c r="E788" t="s">
        <v>33</v>
      </c>
      <c r="F788" t="s">
        <v>41</v>
      </c>
      <c r="G788">
        <v>6.5</v>
      </c>
      <c r="H788">
        <v>4</v>
      </c>
      <c r="I788">
        <v>6</v>
      </c>
      <c r="J788" t="s">
        <v>35</v>
      </c>
      <c r="K788" t="s">
        <v>52</v>
      </c>
      <c r="L788">
        <v>32</v>
      </c>
      <c r="M788">
        <v>4.7</v>
      </c>
      <c r="N788">
        <v>4.9000000000000004</v>
      </c>
      <c r="O788">
        <v>6</v>
      </c>
      <c r="P788">
        <v>4.5999999999999996</v>
      </c>
      <c r="Q788" t="s">
        <v>35</v>
      </c>
      <c r="R788" t="s">
        <v>42</v>
      </c>
      <c r="S788">
        <v>3.4</v>
      </c>
      <c r="T788">
        <v>3.6</v>
      </c>
      <c r="U788">
        <v>3.6</v>
      </c>
      <c r="V788">
        <v>1.1000000000000001</v>
      </c>
      <c r="W788">
        <v>7.4</v>
      </c>
      <c r="X788">
        <v>7.9</v>
      </c>
      <c r="Y788">
        <v>5.4</v>
      </c>
      <c r="Z788">
        <v>4.9000000000000004</v>
      </c>
      <c r="AA788">
        <v>2.9</v>
      </c>
      <c r="AB788">
        <v>3.6</v>
      </c>
      <c r="AC788">
        <v>7.5</v>
      </c>
      <c r="AD788" t="s">
        <v>37</v>
      </c>
      <c r="AE788" t="str">
        <f>IF(AND(data[[#This Row],[Age]]&gt;=18,data[[#This Row],[Age]]&lt;=24),"18-24",IF(AND(data[[#This Row],[Age]]&gt;=25,data[[#This Row],[Age]]&lt;=34),"25-34",IF(AND(data[[#This Row],[Age]]&gt;35,data[[#This Row],[Age]]&lt;=44),"35-44",IF(data[[#This Row],[Age]]&gt;44,"45+",IF(data[[#This Row],[Age]]&lt;18,"below 18 ")))))</f>
        <v>35-44</v>
      </c>
    </row>
    <row r="789" spans="1:31" x14ac:dyDescent="0.25">
      <c r="A789" t="s">
        <v>842</v>
      </c>
      <c r="B789">
        <v>24</v>
      </c>
      <c r="C789" t="s">
        <v>31</v>
      </c>
      <c r="D789" t="s">
        <v>32</v>
      </c>
      <c r="E789" t="s">
        <v>40</v>
      </c>
      <c r="F789" t="s">
        <v>51</v>
      </c>
      <c r="G789">
        <v>6.7</v>
      </c>
      <c r="H789">
        <v>3</v>
      </c>
      <c r="I789">
        <v>4</v>
      </c>
      <c r="J789" t="s">
        <v>42</v>
      </c>
      <c r="K789" t="s">
        <v>36</v>
      </c>
      <c r="L789">
        <v>73</v>
      </c>
      <c r="M789">
        <v>6.4</v>
      </c>
      <c r="N789">
        <v>8.4</v>
      </c>
      <c r="O789">
        <v>5.9</v>
      </c>
      <c r="P789">
        <v>4.3</v>
      </c>
      <c r="Q789" t="s">
        <v>42</v>
      </c>
      <c r="R789" t="s">
        <v>35</v>
      </c>
      <c r="S789">
        <v>1.1000000000000001</v>
      </c>
      <c r="T789">
        <v>3.1</v>
      </c>
      <c r="U789">
        <v>7.8</v>
      </c>
      <c r="W789">
        <v>9.6999999999999993</v>
      </c>
      <c r="X789">
        <v>4.7</v>
      </c>
      <c r="Y789">
        <v>5.8</v>
      </c>
      <c r="Z789">
        <v>5.3</v>
      </c>
      <c r="AA789">
        <v>4.5</v>
      </c>
      <c r="AB789">
        <v>2.7</v>
      </c>
      <c r="AC789">
        <v>5.0999999999999996</v>
      </c>
      <c r="AD789" t="s">
        <v>43</v>
      </c>
      <c r="AE789" t="str">
        <f>IF(AND(data[[#This Row],[Age]]&gt;=18,data[[#This Row],[Age]]&lt;=24),"18-24",IF(AND(data[[#This Row],[Age]]&gt;=25,data[[#This Row],[Age]]&lt;=34),"25-34",IF(AND(data[[#This Row],[Age]]&gt;35,data[[#This Row],[Age]]&lt;=44),"35-44",IF(data[[#This Row],[Age]]&gt;44,"45+",IF(data[[#This Row],[Age]]&lt;18,"below 18 ")))))</f>
        <v>18-24</v>
      </c>
    </row>
    <row r="790" spans="1:31" x14ac:dyDescent="0.25">
      <c r="A790" t="s">
        <v>843</v>
      </c>
      <c r="B790">
        <v>37</v>
      </c>
      <c r="C790" t="s">
        <v>47</v>
      </c>
      <c r="D790" t="s">
        <v>32</v>
      </c>
      <c r="E790" t="s">
        <v>40</v>
      </c>
      <c r="F790" t="s">
        <v>41</v>
      </c>
      <c r="G790">
        <v>0.8</v>
      </c>
      <c r="H790">
        <v>2</v>
      </c>
      <c r="I790">
        <v>7</v>
      </c>
      <c r="J790" t="s">
        <v>42</v>
      </c>
      <c r="K790" t="s">
        <v>62</v>
      </c>
      <c r="L790">
        <v>62</v>
      </c>
      <c r="M790">
        <v>2.8</v>
      </c>
      <c r="N790">
        <v>3.9</v>
      </c>
      <c r="O790">
        <v>5.4</v>
      </c>
      <c r="P790">
        <v>6.9</v>
      </c>
      <c r="Q790" t="s">
        <v>42</v>
      </c>
      <c r="R790" t="s">
        <v>42</v>
      </c>
      <c r="S790">
        <v>3.7</v>
      </c>
      <c r="T790">
        <v>3.3</v>
      </c>
      <c r="U790">
        <v>2.6</v>
      </c>
      <c r="V790">
        <v>5.2</v>
      </c>
      <c r="W790">
        <v>2.8</v>
      </c>
      <c r="X790">
        <v>3.7</v>
      </c>
      <c r="Y790">
        <v>6.2</v>
      </c>
      <c r="AA790">
        <v>1.1000000000000001</v>
      </c>
      <c r="AB790">
        <v>4.2</v>
      </c>
      <c r="AC790">
        <v>6.7</v>
      </c>
      <c r="AD790" t="s">
        <v>53</v>
      </c>
      <c r="AE790" t="str">
        <f>IF(AND(data[[#This Row],[Age]]&gt;=18,data[[#This Row],[Age]]&lt;=24),"18-24",IF(AND(data[[#This Row],[Age]]&gt;=25,data[[#This Row],[Age]]&lt;=34),"25-34",IF(AND(data[[#This Row],[Age]]&gt;35,data[[#This Row],[Age]]&lt;=44),"35-44",IF(data[[#This Row],[Age]]&gt;44,"45+",IF(data[[#This Row],[Age]]&lt;18,"below 18 ")))))</f>
        <v>35-44</v>
      </c>
    </row>
    <row r="791" spans="1:31" x14ac:dyDescent="0.25">
      <c r="A791" t="s">
        <v>844</v>
      </c>
      <c r="B791">
        <v>34</v>
      </c>
      <c r="C791" t="s">
        <v>31</v>
      </c>
      <c r="D791" t="s">
        <v>32</v>
      </c>
      <c r="E791" t="s">
        <v>40</v>
      </c>
      <c r="F791" t="s">
        <v>48</v>
      </c>
      <c r="G791">
        <v>3.9</v>
      </c>
      <c r="H791">
        <v>4</v>
      </c>
      <c r="I791">
        <v>7</v>
      </c>
      <c r="J791" t="s">
        <v>42</v>
      </c>
      <c r="K791" t="s">
        <v>36</v>
      </c>
      <c r="L791">
        <v>27</v>
      </c>
      <c r="M791">
        <v>4.5</v>
      </c>
      <c r="N791">
        <v>3.4</v>
      </c>
      <c r="O791">
        <v>4</v>
      </c>
      <c r="P791">
        <v>3.9</v>
      </c>
      <c r="Q791" t="s">
        <v>42</v>
      </c>
      <c r="R791" t="s">
        <v>35</v>
      </c>
      <c r="S791">
        <v>8.1</v>
      </c>
      <c r="T791">
        <v>4.2</v>
      </c>
      <c r="U791">
        <v>2.1</v>
      </c>
      <c r="V791">
        <v>6.4</v>
      </c>
      <c r="W791">
        <v>3.4</v>
      </c>
      <c r="X791">
        <v>8.5</v>
      </c>
      <c r="Y791">
        <v>7.7</v>
      </c>
      <c r="Z791">
        <v>6.2</v>
      </c>
      <c r="AA791">
        <v>2.1</v>
      </c>
      <c r="AB791">
        <v>4.7</v>
      </c>
      <c r="AC791">
        <v>7.2</v>
      </c>
      <c r="AD791" t="s">
        <v>53</v>
      </c>
      <c r="AE791" t="str">
        <f>IF(AND(data[[#This Row],[Age]]&gt;=18,data[[#This Row],[Age]]&lt;=24),"18-24",IF(AND(data[[#This Row],[Age]]&gt;=25,data[[#This Row],[Age]]&lt;=34),"25-34",IF(AND(data[[#This Row],[Age]]&gt;35,data[[#This Row],[Age]]&lt;=44),"35-44",IF(data[[#This Row],[Age]]&gt;44,"45+",IF(data[[#This Row],[Age]]&lt;18,"below 18 ")))))</f>
        <v>25-34</v>
      </c>
    </row>
    <row r="792" spans="1:31" x14ac:dyDescent="0.25">
      <c r="A792" t="s">
        <v>845</v>
      </c>
      <c r="B792">
        <v>41</v>
      </c>
      <c r="C792" t="s">
        <v>31</v>
      </c>
      <c r="D792" t="s">
        <v>39</v>
      </c>
      <c r="E792" t="s">
        <v>33</v>
      </c>
      <c r="F792" t="s">
        <v>70</v>
      </c>
      <c r="G792">
        <v>7.4</v>
      </c>
      <c r="H792">
        <v>1</v>
      </c>
      <c r="I792">
        <v>4</v>
      </c>
      <c r="J792" t="s">
        <v>35</v>
      </c>
      <c r="K792" t="s">
        <v>62</v>
      </c>
      <c r="L792">
        <v>113</v>
      </c>
      <c r="M792">
        <v>5.0999999999999996</v>
      </c>
      <c r="N792">
        <v>7.2</v>
      </c>
      <c r="O792">
        <v>6.7</v>
      </c>
      <c r="P792">
        <v>2.1</v>
      </c>
      <c r="Q792" t="s">
        <v>42</v>
      </c>
      <c r="R792" t="s">
        <v>35</v>
      </c>
      <c r="S792">
        <v>6</v>
      </c>
      <c r="T792">
        <v>4.0999999999999996</v>
      </c>
      <c r="U792">
        <v>6</v>
      </c>
      <c r="V792">
        <v>3</v>
      </c>
      <c r="W792">
        <v>4.8</v>
      </c>
      <c r="X792">
        <v>5.5</v>
      </c>
      <c r="Y792">
        <v>2.7</v>
      </c>
      <c r="Z792">
        <v>6.6</v>
      </c>
      <c r="AA792">
        <v>1.2</v>
      </c>
      <c r="AB792">
        <v>3.6</v>
      </c>
      <c r="AC792">
        <v>7.1</v>
      </c>
      <c r="AD792" t="s">
        <v>53</v>
      </c>
      <c r="AE792" t="str">
        <f>IF(AND(data[[#This Row],[Age]]&gt;=18,data[[#This Row],[Age]]&lt;=24),"18-24",IF(AND(data[[#This Row],[Age]]&gt;=25,data[[#This Row],[Age]]&lt;=34),"25-34",IF(AND(data[[#This Row],[Age]]&gt;35,data[[#This Row],[Age]]&lt;=44),"35-44",IF(data[[#This Row],[Age]]&gt;44,"45+",IF(data[[#This Row],[Age]]&lt;18,"below 18 ")))))</f>
        <v>35-44</v>
      </c>
    </row>
    <row r="793" spans="1:31" x14ac:dyDescent="0.25">
      <c r="A793" t="s">
        <v>846</v>
      </c>
      <c r="B793">
        <v>42</v>
      </c>
      <c r="C793" t="s">
        <v>31</v>
      </c>
      <c r="D793" t="s">
        <v>39</v>
      </c>
      <c r="E793" t="s">
        <v>58</v>
      </c>
      <c r="F793" t="s">
        <v>51</v>
      </c>
      <c r="G793">
        <v>1.2</v>
      </c>
      <c r="H793">
        <v>2</v>
      </c>
      <c r="I793">
        <v>2</v>
      </c>
      <c r="K793" t="s">
        <v>62</v>
      </c>
      <c r="L793">
        <v>55</v>
      </c>
      <c r="M793">
        <v>10</v>
      </c>
      <c r="N793">
        <v>7.8</v>
      </c>
      <c r="O793">
        <v>4.3</v>
      </c>
      <c r="P793">
        <v>1.6</v>
      </c>
      <c r="Q793" t="s">
        <v>42</v>
      </c>
      <c r="R793" t="s">
        <v>35</v>
      </c>
      <c r="S793">
        <v>4.5</v>
      </c>
      <c r="T793">
        <v>5.0999999999999996</v>
      </c>
      <c r="U793">
        <v>4.4000000000000004</v>
      </c>
      <c r="V793">
        <v>6.8</v>
      </c>
      <c r="W793">
        <v>4.2</v>
      </c>
      <c r="X793">
        <v>5.9</v>
      </c>
      <c r="Y793">
        <v>8.8000000000000007</v>
      </c>
      <c r="Z793">
        <v>5.4</v>
      </c>
      <c r="AA793">
        <v>4.2</v>
      </c>
      <c r="AB793">
        <v>2.7</v>
      </c>
      <c r="AC793">
        <v>7.6</v>
      </c>
      <c r="AD793" t="s">
        <v>37</v>
      </c>
      <c r="AE793" t="str">
        <f>IF(AND(data[[#This Row],[Age]]&gt;=18,data[[#This Row],[Age]]&lt;=24),"18-24",IF(AND(data[[#This Row],[Age]]&gt;=25,data[[#This Row],[Age]]&lt;=34),"25-34",IF(AND(data[[#This Row],[Age]]&gt;35,data[[#This Row],[Age]]&lt;=44),"35-44",IF(data[[#This Row],[Age]]&gt;44,"45+",IF(data[[#This Row],[Age]]&lt;18,"below 18 ")))))</f>
        <v>35-44</v>
      </c>
    </row>
    <row r="794" spans="1:31" x14ac:dyDescent="0.25">
      <c r="A794" t="s">
        <v>847</v>
      </c>
      <c r="B794">
        <v>40</v>
      </c>
      <c r="C794" t="s">
        <v>31</v>
      </c>
      <c r="D794" t="s">
        <v>39</v>
      </c>
      <c r="E794" t="s">
        <v>33</v>
      </c>
      <c r="F794" t="s">
        <v>70</v>
      </c>
      <c r="G794">
        <v>5.4</v>
      </c>
      <c r="H794">
        <v>1</v>
      </c>
      <c r="I794">
        <v>5</v>
      </c>
      <c r="J794" t="s">
        <v>35</v>
      </c>
      <c r="K794" t="s">
        <v>52</v>
      </c>
      <c r="L794">
        <v>41</v>
      </c>
      <c r="M794">
        <v>2.7</v>
      </c>
      <c r="N794">
        <v>4.4000000000000004</v>
      </c>
      <c r="O794">
        <v>3.6</v>
      </c>
      <c r="P794">
        <v>2.8</v>
      </c>
      <c r="Q794" t="s">
        <v>42</v>
      </c>
      <c r="R794" t="s">
        <v>42</v>
      </c>
      <c r="S794">
        <v>6.6</v>
      </c>
      <c r="T794">
        <v>4.0999999999999996</v>
      </c>
      <c r="U794">
        <v>1.1000000000000001</v>
      </c>
      <c r="V794">
        <v>3.9</v>
      </c>
      <c r="W794">
        <v>6.3</v>
      </c>
      <c r="X794">
        <v>8.6999999999999993</v>
      </c>
      <c r="Y794">
        <v>8.1</v>
      </c>
      <c r="Z794">
        <v>6.9</v>
      </c>
      <c r="AA794">
        <v>5.5</v>
      </c>
      <c r="AB794">
        <v>2.6</v>
      </c>
      <c r="AC794">
        <v>7.2</v>
      </c>
      <c r="AD794" t="s">
        <v>37</v>
      </c>
      <c r="AE794" t="str">
        <f>IF(AND(data[[#This Row],[Age]]&gt;=18,data[[#This Row],[Age]]&lt;=24),"18-24",IF(AND(data[[#This Row],[Age]]&gt;=25,data[[#This Row],[Age]]&lt;=34),"25-34",IF(AND(data[[#This Row],[Age]]&gt;35,data[[#This Row],[Age]]&lt;=44),"35-44",IF(data[[#This Row],[Age]]&gt;44,"45+",IF(data[[#This Row],[Age]]&lt;18,"below 18 ")))))</f>
        <v>35-44</v>
      </c>
    </row>
    <row r="795" spans="1:31" x14ac:dyDescent="0.25">
      <c r="A795" t="s">
        <v>848</v>
      </c>
      <c r="B795">
        <v>17</v>
      </c>
      <c r="C795" t="s">
        <v>31</v>
      </c>
      <c r="D795" t="s">
        <v>39</v>
      </c>
      <c r="F795" t="s">
        <v>51</v>
      </c>
      <c r="G795">
        <v>5.2</v>
      </c>
      <c r="H795">
        <v>2</v>
      </c>
      <c r="I795">
        <v>2</v>
      </c>
      <c r="J795" t="s">
        <v>42</v>
      </c>
      <c r="K795" t="s">
        <v>36</v>
      </c>
      <c r="L795">
        <v>51</v>
      </c>
      <c r="M795">
        <v>2.6</v>
      </c>
      <c r="N795">
        <v>3.8</v>
      </c>
      <c r="O795">
        <v>4</v>
      </c>
      <c r="P795">
        <v>5.9</v>
      </c>
      <c r="Q795" t="s">
        <v>35</v>
      </c>
      <c r="R795" t="s">
        <v>35</v>
      </c>
      <c r="S795">
        <v>4.8</v>
      </c>
      <c r="T795">
        <v>0.5</v>
      </c>
      <c r="U795">
        <v>2.7</v>
      </c>
      <c r="V795">
        <v>5.3</v>
      </c>
      <c r="W795">
        <v>5.2</v>
      </c>
      <c r="X795">
        <v>9.4</v>
      </c>
      <c r="Y795">
        <v>1</v>
      </c>
      <c r="Z795">
        <v>6.5</v>
      </c>
      <c r="AA795">
        <v>2.2000000000000002</v>
      </c>
      <c r="AB795">
        <v>1.5</v>
      </c>
      <c r="AC795">
        <v>7.3</v>
      </c>
      <c r="AD795" t="s">
        <v>53</v>
      </c>
      <c r="AE795" t="str">
        <f>IF(AND(data[[#This Row],[Age]]&gt;=18,data[[#This Row],[Age]]&lt;=24),"18-24",IF(AND(data[[#This Row],[Age]]&gt;=25,data[[#This Row],[Age]]&lt;=34),"25-34",IF(AND(data[[#This Row],[Age]]&gt;35,data[[#This Row],[Age]]&lt;=44),"35-44",IF(data[[#This Row],[Age]]&gt;44,"45+",IF(data[[#This Row],[Age]]&lt;18,"below 18 ")))))</f>
        <v xml:space="preserve">below 18 </v>
      </c>
    </row>
    <row r="796" spans="1:31" x14ac:dyDescent="0.25">
      <c r="A796" t="s">
        <v>849</v>
      </c>
      <c r="B796">
        <v>36</v>
      </c>
      <c r="C796" t="s">
        <v>47</v>
      </c>
      <c r="D796" t="s">
        <v>39</v>
      </c>
      <c r="E796" t="s">
        <v>40</v>
      </c>
      <c r="F796" t="s">
        <v>41</v>
      </c>
      <c r="G796">
        <v>8.6999999999999993</v>
      </c>
      <c r="H796">
        <v>2</v>
      </c>
      <c r="I796">
        <v>5</v>
      </c>
      <c r="J796" t="s">
        <v>42</v>
      </c>
      <c r="K796" t="s">
        <v>52</v>
      </c>
      <c r="L796">
        <v>51</v>
      </c>
      <c r="M796">
        <v>4.2</v>
      </c>
      <c r="N796">
        <v>5.4</v>
      </c>
      <c r="O796">
        <v>3.9</v>
      </c>
      <c r="P796">
        <v>8</v>
      </c>
      <c r="Q796" t="s">
        <v>42</v>
      </c>
      <c r="R796" t="s">
        <v>42</v>
      </c>
      <c r="S796">
        <v>8</v>
      </c>
      <c r="T796">
        <v>0.7</v>
      </c>
      <c r="U796">
        <v>1.5</v>
      </c>
      <c r="V796">
        <v>3.5</v>
      </c>
      <c r="W796">
        <v>3.8</v>
      </c>
      <c r="X796">
        <v>5.7</v>
      </c>
      <c r="Y796">
        <v>5.2</v>
      </c>
      <c r="Z796">
        <v>3.7</v>
      </c>
      <c r="AA796">
        <v>5.5</v>
      </c>
      <c r="AB796">
        <v>2</v>
      </c>
      <c r="AC796">
        <v>5.2</v>
      </c>
      <c r="AD796" t="s">
        <v>43</v>
      </c>
      <c r="AE796" t="str">
        <f>IF(AND(data[[#This Row],[Age]]&gt;=18,data[[#This Row],[Age]]&lt;=24),"18-24",IF(AND(data[[#This Row],[Age]]&gt;=25,data[[#This Row],[Age]]&lt;=34),"25-34",IF(AND(data[[#This Row],[Age]]&gt;35,data[[#This Row],[Age]]&lt;=44),"35-44",IF(data[[#This Row],[Age]]&gt;44,"45+",IF(data[[#This Row],[Age]]&lt;18,"below 18 ")))))</f>
        <v>35-44</v>
      </c>
    </row>
    <row r="797" spans="1:31" x14ac:dyDescent="0.25">
      <c r="A797" t="s">
        <v>850</v>
      </c>
      <c r="B797">
        <v>27</v>
      </c>
      <c r="C797" t="s">
        <v>47</v>
      </c>
      <c r="D797" t="s">
        <v>32</v>
      </c>
      <c r="E797" t="s">
        <v>33</v>
      </c>
      <c r="F797" t="s">
        <v>48</v>
      </c>
      <c r="G797">
        <v>7.3</v>
      </c>
      <c r="H797">
        <v>3</v>
      </c>
      <c r="I797">
        <v>5</v>
      </c>
      <c r="J797" t="s">
        <v>42</v>
      </c>
      <c r="K797" t="s">
        <v>36</v>
      </c>
      <c r="L797">
        <v>35</v>
      </c>
      <c r="M797">
        <v>2.8</v>
      </c>
      <c r="N797">
        <v>6</v>
      </c>
      <c r="O797">
        <v>8.1</v>
      </c>
      <c r="P797">
        <v>4.5999999999999996</v>
      </c>
      <c r="Q797" t="s">
        <v>42</v>
      </c>
      <c r="R797" t="s">
        <v>35</v>
      </c>
      <c r="S797">
        <v>1.9</v>
      </c>
      <c r="T797">
        <v>7.8</v>
      </c>
      <c r="U797">
        <v>7.2</v>
      </c>
      <c r="V797">
        <v>3.3</v>
      </c>
      <c r="W797">
        <v>7.4</v>
      </c>
      <c r="X797">
        <v>10</v>
      </c>
      <c r="Z797">
        <v>5.6</v>
      </c>
      <c r="AA797">
        <v>3.4</v>
      </c>
      <c r="AB797">
        <v>4.7</v>
      </c>
      <c r="AC797">
        <v>6.4</v>
      </c>
      <c r="AD797" t="s">
        <v>53</v>
      </c>
      <c r="AE797" t="str">
        <f>IF(AND(data[[#This Row],[Age]]&gt;=18,data[[#This Row],[Age]]&lt;=24),"18-24",IF(AND(data[[#This Row],[Age]]&gt;=25,data[[#This Row],[Age]]&lt;=34),"25-34",IF(AND(data[[#This Row],[Age]]&gt;35,data[[#This Row],[Age]]&lt;=44),"35-44",IF(data[[#This Row],[Age]]&gt;44,"45+",IF(data[[#This Row],[Age]]&lt;18,"below 18 ")))))</f>
        <v>25-34</v>
      </c>
    </row>
    <row r="798" spans="1:31" x14ac:dyDescent="0.25">
      <c r="A798" t="s">
        <v>851</v>
      </c>
      <c r="B798">
        <v>35</v>
      </c>
      <c r="C798" t="s">
        <v>31</v>
      </c>
      <c r="D798" t="s">
        <v>32</v>
      </c>
      <c r="E798" t="s">
        <v>40</v>
      </c>
      <c r="F798" t="s">
        <v>51</v>
      </c>
      <c r="G798">
        <v>3.6</v>
      </c>
      <c r="H798">
        <v>1</v>
      </c>
      <c r="I798">
        <v>5</v>
      </c>
      <c r="J798" t="s">
        <v>42</v>
      </c>
      <c r="K798" t="s">
        <v>36</v>
      </c>
      <c r="L798">
        <v>104</v>
      </c>
      <c r="M798">
        <v>5</v>
      </c>
      <c r="N798">
        <v>4.9000000000000004</v>
      </c>
      <c r="O798">
        <v>7.4</v>
      </c>
      <c r="P798">
        <v>3.2</v>
      </c>
      <c r="Q798" t="s">
        <v>35</v>
      </c>
      <c r="R798" t="s">
        <v>35</v>
      </c>
      <c r="T798">
        <v>2.2000000000000002</v>
      </c>
      <c r="U798">
        <v>6</v>
      </c>
      <c r="V798">
        <v>7</v>
      </c>
      <c r="W798">
        <v>7.5</v>
      </c>
      <c r="X798">
        <v>7.1</v>
      </c>
      <c r="Y798">
        <v>4.2</v>
      </c>
      <c r="Z798">
        <v>6.8</v>
      </c>
      <c r="AA798">
        <v>1.6</v>
      </c>
      <c r="AB798">
        <v>2.4</v>
      </c>
      <c r="AC798">
        <v>6.9</v>
      </c>
      <c r="AD798" t="s">
        <v>53</v>
      </c>
      <c r="AE798" t="b">
        <f>IF(AND(data[[#This Row],[Age]]&gt;=18,data[[#This Row],[Age]]&lt;=24),"18-24",IF(AND(data[[#This Row],[Age]]&gt;=25,data[[#This Row],[Age]]&lt;=34),"25-34",IF(AND(data[[#This Row],[Age]]&gt;35,data[[#This Row],[Age]]&lt;=44),"35-44",IF(data[[#This Row],[Age]]&gt;44,"45+",IF(data[[#This Row],[Age]]&lt;18,"below 18 ")))))</f>
        <v>0</v>
      </c>
    </row>
    <row r="799" spans="1:31" x14ac:dyDescent="0.25">
      <c r="A799" t="s">
        <v>852</v>
      </c>
      <c r="B799">
        <v>25</v>
      </c>
      <c r="C799" t="s">
        <v>47</v>
      </c>
      <c r="D799" t="s">
        <v>32</v>
      </c>
      <c r="E799" t="s">
        <v>40</v>
      </c>
      <c r="F799" t="s">
        <v>59</v>
      </c>
      <c r="G799">
        <v>1.4</v>
      </c>
      <c r="H799">
        <v>2</v>
      </c>
      <c r="I799">
        <v>3</v>
      </c>
      <c r="K799" t="s">
        <v>52</v>
      </c>
      <c r="L799">
        <v>66</v>
      </c>
      <c r="M799">
        <v>6.2</v>
      </c>
      <c r="N799">
        <v>6.7</v>
      </c>
      <c r="P799">
        <v>5.4</v>
      </c>
      <c r="Q799" t="s">
        <v>35</v>
      </c>
      <c r="R799" t="s">
        <v>42</v>
      </c>
      <c r="S799">
        <v>5.2</v>
      </c>
      <c r="T799">
        <v>6.5</v>
      </c>
      <c r="U799">
        <v>3.8</v>
      </c>
      <c r="V799">
        <v>5.6</v>
      </c>
      <c r="W799">
        <v>3.8</v>
      </c>
      <c r="X799">
        <v>5.9</v>
      </c>
      <c r="Y799">
        <v>5.5</v>
      </c>
      <c r="Z799">
        <v>10</v>
      </c>
      <c r="AA799">
        <v>4.5999999999999996</v>
      </c>
      <c r="AB799">
        <v>6</v>
      </c>
      <c r="AC799">
        <v>7.1</v>
      </c>
      <c r="AD799" t="s">
        <v>37</v>
      </c>
      <c r="AE799" t="str">
        <f>IF(AND(data[[#This Row],[Age]]&gt;=18,data[[#This Row],[Age]]&lt;=24),"18-24",IF(AND(data[[#This Row],[Age]]&gt;=25,data[[#This Row],[Age]]&lt;=34),"25-34",IF(AND(data[[#This Row],[Age]]&gt;35,data[[#This Row],[Age]]&lt;=44),"35-44",IF(data[[#This Row],[Age]]&gt;44,"45+",IF(data[[#This Row],[Age]]&lt;18,"below 18 ")))))</f>
        <v>25-34</v>
      </c>
    </row>
    <row r="800" spans="1:31" x14ac:dyDescent="0.25">
      <c r="A800" t="s">
        <v>853</v>
      </c>
      <c r="B800">
        <v>32</v>
      </c>
      <c r="C800" t="s">
        <v>50</v>
      </c>
      <c r="D800" t="s">
        <v>32</v>
      </c>
      <c r="E800" t="s">
        <v>33</v>
      </c>
      <c r="F800" t="s">
        <v>34</v>
      </c>
      <c r="G800">
        <v>3.7</v>
      </c>
      <c r="H800">
        <v>6</v>
      </c>
      <c r="I800">
        <v>2</v>
      </c>
      <c r="J800" t="s">
        <v>35</v>
      </c>
      <c r="K800" t="s">
        <v>62</v>
      </c>
      <c r="L800">
        <v>68</v>
      </c>
      <c r="N800">
        <v>8.5</v>
      </c>
      <c r="O800">
        <v>6.9</v>
      </c>
      <c r="P800">
        <v>4.8</v>
      </c>
      <c r="Q800" t="s">
        <v>42</v>
      </c>
      <c r="R800" t="s">
        <v>42</v>
      </c>
      <c r="S800">
        <v>10</v>
      </c>
      <c r="T800">
        <v>8.6</v>
      </c>
      <c r="U800">
        <v>3.7</v>
      </c>
      <c r="V800">
        <v>6.3</v>
      </c>
      <c r="W800">
        <v>4</v>
      </c>
      <c r="X800">
        <v>5.7</v>
      </c>
      <c r="Y800">
        <v>6.4</v>
      </c>
      <c r="Z800">
        <v>3.7</v>
      </c>
      <c r="AA800">
        <v>3.5</v>
      </c>
      <c r="AB800">
        <v>0</v>
      </c>
      <c r="AC800">
        <v>6.2</v>
      </c>
      <c r="AD800" t="s">
        <v>45</v>
      </c>
      <c r="AE800" t="str">
        <f>IF(AND(data[[#This Row],[Age]]&gt;=18,data[[#This Row],[Age]]&lt;=24),"18-24",IF(AND(data[[#This Row],[Age]]&gt;=25,data[[#This Row],[Age]]&lt;=34),"25-34",IF(AND(data[[#This Row],[Age]]&gt;35,data[[#This Row],[Age]]&lt;=44),"35-44",IF(data[[#This Row],[Age]]&gt;44,"45+",IF(data[[#This Row],[Age]]&lt;18,"below 18 ")))))</f>
        <v>25-34</v>
      </c>
    </row>
    <row r="801" spans="1:31" x14ac:dyDescent="0.25">
      <c r="A801" t="s">
        <v>854</v>
      </c>
      <c r="B801">
        <v>16</v>
      </c>
      <c r="C801" t="s">
        <v>47</v>
      </c>
      <c r="D801" t="s">
        <v>32</v>
      </c>
      <c r="E801" t="s">
        <v>40</v>
      </c>
      <c r="F801" t="s">
        <v>59</v>
      </c>
      <c r="G801">
        <v>4.7</v>
      </c>
      <c r="H801">
        <v>4</v>
      </c>
      <c r="I801">
        <v>3</v>
      </c>
      <c r="J801" t="s">
        <v>42</v>
      </c>
      <c r="K801" t="s">
        <v>52</v>
      </c>
      <c r="L801">
        <v>28</v>
      </c>
      <c r="M801">
        <v>4</v>
      </c>
      <c r="N801">
        <v>2.5</v>
      </c>
      <c r="O801">
        <v>3.9</v>
      </c>
      <c r="P801">
        <v>6.2</v>
      </c>
      <c r="Q801" t="s">
        <v>42</v>
      </c>
      <c r="R801" t="s">
        <v>42</v>
      </c>
      <c r="S801">
        <v>3.2</v>
      </c>
      <c r="T801">
        <v>2</v>
      </c>
      <c r="U801">
        <v>3.8</v>
      </c>
      <c r="V801">
        <v>6.4</v>
      </c>
      <c r="W801">
        <v>1.2</v>
      </c>
      <c r="X801">
        <v>4.0999999999999996</v>
      </c>
      <c r="Y801">
        <v>8.6</v>
      </c>
      <c r="Z801">
        <v>4.0999999999999996</v>
      </c>
      <c r="AA801">
        <v>3.2</v>
      </c>
      <c r="AB801">
        <v>2.6</v>
      </c>
      <c r="AC801">
        <v>6.1</v>
      </c>
      <c r="AD801" t="s">
        <v>53</v>
      </c>
      <c r="AE801" t="str">
        <f>IF(AND(data[[#This Row],[Age]]&gt;=18,data[[#This Row],[Age]]&lt;=24),"18-24",IF(AND(data[[#This Row],[Age]]&gt;=25,data[[#This Row],[Age]]&lt;=34),"25-34",IF(AND(data[[#This Row],[Age]]&gt;35,data[[#This Row],[Age]]&lt;=44),"35-44",IF(data[[#This Row],[Age]]&gt;44,"45+",IF(data[[#This Row],[Age]]&lt;18,"below 18 ")))))</f>
        <v xml:space="preserve">below 18 </v>
      </c>
    </row>
    <row r="802" spans="1:31" x14ac:dyDescent="0.25">
      <c r="A802" t="s">
        <v>855</v>
      </c>
      <c r="B802">
        <v>20</v>
      </c>
      <c r="C802" t="s">
        <v>31</v>
      </c>
      <c r="E802" t="s">
        <v>33</v>
      </c>
      <c r="F802" t="s">
        <v>59</v>
      </c>
      <c r="G802">
        <v>4.4000000000000004</v>
      </c>
      <c r="H802">
        <v>3</v>
      </c>
      <c r="I802">
        <v>4</v>
      </c>
      <c r="J802" t="s">
        <v>42</v>
      </c>
      <c r="K802" t="s">
        <v>36</v>
      </c>
      <c r="L802">
        <v>114</v>
      </c>
      <c r="M802">
        <v>7.4</v>
      </c>
      <c r="N802">
        <v>8.3000000000000007</v>
      </c>
      <c r="O802">
        <v>3.6</v>
      </c>
      <c r="P802">
        <v>8.1</v>
      </c>
      <c r="Q802" t="s">
        <v>35</v>
      </c>
      <c r="R802" t="s">
        <v>42</v>
      </c>
      <c r="S802">
        <v>10</v>
      </c>
      <c r="T802">
        <v>3.3</v>
      </c>
      <c r="U802">
        <v>1.7</v>
      </c>
      <c r="V802">
        <v>5.6</v>
      </c>
      <c r="W802">
        <v>8.1999999999999993</v>
      </c>
      <c r="X802">
        <v>7.7</v>
      </c>
      <c r="Y802">
        <v>5.7</v>
      </c>
      <c r="Z802">
        <v>5.7</v>
      </c>
      <c r="AA802">
        <v>0.2</v>
      </c>
      <c r="AB802">
        <v>2.8</v>
      </c>
      <c r="AC802">
        <v>4.9000000000000004</v>
      </c>
      <c r="AD802" t="s">
        <v>43</v>
      </c>
      <c r="AE802" t="str">
        <f>IF(AND(data[[#This Row],[Age]]&gt;=18,data[[#This Row],[Age]]&lt;=24),"18-24",IF(AND(data[[#This Row],[Age]]&gt;=25,data[[#This Row],[Age]]&lt;=34),"25-34",IF(AND(data[[#This Row],[Age]]&gt;35,data[[#This Row],[Age]]&lt;=44),"35-44",IF(data[[#This Row],[Age]]&gt;44,"45+",IF(data[[#This Row],[Age]]&lt;18,"below 18 ")))))</f>
        <v>18-24</v>
      </c>
    </row>
    <row r="803" spans="1:31" x14ac:dyDescent="0.25">
      <c r="A803" t="s">
        <v>856</v>
      </c>
      <c r="B803">
        <v>27</v>
      </c>
      <c r="C803" t="s">
        <v>47</v>
      </c>
      <c r="D803" t="s">
        <v>32</v>
      </c>
      <c r="E803" t="s">
        <v>33</v>
      </c>
      <c r="F803" t="s">
        <v>34</v>
      </c>
      <c r="G803">
        <v>3.5</v>
      </c>
      <c r="H803">
        <v>5</v>
      </c>
      <c r="I803">
        <v>5</v>
      </c>
      <c r="J803" t="s">
        <v>42</v>
      </c>
      <c r="K803" t="s">
        <v>36</v>
      </c>
      <c r="L803">
        <v>99</v>
      </c>
      <c r="M803">
        <v>6.1</v>
      </c>
      <c r="N803">
        <v>7.5</v>
      </c>
      <c r="O803">
        <v>8.1999999999999993</v>
      </c>
      <c r="P803">
        <v>5.6</v>
      </c>
      <c r="Q803" t="s">
        <v>42</v>
      </c>
      <c r="R803" t="s">
        <v>35</v>
      </c>
      <c r="S803">
        <v>7.6</v>
      </c>
      <c r="T803">
        <v>3.2</v>
      </c>
      <c r="U803">
        <v>4.4000000000000004</v>
      </c>
      <c r="V803">
        <v>4.4000000000000004</v>
      </c>
      <c r="W803">
        <v>5.7</v>
      </c>
      <c r="X803">
        <v>7.6</v>
      </c>
      <c r="Y803">
        <v>4.5</v>
      </c>
      <c r="Z803">
        <v>4.5</v>
      </c>
      <c r="AA803">
        <v>3</v>
      </c>
      <c r="AB803">
        <v>2.2999999999999998</v>
      </c>
      <c r="AC803">
        <v>5.0999999999999996</v>
      </c>
      <c r="AD803" t="s">
        <v>43</v>
      </c>
      <c r="AE803" t="str">
        <f>IF(AND(data[[#This Row],[Age]]&gt;=18,data[[#This Row],[Age]]&lt;=24),"18-24",IF(AND(data[[#This Row],[Age]]&gt;=25,data[[#This Row],[Age]]&lt;=34),"25-34",IF(AND(data[[#This Row],[Age]]&gt;35,data[[#This Row],[Age]]&lt;=44),"35-44",IF(data[[#This Row],[Age]]&gt;44,"45+",IF(data[[#This Row],[Age]]&lt;18,"below 18 ")))))</f>
        <v>25-34</v>
      </c>
    </row>
    <row r="804" spans="1:31" x14ac:dyDescent="0.25">
      <c r="A804" t="s">
        <v>857</v>
      </c>
      <c r="B804">
        <v>32</v>
      </c>
      <c r="C804" t="s">
        <v>31</v>
      </c>
      <c r="D804" t="s">
        <v>32</v>
      </c>
      <c r="E804" t="s">
        <v>58</v>
      </c>
      <c r="F804" t="s">
        <v>34</v>
      </c>
      <c r="G804">
        <v>2.4</v>
      </c>
      <c r="H804">
        <v>4</v>
      </c>
      <c r="I804">
        <v>4</v>
      </c>
      <c r="J804" t="s">
        <v>42</v>
      </c>
      <c r="K804" t="s">
        <v>52</v>
      </c>
      <c r="L804">
        <v>107</v>
      </c>
      <c r="N804">
        <v>5.4</v>
      </c>
      <c r="P804">
        <v>6.1</v>
      </c>
      <c r="Q804" t="s">
        <v>42</v>
      </c>
      <c r="R804" t="s">
        <v>35</v>
      </c>
      <c r="S804">
        <v>9.1</v>
      </c>
      <c r="T804">
        <v>4.0999999999999996</v>
      </c>
      <c r="U804">
        <v>7.5</v>
      </c>
      <c r="V804">
        <v>8.1</v>
      </c>
      <c r="W804">
        <v>7.9</v>
      </c>
      <c r="X804">
        <v>5.7</v>
      </c>
      <c r="Y804">
        <v>5.7</v>
      </c>
      <c r="AA804">
        <v>3.8</v>
      </c>
      <c r="AB804">
        <v>3.1</v>
      </c>
      <c r="AC804">
        <v>5.9</v>
      </c>
      <c r="AD804" t="s">
        <v>45</v>
      </c>
      <c r="AE804" t="str">
        <f>IF(AND(data[[#This Row],[Age]]&gt;=18,data[[#This Row],[Age]]&lt;=24),"18-24",IF(AND(data[[#This Row],[Age]]&gt;=25,data[[#This Row],[Age]]&lt;=34),"25-34",IF(AND(data[[#This Row],[Age]]&gt;35,data[[#This Row],[Age]]&lt;=44),"35-44",IF(data[[#This Row],[Age]]&gt;44,"45+",IF(data[[#This Row],[Age]]&lt;18,"below 18 ")))))</f>
        <v>25-34</v>
      </c>
    </row>
    <row r="805" spans="1:31" x14ac:dyDescent="0.25">
      <c r="A805" t="s">
        <v>858</v>
      </c>
      <c r="B805">
        <v>33</v>
      </c>
      <c r="C805" t="s">
        <v>50</v>
      </c>
      <c r="D805" t="s">
        <v>64</v>
      </c>
      <c r="E805" t="s">
        <v>58</v>
      </c>
      <c r="F805" t="s">
        <v>41</v>
      </c>
      <c r="H805">
        <v>2</v>
      </c>
      <c r="I805">
        <v>6</v>
      </c>
      <c r="J805" t="s">
        <v>42</v>
      </c>
      <c r="K805" t="s">
        <v>36</v>
      </c>
      <c r="L805">
        <v>60</v>
      </c>
      <c r="M805">
        <v>6.5</v>
      </c>
      <c r="N805">
        <v>7.4</v>
      </c>
      <c r="O805">
        <v>3.9</v>
      </c>
      <c r="P805">
        <v>4.2</v>
      </c>
      <c r="Q805" t="s">
        <v>35</v>
      </c>
      <c r="R805" t="s">
        <v>35</v>
      </c>
      <c r="S805">
        <v>6.2</v>
      </c>
      <c r="T805">
        <v>3</v>
      </c>
      <c r="U805">
        <v>4.2</v>
      </c>
      <c r="V805">
        <v>3.6</v>
      </c>
      <c r="W805">
        <v>8.1</v>
      </c>
      <c r="X805">
        <v>6.2</v>
      </c>
      <c r="Y805">
        <v>5.4</v>
      </c>
      <c r="Z805">
        <v>3.2</v>
      </c>
      <c r="AA805">
        <v>4.5999999999999996</v>
      </c>
      <c r="AB805">
        <v>1.8</v>
      </c>
      <c r="AC805">
        <v>6.4</v>
      </c>
      <c r="AD805" t="s">
        <v>53</v>
      </c>
      <c r="AE805" t="str">
        <f>IF(AND(data[[#This Row],[Age]]&gt;=18,data[[#This Row],[Age]]&lt;=24),"18-24",IF(AND(data[[#This Row],[Age]]&gt;=25,data[[#This Row],[Age]]&lt;=34),"25-34",IF(AND(data[[#This Row],[Age]]&gt;35,data[[#This Row],[Age]]&lt;=44),"35-44",IF(data[[#This Row],[Age]]&gt;44,"45+",IF(data[[#This Row],[Age]]&lt;18,"below 18 ")))))</f>
        <v>25-34</v>
      </c>
    </row>
    <row r="806" spans="1:31" x14ac:dyDescent="0.25">
      <c r="A806" t="s">
        <v>859</v>
      </c>
      <c r="B806">
        <v>28</v>
      </c>
      <c r="C806" t="s">
        <v>31</v>
      </c>
      <c r="D806" t="s">
        <v>39</v>
      </c>
      <c r="E806" t="s">
        <v>58</v>
      </c>
      <c r="F806" t="s">
        <v>41</v>
      </c>
      <c r="G806">
        <v>3.6</v>
      </c>
      <c r="H806">
        <v>5</v>
      </c>
      <c r="I806">
        <v>7</v>
      </c>
      <c r="J806" t="s">
        <v>42</v>
      </c>
      <c r="K806" t="s">
        <v>52</v>
      </c>
      <c r="L806">
        <v>40</v>
      </c>
      <c r="M806">
        <v>6</v>
      </c>
      <c r="N806">
        <v>6.4</v>
      </c>
      <c r="O806">
        <v>10</v>
      </c>
      <c r="P806">
        <v>6</v>
      </c>
      <c r="R806" t="s">
        <v>42</v>
      </c>
      <c r="S806">
        <v>7</v>
      </c>
      <c r="T806">
        <v>4.9000000000000004</v>
      </c>
      <c r="U806">
        <v>7.2</v>
      </c>
      <c r="V806">
        <v>4.9000000000000004</v>
      </c>
      <c r="X806">
        <v>9</v>
      </c>
      <c r="Y806">
        <v>1</v>
      </c>
      <c r="Z806">
        <v>5.0999999999999996</v>
      </c>
      <c r="AA806">
        <v>0</v>
      </c>
      <c r="AB806">
        <v>0</v>
      </c>
      <c r="AC806">
        <v>3.2</v>
      </c>
      <c r="AD806" t="s">
        <v>43</v>
      </c>
      <c r="AE806" t="str">
        <f>IF(AND(data[[#This Row],[Age]]&gt;=18,data[[#This Row],[Age]]&lt;=24),"18-24",IF(AND(data[[#This Row],[Age]]&gt;=25,data[[#This Row],[Age]]&lt;=34),"25-34",IF(AND(data[[#This Row],[Age]]&gt;35,data[[#This Row],[Age]]&lt;=44),"35-44",IF(data[[#This Row],[Age]]&gt;44,"45+",IF(data[[#This Row],[Age]]&lt;18,"below 18 ")))))</f>
        <v>25-34</v>
      </c>
    </row>
    <row r="807" spans="1:31" x14ac:dyDescent="0.25">
      <c r="A807" t="s">
        <v>860</v>
      </c>
      <c r="B807">
        <v>32</v>
      </c>
      <c r="C807" t="s">
        <v>31</v>
      </c>
      <c r="D807" t="s">
        <v>64</v>
      </c>
      <c r="E807" t="s">
        <v>40</v>
      </c>
      <c r="F807" t="s">
        <v>51</v>
      </c>
      <c r="G807">
        <v>2.9</v>
      </c>
      <c r="H807">
        <v>2</v>
      </c>
      <c r="I807">
        <v>7</v>
      </c>
      <c r="J807" t="s">
        <v>42</v>
      </c>
      <c r="K807" t="s">
        <v>36</v>
      </c>
      <c r="L807">
        <v>106</v>
      </c>
      <c r="M807">
        <v>7.8</v>
      </c>
      <c r="N807">
        <v>5.0999999999999996</v>
      </c>
      <c r="O807">
        <v>7.4</v>
      </c>
      <c r="P807">
        <v>0</v>
      </c>
      <c r="Q807" t="s">
        <v>35</v>
      </c>
      <c r="R807" t="s">
        <v>42</v>
      </c>
      <c r="S807">
        <v>7.7</v>
      </c>
      <c r="T807">
        <v>3.8</v>
      </c>
      <c r="U807">
        <v>1.5</v>
      </c>
      <c r="V807">
        <v>6.5</v>
      </c>
      <c r="W807">
        <v>6.2</v>
      </c>
      <c r="X807">
        <v>5.2</v>
      </c>
      <c r="Y807">
        <v>5.2</v>
      </c>
      <c r="Z807">
        <v>6</v>
      </c>
      <c r="AA807">
        <v>3.3</v>
      </c>
      <c r="AB807">
        <v>2.1</v>
      </c>
      <c r="AC807">
        <v>4.9000000000000004</v>
      </c>
      <c r="AD807" t="s">
        <v>43</v>
      </c>
      <c r="AE807" t="str">
        <f>IF(AND(data[[#This Row],[Age]]&gt;=18,data[[#This Row],[Age]]&lt;=24),"18-24",IF(AND(data[[#This Row],[Age]]&gt;=25,data[[#This Row],[Age]]&lt;=34),"25-34",IF(AND(data[[#This Row],[Age]]&gt;35,data[[#This Row],[Age]]&lt;=44),"35-44",IF(data[[#This Row],[Age]]&gt;44,"45+",IF(data[[#This Row],[Age]]&lt;18,"below 18 ")))))</f>
        <v>25-34</v>
      </c>
    </row>
    <row r="808" spans="1:31" x14ac:dyDescent="0.25">
      <c r="A808" t="s">
        <v>861</v>
      </c>
      <c r="B808">
        <v>38</v>
      </c>
      <c r="C808" t="s">
        <v>31</v>
      </c>
      <c r="D808" t="s">
        <v>39</v>
      </c>
      <c r="E808" t="s">
        <v>58</v>
      </c>
      <c r="F808" t="s">
        <v>70</v>
      </c>
      <c r="G808">
        <v>4.9000000000000004</v>
      </c>
      <c r="H808">
        <v>3</v>
      </c>
      <c r="I808">
        <v>5</v>
      </c>
      <c r="J808" t="s">
        <v>42</v>
      </c>
      <c r="K808" t="s">
        <v>36</v>
      </c>
      <c r="L808">
        <v>121</v>
      </c>
      <c r="M808">
        <v>5.9</v>
      </c>
      <c r="N808">
        <v>5.9</v>
      </c>
      <c r="O808">
        <v>5.4</v>
      </c>
      <c r="P808">
        <v>5.0999999999999996</v>
      </c>
      <c r="Q808" t="s">
        <v>35</v>
      </c>
      <c r="R808" t="s">
        <v>35</v>
      </c>
      <c r="S808">
        <v>3.9</v>
      </c>
      <c r="T808">
        <v>4.8</v>
      </c>
      <c r="U808">
        <v>3.8</v>
      </c>
      <c r="V808">
        <v>5.7</v>
      </c>
      <c r="W808">
        <v>6.9</v>
      </c>
      <c r="X808">
        <v>5.0999999999999996</v>
      </c>
      <c r="Y808">
        <v>5.3</v>
      </c>
      <c r="Z808">
        <v>4.0999999999999996</v>
      </c>
      <c r="AA808">
        <v>0.1</v>
      </c>
      <c r="AB808">
        <v>6.2</v>
      </c>
      <c r="AC808">
        <v>5.6</v>
      </c>
      <c r="AD808" t="s">
        <v>45</v>
      </c>
      <c r="AE808" t="str">
        <f>IF(AND(data[[#This Row],[Age]]&gt;=18,data[[#This Row],[Age]]&lt;=24),"18-24",IF(AND(data[[#This Row],[Age]]&gt;=25,data[[#This Row],[Age]]&lt;=34),"25-34",IF(AND(data[[#This Row],[Age]]&gt;35,data[[#This Row],[Age]]&lt;=44),"35-44",IF(data[[#This Row],[Age]]&gt;44,"45+",IF(data[[#This Row],[Age]]&lt;18,"below 18 ")))))</f>
        <v>35-44</v>
      </c>
    </row>
    <row r="809" spans="1:31" x14ac:dyDescent="0.25">
      <c r="A809" t="s">
        <v>862</v>
      </c>
      <c r="B809">
        <v>29</v>
      </c>
      <c r="C809" t="s">
        <v>31</v>
      </c>
      <c r="D809" t="s">
        <v>39</v>
      </c>
      <c r="E809" t="s">
        <v>58</v>
      </c>
      <c r="F809" t="s">
        <v>41</v>
      </c>
      <c r="G809">
        <v>4.8</v>
      </c>
      <c r="H809">
        <v>4</v>
      </c>
      <c r="I809">
        <v>5</v>
      </c>
      <c r="J809" t="s">
        <v>35</v>
      </c>
      <c r="K809" t="s">
        <v>62</v>
      </c>
      <c r="L809">
        <v>115</v>
      </c>
      <c r="M809">
        <v>6.6</v>
      </c>
      <c r="N809">
        <v>4.5999999999999996</v>
      </c>
      <c r="O809">
        <v>6.9</v>
      </c>
      <c r="P809">
        <v>10</v>
      </c>
      <c r="Q809" t="s">
        <v>42</v>
      </c>
      <c r="R809" t="s">
        <v>42</v>
      </c>
      <c r="S809">
        <v>7.3</v>
      </c>
      <c r="T809">
        <v>7.6</v>
      </c>
      <c r="U809">
        <v>7.2</v>
      </c>
      <c r="V809">
        <v>5.7</v>
      </c>
      <c r="W809">
        <v>2.1</v>
      </c>
      <c r="X809">
        <v>8</v>
      </c>
      <c r="Y809">
        <v>2.8</v>
      </c>
      <c r="Z809">
        <v>2.6</v>
      </c>
      <c r="AA809">
        <v>3.2</v>
      </c>
      <c r="AB809">
        <v>4.3</v>
      </c>
      <c r="AC809">
        <v>5.2</v>
      </c>
      <c r="AD809" t="s">
        <v>43</v>
      </c>
      <c r="AE809" t="str">
        <f>IF(AND(data[[#This Row],[Age]]&gt;=18,data[[#This Row],[Age]]&lt;=24),"18-24",IF(AND(data[[#This Row],[Age]]&gt;=25,data[[#This Row],[Age]]&lt;=34),"25-34",IF(AND(data[[#This Row],[Age]]&gt;35,data[[#This Row],[Age]]&lt;=44),"35-44",IF(data[[#This Row],[Age]]&gt;44,"45+",IF(data[[#This Row],[Age]]&lt;18,"below 18 ")))))</f>
        <v>25-34</v>
      </c>
    </row>
    <row r="810" spans="1:31" x14ac:dyDescent="0.25">
      <c r="A810" t="s">
        <v>863</v>
      </c>
      <c r="B810">
        <v>32</v>
      </c>
      <c r="C810" t="s">
        <v>31</v>
      </c>
      <c r="D810" t="s">
        <v>64</v>
      </c>
      <c r="E810" t="s">
        <v>33</v>
      </c>
      <c r="F810" t="s">
        <v>41</v>
      </c>
      <c r="G810">
        <v>4.4000000000000004</v>
      </c>
      <c r="H810">
        <v>5</v>
      </c>
      <c r="I810">
        <v>4</v>
      </c>
      <c r="J810" t="s">
        <v>42</v>
      </c>
      <c r="K810" t="s">
        <v>52</v>
      </c>
      <c r="L810">
        <v>43</v>
      </c>
      <c r="M810">
        <v>5.5</v>
      </c>
      <c r="N810">
        <v>7.3</v>
      </c>
      <c r="O810">
        <v>4.7</v>
      </c>
      <c r="P810">
        <v>6.2</v>
      </c>
      <c r="Q810" t="s">
        <v>42</v>
      </c>
      <c r="R810" t="s">
        <v>35</v>
      </c>
      <c r="S810">
        <v>5.7</v>
      </c>
      <c r="T810">
        <v>2.8</v>
      </c>
      <c r="U810">
        <v>2.2000000000000002</v>
      </c>
      <c r="V810">
        <v>5.4</v>
      </c>
      <c r="W810">
        <v>8.1</v>
      </c>
      <c r="X810">
        <v>6.7</v>
      </c>
      <c r="Y810">
        <v>3.7</v>
      </c>
      <c r="Z810">
        <v>5.8</v>
      </c>
      <c r="AA810">
        <v>1.6</v>
      </c>
      <c r="AB810">
        <v>1.1000000000000001</v>
      </c>
      <c r="AC810">
        <v>5.9</v>
      </c>
      <c r="AD810" t="s">
        <v>45</v>
      </c>
      <c r="AE810" t="str">
        <f>IF(AND(data[[#This Row],[Age]]&gt;=18,data[[#This Row],[Age]]&lt;=24),"18-24",IF(AND(data[[#This Row],[Age]]&gt;=25,data[[#This Row],[Age]]&lt;=34),"25-34",IF(AND(data[[#This Row],[Age]]&gt;35,data[[#This Row],[Age]]&lt;=44),"35-44",IF(data[[#This Row],[Age]]&gt;44,"45+",IF(data[[#This Row],[Age]]&lt;18,"below 18 ")))))</f>
        <v>25-34</v>
      </c>
    </row>
    <row r="811" spans="1:31" x14ac:dyDescent="0.25">
      <c r="A811" t="s">
        <v>864</v>
      </c>
      <c r="B811">
        <v>17</v>
      </c>
      <c r="C811" t="s">
        <v>50</v>
      </c>
      <c r="D811" t="s">
        <v>39</v>
      </c>
      <c r="E811" t="s">
        <v>33</v>
      </c>
      <c r="F811" t="s">
        <v>70</v>
      </c>
      <c r="G811">
        <v>7.1</v>
      </c>
      <c r="H811">
        <v>2</v>
      </c>
      <c r="I811">
        <v>2</v>
      </c>
      <c r="J811" t="s">
        <v>35</v>
      </c>
      <c r="K811" t="s">
        <v>62</v>
      </c>
      <c r="L811">
        <v>81</v>
      </c>
      <c r="M811">
        <v>4.5</v>
      </c>
      <c r="N811">
        <v>4.2</v>
      </c>
      <c r="O811">
        <v>5.3</v>
      </c>
      <c r="P811">
        <v>5.5</v>
      </c>
      <c r="Q811" t="s">
        <v>42</v>
      </c>
      <c r="R811" t="s">
        <v>35</v>
      </c>
      <c r="S811">
        <v>5.8</v>
      </c>
      <c r="T811">
        <v>5.2</v>
      </c>
      <c r="U811">
        <v>4.7</v>
      </c>
      <c r="V811">
        <v>5.2</v>
      </c>
      <c r="W811">
        <v>4.7</v>
      </c>
      <c r="X811">
        <v>9.1</v>
      </c>
      <c r="Y811">
        <v>7</v>
      </c>
      <c r="Z811">
        <v>6</v>
      </c>
      <c r="AA811">
        <v>5.9</v>
      </c>
      <c r="AB811">
        <v>5.6</v>
      </c>
      <c r="AC811">
        <v>8.5</v>
      </c>
      <c r="AD811" t="s">
        <v>37</v>
      </c>
      <c r="AE811" t="str">
        <f>IF(AND(data[[#This Row],[Age]]&gt;=18,data[[#This Row],[Age]]&lt;=24),"18-24",IF(AND(data[[#This Row],[Age]]&gt;=25,data[[#This Row],[Age]]&lt;=34),"25-34",IF(AND(data[[#This Row],[Age]]&gt;35,data[[#This Row],[Age]]&lt;=44),"35-44",IF(data[[#This Row],[Age]]&gt;44,"45+",IF(data[[#This Row],[Age]]&lt;18,"below 18 ")))))</f>
        <v xml:space="preserve">below 18 </v>
      </c>
    </row>
    <row r="812" spans="1:31" x14ac:dyDescent="0.25">
      <c r="A812" t="s">
        <v>865</v>
      </c>
      <c r="B812">
        <v>23</v>
      </c>
      <c r="C812" t="s">
        <v>47</v>
      </c>
      <c r="D812" t="s">
        <v>64</v>
      </c>
      <c r="E812" t="s">
        <v>58</v>
      </c>
      <c r="F812" t="s">
        <v>41</v>
      </c>
      <c r="G812">
        <v>2.2999999999999998</v>
      </c>
      <c r="H812">
        <v>2</v>
      </c>
      <c r="I812">
        <v>2</v>
      </c>
      <c r="J812" t="s">
        <v>35</v>
      </c>
      <c r="K812" t="s">
        <v>62</v>
      </c>
      <c r="L812">
        <v>131</v>
      </c>
      <c r="M812">
        <v>6</v>
      </c>
      <c r="N812">
        <v>4.3</v>
      </c>
      <c r="O812">
        <v>6</v>
      </c>
      <c r="P812">
        <v>7.9</v>
      </c>
      <c r="Q812" t="s">
        <v>35</v>
      </c>
      <c r="R812" t="s">
        <v>42</v>
      </c>
      <c r="S812">
        <v>6.1</v>
      </c>
      <c r="T812">
        <v>3</v>
      </c>
      <c r="U812">
        <v>3.2</v>
      </c>
      <c r="V812">
        <v>2.7</v>
      </c>
      <c r="W812">
        <v>4.5</v>
      </c>
      <c r="X812">
        <v>5.8</v>
      </c>
      <c r="Y812">
        <v>3.8</v>
      </c>
      <c r="Z812">
        <v>7.2</v>
      </c>
      <c r="AA812">
        <v>3.1</v>
      </c>
      <c r="AB812">
        <v>2.4</v>
      </c>
      <c r="AC812">
        <v>6.2</v>
      </c>
      <c r="AD812" t="s">
        <v>45</v>
      </c>
      <c r="AE812" t="str">
        <f>IF(AND(data[[#This Row],[Age]]&gt;=18,data[[#This Row],[Age]]&lt;=24),"18-24",IF(AND(data[[#This Row],[Age]]&gt;=25,data[[#This Row],[Age]]&lt;=34),"25-34",IF(AND(data[[#This Row],[Age]]&gt;35,data[[#This Row],[Age]]&lt;=44),"35-44",IF(data[[#This Row],[Age]]&gt;44,"45+",IF(data[[#This Row],[Age]]&lt;18,"below 18 ")))))</f>
        <v>18-24</v>
      </c>
    </row>
    <row r="813" spans="1:31" x14ac:dyDescent="0.25">
      <c r="A813" t="s">
        <v>866</v>
      </c>
      <c r="B813">
        <v>37</v>
      </c>
      <c r="D813" t="s">
        <v>39</v>
      </c>
      <c r="E813" t="s">
        <v>58</v>
      </c>
      <c r="F813" t="s">
        <v>34</v>
      </c>
      <c r="G813">
        <v>5</v>
      </c>
      <c r="H813">
        <v>1</v>
      </c>
      <c r="I813">
        <v>3</v>
      </c>
      <c r="J813" t="s">
        <v>35</v>
      </c>
      <c r="K813" t="s">
        <v>62</v>
      </c>
      <c r="L813">
        <v>97</v>
      </c>
      <c r="M813">
        <v>3.7</v>
      </c>
      <c r="N813">
        <v>6.2</v>
      </c>
      <c r="O813">
        <v>3</v>
      </c>
      <c r="P813">
        <v>2.8</v>
      </c>
      <c r="Q813" t="s">
        <v>42</v>
      </c>
      <c r="R813" t="s">
        <v>42</v>
      </c>
      <c r="S813">
        <v>4.0999999999999996</v>
      </c>
      <c r="T813">
        <v>5.4</v>
      </c>
      <c r="U813">
        <v>4.2</v>
      </c>
      <c r="V813">
        <v>4.5999999999999996</v>
      </c>
      <c r="W813">
        <v>4.8</v>
      </c>
      <c r="X813">
        <v>5.7</v>
      </c>
      <c r="Y813">
        <v>2.9</v>
      </c>
      <c r="Z813">
        <v>6.6</v>
      </c>
      <c r="AA813">
        <v>0</v>
      </c>
      <c r="AB813">
        <v>3.7</v>
      </c>
      <c r="AC813">
        <v>8.3000000000000007</v>
      </c>
      <c r="AD813" t="s">
        <v>37</v>
      </c>
      <c r="AE813" t="str">
        <f>IF(AND(data[[#This Row],[Age]]&gt;=18,data[[#This Row],[Age]]&lt;=24),"18-24",IF(AND(data[[#This Row],[Age]]&gt;=25,data[[#This Row],[Age]]&lt;=34),"25-34",IF(AND(data[[#This Row],[Age]]&gt;35,data[[#This Row],[Age]]&lt;=44),"35-44",IF(data[[#This Row],[Age]]&gt;44,"45+",IF(data[[#This Row],[Age]]&lt;18,"below 18 ")))))</f>
        <v>35-44</v>
      </c>
    </row>
    <row r="814" spans="1:31" x14ac:dyDescent="0.25">
      <c r="A814" t="s">
        <v>867</v>
      </c>
      <c r="B814">
        <v>28</v>
      </c>
      <c r="C814" t="s">
        <v>50</v>
      </c>
      <c r="D814" t="s">
        <v>39</v>
      </c>
      <c r="E814" t="s">
        <v>58</v>
      </c>
      <c r="F814" t="s">
        <v>41</v>
      </c>
      <c r="G814">
        <v>6.7</v>
      </c>
      <c r="H814">
        <v>1</v>
      </c>
      <c r="I814">
        <v>2</v>
      </c>
      <c r="J814" t="s">
        <v>35</v>
      </c>
      <c r="K814" t="s">
        <v>36</v>
      </c>
      <c r="L814">
        <v>66</v>
      </c>
      <c r="M814">
        <v>1.9</v>
      </c>
      <c r="N814">
        <v>7.8</v>
      </c>
      <c r="O814">
        <v>8.1999999999999993</v>
      </c>
      <c r="P814">
        <v>4</v>
      </c>
      <c r="Q814" t="s">
        <v>42</v>
      </c>
      <c r="R814" t="s">
        <v>35</v>
      </c>
      <c r="S814">
        <v>7.1</v>
      </c>
      <c r="T814">
        <v>7.4</v>
      </c>
      <c r="U814">
        <v>2.5</v>
      </c>
      <c r="V814">
        <v>3.4</v>
      </c>
      <c r="W814">
        <v>5</v>
      </c>
      <c r="X814">
        <v>3</v>
      </c>
      <c r="Y814">
        <v>4.8</v>
      </c>
      <c r="Z814">
        <v>5.0999999999999996</v>
      </c>
      <c r="AA814">
        <v>2.2000000000000002</v>
      </c>
      <c r="AB814">
        <v>4.3</v>
      </c>
      <c r="AC814">
        <v>5.0999999999999996</v>
      </c>
      <c r="AD814" t="s">
        <v>45</v>
      </c>
      <c r="AE814" t="str">
        <f>IF(AND(data[[#This Row],[Age]]&gt;=18,data[[#This Row],[Age]]&lt;=24),"18-24",IF(AND(data[[#This Row],[Age]]&gt;=25,data[[#This Row],[Age]]&lt;=34),"25-34",IF(AND(data[[#This Row],[Age]]&gt;35,data[[#This Row],[Age]]&lt;=44),"35-44",IF(data[[#This Row],[Age]]&gt;44,"45+",IF(data[[#This Row],[Age]]&lt;18,"below 18 ")))))</f>
        <v>25-34</v>
      </c>
    </row>
    <row r="815" spans="1:31" x14ac:dyDescent="0.25">
      <c r="A815" t="s">
        <v>868</v>
      </c>
      <c r="B815">
        <v>30</v>
      </c>
      <c r="C815" t="s">
        <v>47</v>
      </c>
      <c r="E815" t="s">
        <v>58</v>
      </c>
      <c r="F815" t="s">
        <v>41</v>
      </c>
      <c r="G815">
        <v>3.5</v>
      </c>
      <c r="H815">
        <v>1</v>
      </c>
      <c r="I815">
        <v>3</v>
      </c>
      <c r="J815" t="s">
        <v>42</v>
      </c>
      <c r="K815" t="s">
        <v>52</v>
      </c>
      <c r="L815">
        <v>110</v>
      </c>
      <c r="M815">
        <v>4.0999999999999996</v>
      </c>
      <c r="N815">
        <v>4.3</v>
      </c>
      <c r="O815">
        <v>0.8</v>
      </c>
      <c r="P815">
        <v>4.5999999999999996</v>
      </c>
      <c r="Q815" t="s">
        <v>35</v>
      </c>
      <c r="R815" t="s">
        <v>42</v>
      </c>
      <c r="S815">
        <v>3</v>
      </c>
      <c r="T815">
        <v>9.1</v>
      </c>
      <c r="U815">
        <v>5.3</v>
      </c>
      <c r="V815">
        <v>2.2000000000000002</v>
      </c>
      <c r="W815">
        <v>5.9</v>
      </c>
      <c r="X815">
        <v>4.7</v>
      </c>
      <c r="Y815">
        <v>4.3</v>
      </c>
      <c r="Z815">
        <v>5.9</v>
      </c>
      <c r="AA815">
        <v>3.5</v>
      </c>
      <c r="AB815">
        <v>1.1000000000000001</v>
      </c>
      <c r="AC815">
        <v>7.3</v>
      </c>
      <c r="AD815" t="s">
        <v>37</v>
      </c>
      <c r="AE815" t="str">
        <f>IF(AND(data[[#This Row],[Age]]&gt;=18,data[[#This Row],[Age]]&lt;=24),"18-24",IF(AND(data[[#This Row],[Age]]&gt;=25,data[[#This Row],[Age]]&lt;=34),"25-34",IF(AND(data[[#This Row],[Age]]&gt;35,data[[#This Row],[Age]]&lt;=44),"35-44",IF(data[[#This Row],[Age]]&gt;44,"45+",IF(data[[#This Row],[Age]]&lt;18,"below 18 ")))))</f>
        <v>25-34</v>
      </c>
    </row>
    <row r="816" spans="1:31" x14ac:dyDescent="0.25">
      <c r="A816" t="s">
        <v>869</v>
      </c>
      <c r="B816">
        <v>20</v>
      </c>
      <c r="C816" t="s">
        <v>47</v>
      </c>
      <c r="D816" t="s">
        <v>32</v>
      </c>
      <c r="E816" t="s">
        <v>58</v>
      </c>
      <c r="F816" t="s">
        <v>48</v>
      </c>
      <c r="G816">
        <v>4.8</v>
      </c>
      <c r="H816">
        <v>5</v>
      </c>
      <c r="I816">
        <v>5</v>
      </c>
      <c r="J816" t="s">
        <v>42</v>
      </c>
      <c r="K816" t="s">
        <v>36</v>
      </c>
      <c r="L816">
        <v>66</v>
      </c>
      <c r="M816">
        <v>7.1</v>
      </c>
      <c r="N816">
        <v>3.4</v>
      </c>
      <c r="O816">
        <v>3.9</v>
      </c>
      <c r="P816">
        <v>2</v>
      </c>
      <c r="Q816" t="s">
        <v>42</v>
      </c>
      <c r="R816" t="s">
        <v>42</v>
      </c>
      <c r="S816">
        <v>5.8</v>
      </c>
      <c r="T816">
        <v>6.4</v>
      </c>
      <c r="U816">
        <v>5.7</v>
      </c>
      <c r="V816">
        <v>4.4000000000000004</v>
      </c>
      <c r="W816">
        <v>4.2</v>
      </c>
      <c r="X816">
        <v>8.6</v>
      </c>
      <c r="Y816">
        <v>2.5</v>
      </c>
      <c r="Z816">
        <v>5.2</v>
      </c>
      <c r="AA816">
        <v>3.5</v>
      </c>
      <c r="AB816">
        <v>0</v>
      </c>
      <c r="AC816">
        <v>5.6</v>
      </c>
      <c r="AD816" t="s">
        <v>45</v>
      </c>
      <c r="AE816" t="str">
        <f>IF(AND(data[[#This Row],[Age]]&gt;=18,data[[#This Row],[Age]]&lt;=24),"18-24",IF(AND(data[[#This Row],[Age]]&gt;=25,data[[#This Row],[Age]]&lt;=34),"25-34",IF(AND(data[[#This Row],[Age]]&gt;35,data[[#This Row],[Age]]&lt;=44),"35-44",IF(data[[#This Row],[Age]]&gt;44,"45+",IF(data[[#This Row],[Age]]&lt;18,"below 18 ")))))</f>
        <v>18-24</v>
      </c>
    </row>
    <row r="817" spans="1:31" x14ac:dyDescent="0.25">
      <c r="A817" t="s">
        <v>870</v>
      </c>
      <c r="B817">
        <v>37</v>
      </c>
      <c r="C817" t="s">
        <v>31</v>
      </c>
      <c r="D817" t="s">
        <v>39</v>
      </c>
      <c r="E817" t="s">
        <v>58</v>
      </c>
      <c r="F817" t="s">
        <v>41</v>
      </c>
      <c r="G817">
        <v>5.9</v>
      </c>
      <c r="H817">
        <v>3</v>
      </c>
      <c r="I817">
        <v>4</v>
      </c>
      <c r="J817" t="s">
        <v>42</v>
      </c>
      <c r="K817" t="s">
        <v>52</v>
      </c>
      <c r="L817">
        <v>81</v>
      </c>
      <c r="M817">
        <v>8.3000000000000007</v>
      </c>
      <c r="N817">
        <v>6.6</v>
      </c>
      <c r="O817">
        <v>3</v>
      </c>
      <c r="P817">
        <v>4.9000000000000004</v>
      </c>
      <c r="Q817" t="s">
        <v>42</v>
      </c>
      <c r="R817" t="s">
        <v>35</v>
      </c>
      <c r="S817">
        <v>4.0999999999999996</v>
      </c>
      <c r="T817">
        <v>5.8</v>
      </c>
      <c r="U817">
        <v>2.7</v>
      </c>
      <c r="V817">
        <v>6.1</v>
      </c>
      <c r="W817">
        <v>4.5999999999999996</v>
      </c>
      <c r="X817">
        <v>7.2</v>
      </c>
      <c r="Y817">
        <v>5.3</v>
      </c>
      <c r="Z817">
        <v>5.0999999999999996</v>
      </c>
      <c r="AA817">
        <v>1.7</v>
      </c>
      <c r="AB817">
        <v>0.9</v>
      </c>
      <c r="AC817">
        <v>5.5</v>
      </c>
      <c r="AD817" t="s">
        <v>45</v>
      </c>
      <c r="AE817" t="str">
        <f>IF(AND(data[[#This Row],[Age]]&gt;=18,data[[#This Row],[Age]]&lt;=24),"18-24",IF(AND(data[[#This Row],[Age]]&gt;=25,data[[#This Row],[Age]]&lt;=34),"25-34",IF(AND(data[[#This Row],[Age]]&gt;35,data[[#This Row],[Age]]&lt;=44),"35-44",IF(data[[#This Row],[Age]]&gt;44,"45+",IF(data[[#This Row],[Age]]&lt;18,"below 18 ")))))</f>
        <v>35-44</v>
      </c>
    </row>
    <row r="818" spans="1:31" x14ac:dyDescent="0.25">
      <c r="A818" t="s">
        <v>871</v>
      </c>
      <c r="B818">
        <v>23</v>
      </c>
      <c r="D818" t="s">
        <v>57</v>
      </c>
      <c r="E818" t="s">
        <v>33</v>
      </c>
      <c r="F818" t="s">
        <v>48</v>
      </c>
      <c r="G818">
        <v>5.6</v>
      </c>
      <c r="H818">
        <v>2</v>
      </c>
      <c r="I818">
        <v>6</v>
      </c>
      <c r="J818" t="s">
        <v>35</v>
      </c>
      <c r="K818" t="s">
        <v>62</v>
      </c>
      <c r="L818">
        <v>86</v>
      </c>
      <c r="M818">
        <v>3.3</v>
      </c>
      <c r="N818">
        <v>4.8</v>
      </c>
      <c r="O818">
        <v>1.6</v>
      </c>
      <c r="P818">
        <v>6.5</v>
      </c>
      <c r="Q818" t="s">
        <v>42</v>
      </c>
      <c r="R818" t="s">
        <v>35</v>
      </c>
      <c r="S818">
        <v>4.4000000000000004</v>
      </c>
      <c r="T818">
        <v>0.3</v>
      </c>
      <c r="U818">
        <v>4.3</v>
      </c>
      <c r="V818">
        <v>3.9</v>
      </c>
      <c r="W818">
        <v>5</v>
      </c>
      <c r="X818">
        <v>8.1999999999999993</v>
      </c>
      <c r="Y818">
        <v>6.7</v>
      </c>
      <c r="Z818">
        <v>6.4</v>
      </c>
      <c r="AA818">
        <v>5.4</v>
      </c>
      <c r="AB818">
        <v>3.7</v>
      </c>
      <c r="AC818">
        <v>8.1</v>
      </c>
      <c r="AD818" t="s">
        <v>37</v>
      </c>
      <c r="AE818" t="str">
        <f>IF(AND(data[[#This Row],[Age]]&gt;=18,data[[#This Row],[Age]]&lt;=24),"18-24",IF(AND(data[[#This Row],[Age]]&gt;=25,data[[#This Row],[Age]]&lt;=34),"25-34",IF(AND(data[[#This Row],[Age]]&gt;35,data[[#This Row],[Age]]&lt;=44),"35-44",IF(data[[#This Row],[Age]]&gt;44,"45+",IF(data[[#This Row],[Age]]&lt;18,"below 18 ")))))</f>
        <v>18-24</v>
      </c>
    </row>
    <row r="819" spans="1:31" x14ac:dyDescent="0.25">
      <c r="A819" t="s">
        <v>872</v>
      </c>
      <c r="B819">
        <v>34</v>
      </c>
      <c r="C819" t="s">
        <v>47</v>
      </c>
      <c r="D819" t="s">
        <v>39</v>
      </c>
      <c r="E819" t="s">
        <v>33</v>
      </c>
      <c r="F819" t="s">
        <v>59</v>
      </c>
      <c r="G819">
        <v>4.5</v>
      </c>
      <c r="H819">
        <v>5</v>
      </c>
      <c r="I819">
        <v>8</v>
      </c>
      <c r="J819" t="s">
        <v>42</v>
      </c>
      <c r="K819" t="s">
        <v>52</v>
      </c>
      <c r="L819">
        <v>75</v>
      </c>
      <c r="N819">
        <v>5.9</v>
      </c>
      <c r="O819">
        <v>1.5</v>
      </c>
      <c r="P819">
        <v>6.7</v>
      </c>
      <c r="Q819" t="s">
        <v>35</v>
      </c>
      <c r="R819" t="s">
        <v>42</v>
      </c>
      <c r="T819">
        <v>8.8000000000000007</v>
      </c>
      <c r="U819">
        <v>8.1999999999999993</v>
      </c>
      <c r="V819">
        <v>5.8</v>
      </c>
      <c r="W819">
        <v>10</v>
      </c>
      <c r="X819">
        <v>7.6</v>
      </c>
      <c r="Y819">
        <v>4.4000000000000004</v>
      </c>
      <c r="Z819">
        <v>5.7</v>
      </c>
      <c r="AA819">
        <v>5.8</v>
      </c>
      <c r="AB819">
        <v>5.7</v>
      </c>
      <c r="AC819">
        <v>6.2</v>
      </c>
      <c r="AD819" t="s">
        <v>53</v>
      </c>
      <c r="AE819" t="str">
        <f>IF(AND(data[[#This Row],[Age]]&gt;=18,data[[#This Row],[Age]]&lt;=24),"18-24",IF(AND(data[[#This Row],[Age]]&gt;=25,data[[#This Row],[Age]]&lt;=34),"25-34",IF(AND(data[[#This Row],[Age]]&gt;35,data[[#This Row],[Age]]&lt;=44),"35-44",IF(data[[#This Row],[Age]]&gt;44,"45+",IF(data[[#This Row],[Age]]&lt;18,"below 18 ")))))</f>
        <v>25-34</v>
      </c>
    </row>
    <row r="820" spans="1:31" x14ac:dyDescent="0.25">
      <c r="A820" t="s">
        <v>873</v>
      </c>
      <c r="B820">
        <v>33</v>
      </c>
      <c r="C820" t="s">
        <v>47</v>
      </c>
      <c r="D820" t="s">
        <v>32</v>
      </c>
      <c r="E820" t="s">
        <v>33</v>
      </c>
      <c r="F820" t="s">
        <v>51</v>
      </c>
      <c r="G820">
        <v>1.8</v>
      </c>
      <c r="H820">
        <v>1</v>
      </c>
      <c r="I820">
        <v>2</v>
      </c>
      <c r="J820" t="s">
        <v>35</v>
      </c>
      <c r="K820" t="s">
        <v>52</v>
      </c>
      <c r="L820">
        <v>44</v>
      </c>
      <c r="M820">
        <v>7.8</v>
      </c>
      <c r="N820">
        <v>5.8</v>
      </c>
      <c r="O820">
        <v>8.4</v>
      </c>
      <c r="P820">
        <v>4.3</v>
      </c>
      <c r="Q820" t="s">
        <v>35</v>
      </c>
      <c r="R820" t="s">
        <v>42</v>
      </c>
      <c r="S820">
        <v>4.5</v>
      </c>
      <c r="T820">
        <v>5.0999999999999996</v>
      </c>
      <c r="U820">
        <v>3.6</v>
      </c>
      <c r="V820">
        <v>8.4</v>
      </c>
      <c r="W820">
        <v>5.4</v>
      </c>
      <c r="X820">
        <v>3</v>
      </c>
      <c r="Y820">
        <v>4</v>
      </c>
      <c r="Z820">
        <v>6.1</v>
      </c>
      <c r="AA820">
        <v>0</v>
      </c>
      <c r="AB820">
        <v>3.9</v>
      </c>
      <c r="AC820">
        <v>6.5</v>
      </c>
      <c r="AD820" t="s">
        <v>53</v>
      </c>
      <c r="AE820" t="str">
        <f>IF(AND(data[[#This Row],[Age]]&gt;=18,data[[#This Row],[Age]]&lt;=24),"18-24",IF(AND(data[[#This Row],[Age]]&gt;=25,data[[#This Row],[Age]]&lt;=34),"25-34",IF(AND(data[[#This Row],[Age]]&gt;35,data[[#This Row],[Age]]&lt;=44),"35-44",IF(data[[#This Row],[Age]]&gt;44,"45+",IF(data[[#This Row],[Age]]&lt;18,"below 18 ")))))</f>
        <v>25-34</v>
      </c>
    </row>
    <row r="821" spans="1:31" x14ac:dyDescent="0.25">
      <c r="A821" t="s">
        <v>874</v>
      </c>
      <c r="B821">
        <v>16</v>
      </c>
      <c r="C821" t="s">
        <v>31</v>
      </c>
      <c r="D821" t="s">
        <v>57</v>
      </c>
      <c r="E821" t="s">
        <v>40</v>
      </c>
      <c r="F821" t="s">
        <v>41</v>
      </c>
      <c r="G821">
        <v>2.5</v>
      </c>
      <c r="H821">
        <v>2</v>
      </c>
      <c r="I821">
        <v>4</v>
      </c>
      <c r="J821" t="s">
        <v>35</v>
      </c>
      <c r="K821" t="s">
        <v>36</v>
      </c>
      <c r="L821">
        <v>34</v>
      </c>
      <c r="N821">
        <v>2.4</v>
      </c>
      <c r="O821">
        <v>6.3</v>
      </c>
      <c r="P821">
        <v>1.7</v>
      </c>
      <c r="Q821" t="s">
        <v>42</v>
      </c>
      <c r="R821" t="s">
        <v>42</v>
      </c>
      <c r="S821">
        <v>5.8</v>
      </c>
      <c r="T821">
        <v>5.4</v>
      </c>
      <c r="U821">
        <v>4.5999999999999996</v>
      </c>
      <c r="V821">
        <v>4.3</v>
      </c>
      <c r="W821">
        <v>2.6</v>
      </c>
      <c r="X821">
        <v>5.8</v>
      </c>
      <c r="Y821">
        <v>4.0999999999999996</v>
      </c>
      <c r="Z821">
        <v>5.4</v>
      </c>
      <c r="AA821">
        <v>2.4</v>
      </c>
      <c r="AB821">
        <v>2.9</v>
      </c>
      <c r="AC821">
        <v>7.9</v>
      </c>
      <c r="AD821" t="s">
        <v>53</v>
      </c>
      <c r="AE821" t="str">
        <f>IF(AND(data[[#This Row],[Age]]&gt;=18,data[[#This Row],[Age]]&lt;=24),"18-24",IF(AND(data[[#This Row],[Age]]&gt;=25,data[[#This Row],[Age]]&lt;=34),"25-34",IF(AND(data[[#This Row],[Age]]&gt;35,data[[#This Row],[Age]]&lt;=44),"35-44",IF(data[[#This Row],[Age]]&gt;44,"45+",IF(data[[#This Row],[Age]]&lt;18,"below 18 ")))))</f>
        <v xml:space="preserve">below 18 </v>
      </c>
    </row>
    <row r="822" spans="1:31" x14ac:dyDescent="0.25">
      <c r="A822" t="s">
        <v>875</v>
      </c>
      <c r="B822">
        <v>28</v>
      </c>
      <c r="C822" t="s">
        <v>47</v>
      </c>
      <c r="D822" t="s">
        <v>64</v>
      </c>
      <c r="E822" t="s">
        <v>33</v>
      </c>
      <c r="F822" t="s">
        <v>41</v>
      </c>
      <c r="G822">
        <v>4.5</v>
      </c>
      <c r="H822">
        <v>2</v>
      </c>
      <c r="I822">
        <v>4</v>
      </c>
      <c r="J822" t="s">
        <v>42</v>
      </c>
      <c r="K822" t="s">
        <v>52</v>
      </c>
      <c r="L822">
        <v>57</v>
      </c>
      <c r="M822">
        <v>3.2</v>
      </c>
      <c r="N822">
        <v>6.6</v>
      </c>
      <c r="O822">
        <v>4.9000000000000004</v>
      </c>
      <c r="P822">
        <v>6.8</v>
      </c>
      <c r="Q822" t="s">
        <v>42</v>
      </c>
      <c r="R822" t="s">
        <v>35</v>
      </c>
      <c r="S822">
        <v>6.9</v>
      </c>
      <c r="T822">
        <v>7.9</v>
      </c>
      <c r="U822">
        <v>4.8</v>
      </c>
      <c r="V822">
        <v>5.7</v>
      </c>
      <c r="W822">
        <v>3.6</v>
      </c>
      <c r="X822">
        <v>8.1999999999999993</v>
      </c>
      <c r="Y822">
        <v>3</v>
      </c>
      <c r="AA822">
        <v>1.6</v>
      </c>
      <c r="AC822">
        <v>6.9</v>
      </c>
      <c r="AD822" t="s">
        <v>53</v>
      </c>
      <c r="AE822" t="str">
        <f>IF(AND(data[[#This Row],[Age]]&gt;=18,data[[#This Row],[Age]]&lt;=24),"18-24",IF(AND(data[[#This Row],[Age]]&gt;=25,data[[#This Row],[Age]]&lt;=34),"25-34",IF(AND(data[[#This Row],[Age]]&gt;35,data[[#This Row],[Age]]&lt;=44),"35-44",IF(data[[#This Row],[Age]]&gt;44,"45+",IF(data[[#This Row],[Age]]&lt;18,"below 18 ")))))</f>
        <v>25-34</v>
      </c>
    </row>
    <row r="823" spans="1:31" x14ac:dyDescent="0.25">
      <c r="A823" t="s">
        <v>876</v>
      </c>
      <c r="B823">
        <v>36</v>
      </c>
      <c r="C823" t="s">
        <v>31</v>
      </c>
      <c r="D823" t="s">
        <v>32</v>
      </c>
      <c r="E823" t="s">
        <v>58</v>
      </c>
      <c r="F823" t="s">
        <v>51</v>
      </c>
      <c r="G823">
        <v>3.8</v>
      </c>
      <c r="H823">
        <v>3</v>
      </c>
      <c r="I823">
        <v>5</v>
      </c>
      <c r="K823" t="s">
        <v>36</v>
      </c>
      <c r="L823">
        <v>26</v>
      </c>
      <c r="M823">
        <v>6</v>
      </c>
      <c r="N823">
        <v>2.8</v>
      </c>
      <c r="O823">
        <v>2.2000000000000002</v>
      </c>
      <c r="P823">
        <v>5.4</v>
      </c>
      <c r="Q823" t="s">
        <v>42</v>
      </c>
      <c r="R823" t="s">
        <v>35</v>
      </c>
      <c r="S823">
        <v>3.6</v>
      </c>
      <c r="T823">
        <v>5.6</v>
      </c>
      <c r="U823">
        <v>8.6</v>
      </c>
      <c r="V823">
        <v>5.2</v>
      </c>
      <c r="W823">
        <v>2.9</v>
      </c>
      <c r="X823">
        <v>6.5</v>
      </c>
      <c r="Y823">
        <v>7.4</v>
      </c>
      <c r="Z823">
        <v>6.5</v>
      </c>
      <c r="AA823">
        <v>3.1</v>
      </c>
      <c r="AB823">
        <v>3.5</v>
      </c>
      <c r="AC823">
        <v>7.1</v>
      </c>
      <c r="AD823" t="s">
        <v>53</v>
      </c>
      <c r="AE823" t="str">
        <f>IF(AND(data[[#This Row],[Age]]&gt;=18,data[[#This Row],[Age]]&lt;=24),"18-24",IF(AND(data[[#This Row],[Age]]&gt;=25,data[[#This Row],[Age]]&lt;=34),"25-34",IF(AND(data[[#This Row],[Age]]&gt;35,data[[#This Row],[Age]]&lt;=44),"35-44",IF(data[[#This Row],[Age]]&gt;44,"45+",IF(data[[#This Row],[Age]]&lt;18,"below 18 ")))))</f>
        <v>35-44</v>
      </c>
    </row>
    <row r="824" spans="1:31" x14ac:dyDescent="0.25">
      <c r="A824" t="s">
        <v>877</v>
      </c>
      <c r="B824">
        <v>15</v>
      </c>
      <c r="C824" t="s">
        <v>31</v>
      </c>
      <c r="D824" t="s">
        <v>57</v>
      </c>
      <c r="F824" t="s">
        <v>51</v>
      </c>
      <c r="G824">
        <v>3.8</v>
      </c>
      <c r="H824">
        <v>5</v>
      </c>
      <c r="I824">
        <v>4</v>
      </c>
      <c r="J824" t="s">
        <v>35</v>
      </c>
      <c r="K824" t="s">
        <v>52</v>
      </c>
      <c r="L824">
        <v>47</v>
      </c>
      <c r="M824">
        <v>7.6</v>
      </c>
      <c r="N824">
        <v>3.7</v>
      </c>
      <c r="O824">
        <v>4.5</v>
      </c>
      <c r="P824">
        <v>7.3</v>
      </c>
      <c r="Q824" t="s">
        <v>42</v>
      </c>
      <c r="R824" t="s">
        <v>35</v>
      </c>
      <c r="S824">
        <v>3.1</v>
      </c>
      <c r="U824">
        <v>4.5999999999999996</v>
      </c>
      <c r="V824">
        <v>5.7</v>
      </c>
      <c r="W824">
        <v>5.8</v>
      </c>
      <c r="X824">
        <v>7.7</v>
      </c>
      <c r="Y824">
        <v>0.4</v>
      </c>
      <c r="Z824">
        <v>5.4</v>
      </c>
      <c r="AA824">
        <v>5</v>
      </c>
      <c r="AB824">
        <v>3.7</v>
      </c>
      <c r="AC824">
        <v>7.7</v>
      </c>
      <c r="AD824" t="s">
        <v>37</v>
      </c>
      <c r="AE824" t="str">
        <f>IF(AND(data[[#This Row],[Age]]&gt;=18,data[[#This Row],[Age]]&lt;=24),"18-24",IF(AND(data[[#This Row],[Age]]&gt;=25,data[[#This Row],[Age]]&lt;=34),"25-34",IF(AND(data[[#This Row],[Age]]&gt;35,data[[#This Row],[Age]]&lt;=44),"35-44",IF(data[[#This Row],[Age]]&gt;44,"45+",IF(data[[#This Row],[Age]]&lt;18,"below 18 ")))))</f>
        <v xml:space="preserve">below 18 </v>
      </c>
    </row>
    <row r="825" spans="1:31" x14ac:dyDescent="0.25">
      <c r="A825" t="s">
        <v>878</v>
      </c>
      <c r="B825">
        <v>35</v>
      </c>
      <c r="C825" t="s">
        <v>47</v>
      </c>
      <c r="D825" t="s">
        <v>32</v>
      </c>
      <c r="E825" t="s">
        <v>58</v>
      </c>
      <c r="F825" t="s">
        <v>51</v>
      </c>
      <c r="G825">
        <v>3.3</v>
      </c>
      <c r="H825">
        <v>4</v>
      </c>
      <c r="I825">
        <v>3</v>
      </c>
      <c r="K825" t="s">
        <v>36</v>
      </c>
      <c r="L825">
        <v>61</v>
      </c>
      <c r="M825">
        <v>6.9</v>
      </c>
      <c r="N825">
        <v>8</v>
      </c>
      <c r="O825">
        <v>8.5</v>
      </c>
      <c r="P825">
        <v>3.7</v>
      </c>
      <c r="Q825" t="s">
        <v>35</v>
      </c>
      <c r="R825" t="s">
        <v>42</v>
      </c>
      <c r="S825">
        <v>3.8</v>
      </c>
      <c r="T825">
        <v>2.7</v>
      </c>
      <c r="U825">
        <v>6.2</v>
      </c>
      <c r="V825">
        <v>2.2000000000000002</v>
      </c>
      <c r="W825">
        <v>10</v>
      </c>
      <c r="X825">
        <v>7.7</v>
      </c>
      <c r="Y825">
        <v>0</v>
      </c>
      <c r="Z825">
        <v>7.6</v>
      </c>
      <c r="AA825">
        <v>2.7</v>
      </c>
      <c r="AB825">
        <v>1.3</v>
      </c>
      <c r="AC825">
        <v>5.8</v>
      </c>
      <c r="AD825" t="s">
        <v>43</v>
      </c>
      <c r="AE825" t="b">
        <f>IF(AND(data[[#This Row],[Age]]&gt;=18,data[[#This Row],[Age]]&lt;=24),"18-24",IF(AND(data[[#This Row],[Age]]&gt;=25,data[[#This Row],[Age]]&lt;=34),"25-34",IF(AND(data[[#This Row],[Age]]&gt;35,data[[#This Row],[Age]]&lt;=44),"35-44",IF(data[[#This Row],[Age]]&gt;44,"45+",IF(data[[#This Row],[Age]]&lt;18,"below 18 ")))))</f>
        <v>0</v>
      </c>
    </row>
    <row r="826" spans="1:31" x14ac:dyDescent="0.25">
      <c r="A826" t="s">
        <v>879</v>
      </c>
      <c r="B826">
        <v>34</v>
      </c>
      <c r="C826" t="s">
        <v>50</v>
      </c>
      <c r="D826" t="s">
        <v>39</v>
      </c>
      <c r="E826" t="s">
        <v>33</v>
      </c>
      <c r="F826" t="s">
        <v>41</v>
      </c>
      <c r="G826">
        <v>0.7</v>
      </c>
      <c r="H826">
        <v>4</v>
      </c>
      <c r="I826">
        <v>4</v>
      </c>
      <c r="J826" t="s">
        <v>35</v>
      </c>
      <c r="K826" t="s">
        <v>52</v>
      </c>
      <c r="L826">
        <v>66</v>
      </c>
      <c r="M826">
        <v>5.9</v>
      </c>
      <c r="N826">
        <v>7.6</v>
      </c>
      <c r="O826">
        <v>3.9</v>
      </c>
      <c r="P826">
        <v>3.8</v>
      </c>
      <c r="Q826" t="s">
        <v>35</v>
      </c>
      <c r="R826" t="s">
        <v>42</v>
      </c>
      <c r="S826">
        <v>3.3</v>
      </c>
      <c r="T826">
        <v>4.2</v>
      </c>
      <c r="U826">
        <v>5.5</v>
      </c>
      <c r="V826">
        <v>6</v>
      </c>
      <c r="W826">
        <v>6</v>
      </c>
      <c r="X826">
        <v>7.9</v>
      </c>
      <c r="Y826">
        <v>3.1</v>
      </c>
      <c r="Z826">
        <v>5.2</v>
      </c>
      <c r="AA826">
        <v>2.5</v>
      </c>
      <c r="AB826">
        <v>2</v>
      </c>
      <c r="AC826">
        <v>6.8</v>
      </c>
      <c r="AD826" t="s">
        <v>37</v>
      </c>
      <c r="AE826" t="str">
        <f>IF(AND(data[[#This Row],[Age]]&gt;=18,data[[#This Row],[Age]]&lt;=24),"18-24",IF(AND(data[[#This Row],[Age]]&gt;=25,data[[#This Row],[Age]]&lt;=34),"25-34",IF(AND(data[[#This Row],[Age]]&gt;35,data[[#This Row],[Age]]&lt;=44),"35-44",IF(data[[#This Row],[Age]]&gt;44,"45+",IF(data[[#This Row],[Age]]&lt;18,"below 18 ")))))</f>
        <v>25-34</v>
      </c>
    </row>
    <row r="827" spans="1:31" x14ac:dyDescent="0.25">
      <c r="A827" t="s">
        <v>880</v>
      </c>
      <c r="B827">
        <v>22</v>
      </c>
      <c r="C827" t="s">
        <v>50</v>
      </c>
      <c r="D827" t="s">
        <v>57</v>
      </c>
      <c r="E827" t="s">
        <v>58</v>
      </c>
      <c r="F827" t="s">
        <v>41</v>
      </c>
      <c r="G827">
        <v>5.8</v>
      </c>
      <c r="H827">
        <v>2</v>
      </c>
      <c r="I827">
        <v>4</v>
      </c>
      <c r="K827" t="s">
        <v>36</v>
      </c>
      <c r="L827">
        <v>55</v>
      </c>
      <c r="M827">
        <v>7</v>
      </c>
      <c r="N827">
        <v>3.2</v>
      </c>
      <c r="O827">
        <v>4.0999999999999996</v>
      </c>
      <c r="P827">
        <v>7.6</v>
      </c>
      <c r="Q827" t="s">
        <v>35</v>
      </c>
      <c r="R827" t="s">
        <v>42</v>
      </c>
      <c r="S827">
        <v>6.8</v>
      </c>
      <c r="T827">
        <v>8.8000000000000007</v>
      </c>
      <c r="U827">
        <v>6.7</v>
      </c>
      <c r="V827">
        <v>8.1999999999999993</v>
      </c>
      <c r="W827">
        <v>5.8</v>
      </c>
      <c r="X827">
        <v>5.8</v>
      </c>
      <c r="Y827">
        <v>2.6</v>
      </c>
      <c r="Z827">
        <v>9.8000000000000007</v>
      </c>
      <c r="AA827">
        <v>2.9</v>
      </c>
      <c r="AB827">
        <v>4.9000000000000004</v>
      </c>
      <c r="AC827">
        <v>6</v>
      </c>
      <c r="AD827" t="s">
        <v>45</v>
      </c>
      <c r="AE827" t="str">
        <f>IF(AND(data[[#This Row],[Age]]&gt;=18,data[[#This Row],[Age]]&lt;=24),"18-24",IF(AND(data[[#This Row],[Age]]&gt;=25,data[[#This Row],[Age]]&lt;=34),"25-34",IF(AND(data[[#This Row],[Age]]&gt;35,data[[#This Row],[Age]]&lt;=44),"35-44",IF(data[[#This Row],[Age]]&gt;44,"45+",IF(data[[#This Row],[Age]]&lt;18,"below 18 ")))))</f>
        <v>18-24</v>
      </c>
    </row>
    <row r="828" spans="1:31" x14ac:dyDescent="0.25">
      <c r="A828" t="s">
        <v>881</v>
      </c>
      <c r="B828">
        <v>19</v>
      </c>
      <c r="C828" t="s">
        <v>47</v>
      </c>
      <c r="D828" t="s">
        <v>32</v>
      </c>
      <c r="E828" t="s">
        <v>33</v>
      </c>
      <c r="F828" t="s">
        <v>41</v>
      </c>
      <c r="G828">
        <v>2.2000000000000002</v>
      </c>
      <c r="H828">
        <v>3</v>
      </c>
      <c r="I828">
        <v>5</v>
      </c>
      <c r="J828" t="s">
        <v>35</v>
      </c>
      <c r="K828" t="s">
        <v>52</v>
      </c>
      <c r="L828">
        <v>5</v>
      </c>
      <c r="M828">
        <v>7.4</v>
      </c>
      <c r="N828">
        <v>5.4</v>
      </c>
      <c r="O828">
        <v>6.5</v>
      </c>
      <c r="P828">
        <v>7.9</v>
      </c>
      <c r="Q828" t="s">
        <v>35</v>
      </c>
      <c r="R828" t="s">
        <v>42</v>
      </c>
      <c r="T828">
        <v>5.9</v>
      </c>
      <c r="U828">
        <v>2.4</v>
      </c>
      <c r="V828">
        <v>4.5999999999999996</v>
      </c>
      <c r="W828">
        <v>2.9</v>
      </c>
      <c r="X828">
        <v>8.5</v>
      </c>
      <c r="Y828">
        <v>4.2</v>
      </c>
      <c r="Z828">
        <v>5.4</v>
      </c>
      <c r="AA828">
        <v>2.2999999999999998</v>
      </c>
      <c r="AB828">
        <v>3.4</v>
      </c>
      <c r="AC828">
        <v>5.2</v>
      </c>
      <c r="AD828" t="s">
        <v>45</v>
      </c>
      <c r="AE828" t="str">
        <f>IF(AND(data[[#This Row],[Age]]&gt;=18,data[[#This Row],[Age]]&lt;=24),"18-24",IF(AND(data[[#This Row],[Age]]&gt;=25,data[[#This Row],[Age]]&lt;=34),"25-34",IF(AND(data[[#This Row],[Age]]&gt;35,data[[#This Row],[Age]]&lt;=44),"35-44",IF(data[[#This Row],[Age]]&gt;44,"45+",IF(data[[#This Row],[Age]]&lt;18,"below 18 ")))))</f>
        <v>18-24</v>
      </c>
    </row>
    <row r="829" spans="1:31" x14ac:dyDescent="0.25">
      <c r="A829" t="s">
        <v>882</v>
      </c>
      <c r="B829">
        <v>44</v>
      </c>
      <c r="C829" t="s">
        <v>31</v>
      </c>
      <c r="D829" t="s">
        <v>39</v>
      </c>
      <c r="E829" t="s">
        <v>40</v>
      </c>
      <c r="F829" t="s">
        <v>51</v>
      </c>
      <c r="G829">
        <v>7.9</v>
      </c>
      <c r="H829">
        <v>7</v>
      </c>
      <c r="I829">
        <v>1</v>
      </c>
      <c r="J829" t="s">
        <v>35</v>
      </c>
      <c r="K829" t="s">
        <v>36</v>
      </c>
      <c r="L829">
        <v>91</v>
      </c>
      <c r="M829">
        <v>4</v>
      </c>
      <c r="N829">
        <v>7.3</v>
      </c>
      <c r="O829">
        <v>6.3</v>
      </c>
      <c r="P829">
        <v>2.4</v>
      </c>
      <c r="Q829" t="s">
        <v>35</v>
      </c>
      <c r="R829" t="s">
        <v>42</v>
      </c>
      <c r="S829">
        <v>2.2999999999999998</v>
      </c>
      <c r="T829">
        <v>2.2999999999999998</v>
      </c>
      <c r="U829">
        <v>5.4</v>
      </c>
      <c r="V829">
        <v>2.1</v>
      </c>
      <c r="W829">
        <v>7.8</v>
      </c>
      <c r="X829">
        <v>5.7</v>
      </c>
      <c r="Y829">
        <v>3.3</v>
      </c>
      <c r="Z829">
        <v>7.7</v>
      </c>
      <c r="AA829">
        <v>3.5</v>
      </c>
      <c r="AB829">
        <v>5.3</v>
      </c>
      <c r="AC829">
        <v>6</v>
      </c>
      <c r="AD829" t="s">
        <v>45</v>
      </c>
      <c r="AE829" t="str">
        <f>IF(AND(data[[#This Row],[Age]]&gt;=18,data[[#This Row],[Age]]&lt;=24),"18-24",IF(AND(data[[#This Row],[Age]]&gt;=25,data[[#This Row],[Age]]&lt;=34),"25-34",IF(AND(data[[#This Row],[Age]]&gt;35,data[[#This Row],[Age]]&lt;=44),"35-44",IF(data[[#This Row],[Age]]&gt;44,"45+",IF(data[[#This Row],[Age]]&lt;18,"below 18 ")))))</f>
        <v>35-44</v>
      </c>
    </row>
    <row r="830" spans="1:31" x14ac:dyDescent="0.25">
      <c r="A830" t="s">
        <v>883</v>
      </c>
      <c r="B830">
        <v>27</v>
      </c>
      <c r="C830" t="s">
        <v>31</v>
      </c>
      <c r="D830" t="s">
        <v>32</v>
      </c>
      <c r="E830" t="s">
        <v>58</v>
      </c>
      <c r="F830" t="s">
        <v>48</v>
      </c>
      <c r="G830">
        <v>10.5</v>
      </c>
      <c r="H830">
        <v>4</v>
      </c>
      <c r="I830">
        <v>3</v>
      </c>
      <c r="J830" t="s">
        <v>42</v>
      </c>
      <c r="K830" t="s">
        <v>52</v>
      </c>
      <c r="L830">
        <v>87</v>
      </c>
      <c r="M830">
        <v>4.0999999999999996</v>
      </c>
      <c r="N830">
        <v>6.4</v>
      </c>
      <c r="O830">
        <v>3</v>
      </c>
      <c r="P830">
        <v>3.2</v>
      </c>
      <c r="Q830" t="s">
        <v>35</v>
      </c>
      <c r="R830" t="s">
        <v>42</v>
      </c>
      <c r="S830">
        <v>4.3</v>
      </c>
      <c r="T830">
        <v>4.5</v>
      </c>
      <c r="U830">
        <v>2</v>
      </c>
      <c r="V830">
        <v>6.1</v>
      </c>
      <c r="W830">
        <v>5.3</v>
      </c>
      <c r="X830">
        <v>8.5</v>
      </c>
      <c r="Y830">
        <v>4</v>
      </c>
      <c r="Z830">
        <v>4.9000000000000004</v>
      </c>
      <c r="AA830">
        <v>5.0999999999999996</v>
      </c>
      <c r="AB830">
        <v>0</v>
      </c>
      <c r="AC830">
        <v>5.0999999999999996</v>
      </c>
      <c r="AD830" t="s">
        <v>43</v>
      </c>
      <c r="AE830" t="str">
        <f>IF(AND(data[[#This Row],[Age]]&gt;=18,data[[#This Row],[Age]]&lt;=24),"18-24",IF(AND(data[[#This Row],[Age]]&gt;=25,data[[#This Row],[Age]]&lt;=34),"25-34",IF(AND(data[[#This Row],[Age]]&gt;35,data[[#This Row],[Age]]&lt;=44),"35-44",IF(data[[#This Row],[Age]]&gt;44,"45+",IF(data[[#This Row],[Age]]&lt;18,"below 18 ")))))</f>
        <v>25-34</v>
      </c>
    </row>
    <row r="831" spans="1:31" x14ac:dyDescent="0.25">
      <c r="A831" t="s">
        <v>884</v>
      </c>
      <c r="B831">
        <v>19</v>
      </c>
      <c r="C831" t="s">
        <v>47</v>
      </c>
      <c r="D831" t="s">
        <v>39</v>
      </c>
      <c r="E831" t="s">
        <v>40</v>
      </c>
      <c r="F831" t="s">
        <v>41</v>
      </c>
      <c r="G831">
        <v>6.2</v>
      </c>
      <c r="H831">
        <v>6</v>
      </c>
      <c r="I831">
        <v>6</v>
      </c>
      <c r="J831" t="s">
        <v>35</v>
      </c>
      <c r="K831" t="s">
        <v>62</v>
      </c>
      <c r="L831">
        <v>116</v>
      </c>
      <c r="M831">
        <v>5.6</v>
      </c>
      <c r="N831">
        <v>6.8</v>
      </c>
      <c r="O831">
        <v>1.1000000000000001</v>
      </c>
      <c r="P831">
        <v>5.3</v>
      </c>
      <c r="Q831" t="s">
        <v>42</v>
      </c>
      <c r="R831" t="s">
        <v>35</v>
      </c>
      <c r="S831">
        <v>2</v>
      </c>
      <c r="T831">
        <v>5.7</v>
      </c>
      <c r="U831">
        <v>0.3</v>
      </c>
      <c r="V831">
        <v>9</v>
      </c>
      <c r="W831">
        <v>0.3</v>
      </c>
      <c r="X831">
        <v>4.9000000000000004</v>
      </c>
      <c r="Y831">
        <v>4.5999999999999996</v>
      </c>
      <c r="Z831">
        <v>3.6</v>
      </c>
      <c r="AA831">
        <v>4.7</v>
      </c>
      <c r="AC831">
        <v>8</v>
      </c>
      <c r="AD831" t="s">
        <v>37</v>
      </c>
      <c r="AE831" t="str">
        <f>IF(AND(data[[#This Row],[Age]]&gt;=18,data[[#This Row],[Age]]&lt;=24),"18-24",IF(AND(data[[#This Row],[Age]]&gt;=25,data[[#This Row],[Age]]&lt;=34),"25-34",IF(AND(data[[#This Row],[Age]]&gt;35,data[[#This Row],[Age]]&lt;=44),"35-44",IF(data[[#This Row],[Age]]&gt;44,"45+",IF(data[[#This Row],[Age]]&lt;18,"below 18 ")))))</f>
        <v>18-24</v>
      </c>
    </row>
    <row r="832" spans="1:31" x14ac:dyDescent="0.25">
      <c r="A832" t="s">
        <v>885</v>
      </c>
      <c r="B832">
        <v>15</v>
      </c>
      <c r="C832" t="s">
        <v>50</v>
      </c>
      <c r="D832" t="s">
        <v>32</v>
      </c>
      <c r="E832" t="s">
        <v>58</v>
      </c>
      <c r="F832" t="s">
        <v>70</v>
      </c>
      <c r="G832">
        <v>5.5</v>
      </c>
      <c r="H832">
        <v>2</v>
      </c>
      <c r="I832">
        <v>4</v>
      </c>
      <c r="J832" t="s">
        <v>35</v>
      </c>
      <c r="K832" t="s">
        <v>52</v>
      </c>
      <c r="L832">
        <v>81</v>
      </c>
      <c r="M832">
        <v>2.9</v>
      </c>
      <c r="N832">
        <v>4.3</v>
      </c>
      <c r="O832">
        <v>4.8</v>
      </c>
      <c r="P832">
        <v>7.3</v>
      </c>
      <c r="Q832" t="s">
        <v>35</v>
      </c>
      <c r="R832" t="s">
        <v>42</v>
      </c>
      <c r="S832">
        <v>5.3</v>
      </c>
      <c r="T832">
        <v>2.4</v>
      </c>
      <c r="U832">
        <v>4.5</v>
      </c>
      <c r="V832">
        <v>3.6</v>
      </c>
      <c r="W832">
        <v>6.7</v>
      </c>
      <c r="X832">
        <v>5.5</v>
      </c>
      <c r="Y832">
        <v>7</v>
      </c>
      <c r="Z832">
        <v>7.7</v>
      </c>
      <c r="AA832">
        <v>2.2999999999999998</v>
      </c>
      <c r="AB832">
        <v>6.8</v>
      </c>
      <c r="AC832">
        <v>6.7</v>
      </c>
      <c r="AD832" t="s">
        <v>53</v>
      </c>
      <c r="AE832" t="str">
        <f>IF(AND(data[[#This Row],[Age]]&gt;=18,data[[#This Row],[Age]]&lt;=24),"18-24",IF(AND(data[[#This Row],[Age]]&gt;=25,data[[#This Row],[Age]]&lt;=34),"25-34",IF(AND(data[[#This Row],[Age]]&gt;35,data[[#This Row],[Age]]&lt;=44),"35-44",IF(data[[#This Row],[Age]]&gt;44,"45+",IF(data[[#This Row],[Age]]&lt;18,"below 18 ")))))</f>
        <v xml:space="preserve">below 18 </v>
      </c>
    </row>
    <row r="833" spans="1:31" x14ac:dyDescent="0.25">
      <c r="A833" t="s">
        <v>886</v>
      </c>
      <c r="B833">
        <v>20</v>
      </c>
      <c r="C833" t="s">
        <v>31</v>
      </c>
      <c r="D833" t="s">
        <v>32</v>
      </c>
      <c r="E833" t="s">
        <v>33</v>
      </c>
      <c r="F833" t="s">
        <v>48</v>
      </c>
      <c r="G833">
        <v>3.1</v>
      </c>
      <c r="H833">
        <v>1</v>
      </c>
      <c r="I833">
        <v>5</v>
      </c>
      <c r="J833" t="s">
        <v>42</v>
      </c>
      <c r="K833" t="s">
        <v>52</v>
      </c>
      <c r="L833">
        <v>96</v>
      </c>
      <c r="M833">
        <v>8.9</v>
      </c>
      <c r="N833">
        <v>3.5</v>
      </c>
      <c r="O833">
        <v>7.4</v>
      </c>
      <c r="P833">
        <v>7.1</v>
      </c>
      <c r="Q833" t="s">
        <v>42</v>
      </c>
      <c r="R833" t="s">
        <v>35</v>
      </c>
      <c r="S833">
        <v>6.9</v>
      </c>
      <c r="T833">
        <v>0</v>
      </c>
      <c r="U833">
        <v>1.9</v>
      </c>
      <c r="V833">
        <v>6.5</v>
      </c>
      <c r="X833">
        <v>6.5</v>
      </c>
      <c r="Y833">
        <v>5.7</v>
      </c>
      <c r="Z833">
        <v>3.4</v>
      </c>
      <c r="AA833">
        <v>3.6</v>
      </c>
      <c r="AB833">
        <v>1.6</v>
      </c>
      <c r="AC833">
        <v>6.7</v>
      </c>
      <c r="AD833" t="s">
        <v>53</v>
      </c>
      <c r="AE833" t="str">
        <f>IF(AND(data[[#This Row],[Age]]&gt;=18,data[[#This Row],[Age]]&lt;=24),"18-24",IF(AND(data[[#This Row],[Age]]&gt;=25,data[[#This Row],[Age]]&lt;=34),"25-34",IF(AND(data[[#This Row],[Age]]&gt;35,data[[#This Row],[Age]]&lt;=44),"35-44",IF(data[[#This Row],[Age]]&gt;44,"45+",IF(data[[#This Row],[Age]]&lt;18,"below 18 ")))))</f>
        <v>18-24</v>
      </c>
    </row>
    <row r="834" spans="1:31" x14ac:dyDescent="0.25">
      <c r="A834" t="s">
        <v>887</v>
      </c>
      <c r="B834">
        <v>17</v>
      </c>
      <c r="C834" t="s">
        <v>47</v>
      </c>
      <c r="D834" t="s">
        <v>39</v>
      </c>
      <c r="E834" t="s">
        <v>58</v>
      </c>
      <c r="F834" t="s">
        <v>59</v>
      </c>
      <c r="H834">
        <v>4</v>
      </c>
      <c r="I834">
        <v>5</v>
      </c>
      <c r="J834" t="s">
        <v>42</v>
      </c>
      <c r="K834" t="s">
        <v>36</v>
      </c>
      <c r="L834">
        <v>155</v>
      </c>
      <c r="M834">
        <v>5.8</v>
      </c>
      <c r="N834">
        <v>8.4</v>
      </c>
      <c r="O834">
        <v>5.5</v>
      </c>
      <c r="P834">
        <v>4.0999999999999996</v>
      </c>
      <c r="Q834" t="s">
        <v>42</v>
      </c>
      <c r="R834" t="s">
        <v>35</v>
      </c>
      <c r="S834">
        <v>1.9</v>
      </c>
      <c r="T834">
        <v>8.1999999999999993</v>
      </c>
      <c r="U834">
        <v>8.1999999999999993</v>
      </c>
      <c r="V834">
        <v>5.5</v>
      </c>
      <c r="W834">
        <v>6.3</v>
      </c>
      <c r="X834">
        <v>6.6</v>
      </c>
      <c r="Y834">
        <v>3.9</v>
      </c>
      <c r="Z834">
        <v>8.5</v>
      </c>
      <c r="AA834">
        <v>6</v>
      </c>
      <c r="AB834">
        <v>1.5</v>
      </c>
      <c r="AC834">
        <v>6.4</v>
      </c>
      <c r="AD834" t="s">
        <v>53</v>
      </c>
      <c r="AE834" t="str">
        <f>IF(AND(data[[#This Row],[Age]]&gt;=18,data[[#This Row],[Age]]&lt;=24),"18-24",IF(AND(data[[#This Row],[Age]]&gt;=25,data[[#This Row],[Age]]&lt;=34),"25-34",IF(AND(data[[#This Row],[Age]]&gt;35,data[[#This Row],[Age]]&lt;=44),"35-44",IF(data[[#This Row],[Age]]&gt;44,"45+",IF(data[[#This Row],[Age]]&lt;18,"below 18 ")))))</f>
        <v xml:space="preserve">below 18 </v>
      </c>
    </row>
    <row r="835" spans="1:31" x14ac:dyDescent="0.25">
      <c r="A835" t="s">
        <v>888</v>
      </c>
      <c r="B835">
        <v>30</v>
      </c>
      <c r="C835" t="s">
        <v>47</v>
      </c>
      <c r="D835" t="s">
        <v>32</v>
      </c>
      <c r="E835" t="s">
        <v>33</v>
      </c>
      <c r="F835" t="s">
        <v>51</v>
      </c>
      <c r="G835">
        <v>3.6</v>
      </c>
      <c r="H835">
        <v>5</v>
      </c>
      <c r="I835">
        <v>5</v>
      </c>
      <c r="J835" t="s">
        <v>42</v>
      </c>
      <c r="K835" t="s">
        <v>62</v>
      </c>
      <c r="L835">
        <v>65</v>
      </c>
      <c r="M835">
        <v>5.2</v>
      </c>
      <c r="N835">
        <v>2.7</v>
      </c>
      <c r="O835">
        <v>2.2000000000000002</v>
      </c>
      <c r="P835">
        <v>3.5</v>
      </c>
      <c r="Q835" t="s">
        <v>35</v>
      </c>
      <c r="R835" t="s">
        <v>42</v>
      </c>
      <c r="S835">
        <v>4.3</v>
      </c>
      <c r="T835">
        <v>7</v>
      </c>
      <c r="U835">
        <v>4</v>
      </c>
      <c r="V835">
        <v>6.4</v>
      </c>
      <c r="W835">
        <v>4.0999999999999996</v>
      </c>
      <c r="X835">
        <v>6.2</v>
      </c>
      <c r="Y835">
        <v>4</v>
      </c>
      <c r="Z835">
        <v>8.1999999999999993</v>
      </c>
      <c r="AA835">
        <v>3.9</v>
      </c>
      <c r="AB835">
        <v>4.8</v>
      </c>
      <c r="AC835">
        <v>7.5</v>
      </c>
      <c r="AD835" t="s">
        <v>37</v>
      </c>
      <c r="AE835" t="str">
        <f>IF(AND(data[[#This Row],[Age]]&gt;=18,data[[#This Row],[Age]]&lt;=24),"18-24",IF(AND(data[[#This Row],[Age]]&gt;=25,data[[#This Row],[Age]]&lt;=34),"25-34",IF(AND(data[[#This Row],[Age]]&gt;35,data[[#This Row],[Age]]&lt;=44),"35-44",IF(data[[#This Row],[Age]]&gt;44,"45+",IF(data[[#This Row],[Age]]&lt;18,"below 18 ")))))</f>
        <v>25-34</v>
      </c>
    </row>
    <row r="836" spans="1:31" x14ac:dyDescent="0.25">
      <c r="A836" t="s">
        <v>889</v>
      </c>
      <c r="B836">
        <v>36</v>
      </c>
      <c r="C836" t="s">
        <v>31</v>
      </c>
      <c r="D836" t="s">
        <v>39</v>
      </c>
      <c r="E836" t="s">
        <v>58</v>
      </c>
      <c r="F836" t="s">
        <v>34</v>
      </c>
      <c r="G836">
        <v>6.7</v>
      </c>
      <c r="H836">
        <v>3</v>
      </c>
      <c r="I836">
        <v>6</v>
      </c>
      <c r="J836" t="s">
        <v>35</v>
      </c>
      <c r="K836" t="s">
        <v>62</v>
      </c>
      <c r="L836">
        <v>102</v>
      </c>
      <c r="M836">
        <v>2.4</v>
      </c>
      <c r="N836">
        <v>1.6</v>
      </c>
      <c r="O836">
        <v>2.4</v>
      </c>
      <c r="P836">
        <v>6.2</v>
      </c>
      <c r="Q836" t="s">
        <v>42</v>
      </c>
      <c r="R836" t="s">
        <v>42</v>
      </c>
      <c r="S836">
        <v>0.2</v>
      </c>
      <c r="T836">
        <v>8.5</v>
      </c>
      <c r="U836">
        <v>6.8</v>
      </c>
      <c r="V836">
        <v>4.5999999999999996</v>
      </c>
      <c r="W836">
        <v>3</v>
      </c>
      <c r="X836">
        <v>9.4</v>
      </c>
      <c r="Y836">
        <v>5.9</v>
      </c>
      <c r="Z836">
        <v>7.9</v>
      </c>
      <c r="AA836">
        <v>0</v>
      </c>
      <c r="AB836">
        <v>3.6</v>
      </c>
      <c r="AC836">
        <v>8.5</v>
      </c>
      <c r="AD836" t="s">
        <v>37</v>
      </c>
      <c r="AE836" t="str">
        <f>IF(AND(data[[#This Row],[Age]]&gt;=18,data[[#This Row],[Age]]&lt;=24),"18-24",IF(AND(data[[#This Row],[Age]]&gt;=25,data[[#This Row],[Age]]&lt;=34),"25-34",IF(AND(data[[#This Row],[Age]]&gt;35,data[[#This Row],[Age]]&lt;=44),"35-44",IF(data[[#This Row],[Age]]&gt;44,"45+",IF(data[[#This Row],[Age]]&lt;18,"below 18 ")))))</f>
        <v>35-44</v>
      </c>
    </row>
    <row r="837" spans="1:31" x14ac:dyDescent="0.25">
      <c r="A837" t="s">
        <v>890</v>
      </c>
      <c r="B837">
        <v>37</v>
      </c>
      <c r="C837" t="s">
        <v>50</v>
      </c>
      <c r="D837" t="s">
        <v>64</v>
      </c>
      <c r="E837" t="s">
        <v>40</v>
      </c>
      <c r="F837" t="s">
        <v>51</v>
      </c>
      <c r="G837">
        <v>4.5999999999999996</v>
      </c>
      <c r="H837">
        <v>3</v>
      </c>
      <c r="I837">
        <v>3</v>
      </c>
      <c r="J837" t="s">
        <v>35</v>
      </c>
      <c r="K837" t="s">
        <v>36</v>
      </c>
      <c r="L837">
        <v>86</v>
      </c>
      <c r="M837">
        <v>7</v>
      </c>
      <c r="N837">
        <v>6.3</v>
      </c>
      <c r="O837">
        <v>1.5</v>
      </c>
      <c r="P837">
        <v>9.9</v>
      </c>
      <c r="Q837" t="s">
        <v>42</v>
      </c>
      <c r="R837" t="s">
        <v>35</v>
      </c>
      <c r="S837">
        <v>6.3</v>
      </c>
      <c r="T837">
        <v>6.8</v>
      </c>
      <c r="U837">
        <v>4.0999999999999996</v>
      </c>
      <c r="V837">
        <v>5</v>
      </c>
      <c r="W837">
        <v>6</v>
      </c>
      <c r="X837">
        <v>8.6</v>
      </c>
      <c r="Y837">
        <v>1.9</v>
      </c>
      <c r="Z837">
        <v>6.9</v>
      </c>
      <c r="AA837">
        <v>1.7</v>
      </c>
      <c r="AB837">
        <v>3.7</v>
      </c>
      <c r="AC837">
        <v>7.1</v>
      </c>
      <c r="AD837" t="s">
        <v>53</v>
      </c>
      <c r="AE837" t="str">
        <f>IF(AND(data[[#This Row],[Age]]&gt;=18,data[[#This Row],[Age]]&lt;=24),"18-24",IF(AND(data[[#This Row],[Age]]&gt;=25,data[[#This Row],[Age]]&lt;=34),"25-34",IF(AND(data[[#This Row],[Age]]&gt;35,data[[#This Row],[Age]]&lt;=44),"35-44",IF(data[[#This Row],[Age]]&gt;44,"45+",IF(data[[#This Row],[Age]]&lt;18,"below 18 ")))))</f>
        <v>35-44</v>
      </c>
    </row>
    <row r="838" spans="1:31" x14ac:dyDescent="0.25">
      <c r="A838" t="s">
        <v>891</v>
      </c>
      <c r="B838">
        <v>24</v>
      </c>
      <c r="C838" t="s">
        <v>47</v>
      </c>
      <c r="D838" t="s">
        <v>39</v>
      </c>
      <c r="E838" t="s">
        <v>33</v>
      </c>
      <c r="F838" t="s">
        <v>51</v>
      </c>
      <c r="G838">
        <v>1</v>
      </c>
      <c r="H838">
        <v>5</v>
      </c>
      <c r="I838">
        <v>4</v>
      </c>
      <c r="J838" t="s">
        <v>35</v>
      </c>
      <c r="K838" t="s">
        <v>52</v>
      </c>
      <c r="L838">
        <v>22</v>
      </c>
      <c r="M838">
        <v>4.3</v>
      </c>
      <c r="N838">
        <v>5.8</v>
      </c>
      <c r="O838">
        <v>3.1</v>
      </c>
      <c r="P838">
        <v>7.9</v>
      </c>
      <c r="Q838" t="s">
        <v>35</v>
      </c>
      <c r="R838" t="s">
        <v>42</v>
      </c>
      <c r="S838">
        <v>7.8</v>
      </c>
      <c r="T838">
        <v>9.1</v>
      </c>
      <c r="U838">
        <v>6.9</v>
      </c>
      <c r="V838">
        <v>3.5</v>
      </c>
      <c r="W838">
        <v>2.2999999999999998</v>
      </c>
      <c r="X838">
        <v>6.6</v>
      </c>
      <c r="Y838">
        <v>2.2999999999999998</v>
      </c>
      <c r="Z838">
        <v>4.5</v>
      </c>
      <c r="AA838">
        <v>3.3</v>
      </c>
      <c r="AB838">
        <v>1.6</v>
      </c>
      <c r="AC838">
        <v>6.4</v>
      </c>
      <c r="AD838" t="s">
        <v>45</v>
      </c>
      <c r="AE838" t="str">
        <f>IF(AND(data[[#This Row],[Age]]&gt;=18,data[[#This Row],[Age]]&lt;=24),"18-24",IF(AND(data[[#This Row],[Age]]&gt;=25,data[[#This Row],[Age]]&lt;=34),"25-34",IF(AND(data[[#This Row],[Age]]&gt;35,data[[#This Row],[Age]]&lt;=44),"35-44",IF(data[[#This Row],[Age]]&gt;44,"45+",IF(data[[#This Row],[Age]]&lt;18,"below 18 ")))))</f>
        <v>18-24</v>
      </c>
    </row>
    <row r="839" spans="1:31" x14ac:dyDescent="0.25">
      <c r="A839" t="s">
        <v>892</v>
      </c>
      <c r="B839">
        <v>37</v>
      </c>
      <c r="C839" t="s">
        <v>47</v>
      </c>
      <c r="D839" t="s">
        <v>32</v>
      </c>
      <c r="E839" t="s">
        <v>33</v>
      </c>
      <c r="F839" t="s">
        <v>51</v>
      </c>
      <c r="G839">
        <v>6.2</v>
      </c>
      <c r="H839">
        <v>8</v>
      </c>
      <c r="I839">
        <v>3</v>
      </c>
      <c r="J839" t="s">
        <v>35</v>
      </c>
      <c r="K839" t="s">
        <v>52</v>
      </c>
      <c r="L839">
        <v>89</v>
      </c>
      <c r="M839">
        <v>6.7</v>
      </c>
      <c r="N839">
        <v>6</v>
      </c>
      <c r="O839">
        <v>4.7</v>
      </c>
      <c r="P839">
        <v>3.4</v>
      </c>
      <c r="Q839" t="s">
        <v>35</v>
      </c>
      <c r="R839" t="s">
        <v>42</v>
      </c>
      <c r="S839">
        <v>7.9</v>
      </c>
      <c r="T839">
        <v>4.3</v>
      </c>
      <c r="U839">
        <v>10</v>
      </c>
      <c r="V839">
        <v>8.1999999999999993</v>
      </c>
      <c r="W839">
        <v>3.6</v>
      </c>
      <c r="X839">
        <v>8.1</v>
      </c>
      <c r="Y839">
        <v>5.3</v>
      </c>
      <c r="Z839">
        <v>7.5</v>
      </c>
      <c r="AA839">
        <v>4.9000000000000004</v>
      </c>
      <c r="AB839">
        <v>6.3</v>
      </c>
      <c r="AC839">
        <v>5.3</v>
      </c>
      <c r="AD839" t="s">
        <v>45</v>
      </c>
      <c r="AE839" t="str">
        <f>IF(AND(data[[#This Row],[Age]]&gt;=18,data[[#This Row],[Age]]&lt;=24),"18-24",IF(AND(data[[#This Row],[Age]]&gt;=25,data[[#This Row],[Age]]&lt;=34),"25-34",IF(AND(data[[#This Row],[Age]]&gt;35,data[[#This Row],[Age]]&lt;=44),"35-44",IF(data[[#This Row],[Age]]&gt;44,"45+",IF(data[[#This Row],[Age]]&lt;18,"below 18 ")))))</f>
        <v>35-44</v>
      </c>
    </row>
    <row r="840" spans="1:31" x14ac:dyDescent="0.25">
      <c r="A840" t="s">
        <v>893</v>
      </c>
      <c r="B840">
        <v>38</v>
      </c>
      <c r="C840" t="s">
        <v>47</v>
      </c>
      <c r="D840" t="s">
        <v>32</v>
      </c>
      <c r="E840" t="s">
        <v>33</v>
      </c>
      <c r="F840" t="s">
        <v>41</v>
      </c>
      <c r="G840">
        <v>3.4</v>
      </c>
      <c r="H840">
        <v>2</v>
      </c>
      <c r="I840">
        <v>8</v>
      </c>
      <c r="J840" t="s">
        <v>35</v>
      </c>
      <c r="K840" t="s">
        <v>36</v>
      </c>
      <c r="L840">
        <v>44</v>
      </c>
      <c r="M840">
        <v>3.5</v>
      </c>
      <c r="N840">
        <v>5.3</v>
      </c>
      <c r="O840">
        <v>5.3</v>
      </c>
      <c r="P840">
        <v>8.4</v>
      </c>
      <c r="Q840" t="s">
        <v>35</v>
      </c>
      <c r="R840" t="s">
        <v>42</v>
      </c>
      <c r="S840">
        <v>9.8000000000000007</v>
      </c>
      <c r="T840">
        <v>5.0999999999999996</v>
      </c>
      <c r="U840">
        <v>4.5999999999999996</v>
      </c>
      <c r="V840">
        <v>5.8</v>
      </c>
      <c r="W840">
        <v>4.0999999999999996</v>
      </c>
      <c r="X840">
        <v>4.4000000000000004</v>
      </c>
      <c r="Y840">
        <v>2.2000000000000002</v>
      </c>
      <c r="Z840">
        <v>5</v>
      </c>
      <c r="AA840">
        <v>2.5</v>
      </c>
      <c r="AC840">
        <v>6.2</v>
      </c>
      <c r="AD840" t="s">
        <v>45</v>
      </c>
      <c r="AE840" t="str">
        <f>IF(AND(data[[#This Row],[Age]]&gt;=18,data[[#This Row],[Age]]&lt;=24),"18-24",IF(AND(data[[#This Row],[Age]]&gt;=25,data[[#This Row],[Age]]&lt;=34),"25-34",IF(AND(data[[#This Row],[Age]]&gt;35,data[[#This Row],[Age]]&lt;=44),"35-44",IF(data[[#This Row],[Age]]&gt;44,"45+",IF(data[[#This Row],[Age]]&lt;18,"below 18 ")))))</f>
        <v>35-44</v>
      </c>
    </row>
    <row r="841" spans="1:31" x14ac:dyDescent="0.25">
      <c r="A841" t="s">
        <v>894</v>
      </c>
      <c r="B841">
        <v>36</v>
      </c>
      <c r="C841" t="s">
        <v>47</v>
      </c>
      <c r="D841" t="s">
        <v>32</v>
      </c>
      <c r="E841" t="s">
        <v>33</v>
      </c>
      <c r="F841" t="s">
        <v>41</v>
      </c>
      <c r="G841">
        <v>6.3</v>
      </c>
      <c r="H841">
        <v>4</v>
      </c>
      <c r="I841">
        <v>4</v>
      </c>
      <c r="J841" t="s">
        <v>42</v>
      </c>
      <c r="K841" t="s">
        <v>52</v>
      </c>
      <c r="L841">
        <v>15</v>
      </c>
      <c r="M841">
        <v>0.7</v>
      </c>
      <c r="N841">
        <v>4.7</v>
      </c>
      <c r="O841">
        <v>5.2</v>
      </c>
      <c r="P841">
        <v>5.3</v>
      </c>
      <c r="Q841" t="s">
        <v>42</v>
      </c>
      <c r="R841" t="s">
        <v>35</v>
      </c>
      <c r="S841">
        <v>4.0999999999999996</v>
      </c>
      <c r="T841">
        <v>3.3</v>
      </c>
      <c r="U841">
        <v>5.9</v>
      </c>
      <c r="W841">
        <v>1.1000000000000001</v>
      </c>
      <c r="X841">
        <v>9.6999999999999993</v>
      </c>
      <c r="Y841">
        <v>4.8</v>
      </c>
      <c r="Z841">
        <v>8</v>
      </c>
      <c r="AA841">
        <v>0</v>
      </c>
      <c r="AB841">
        <v>0</v>
      </c>
      <c r="AC841">
        <v>7</v>
      </c>
      <c r="AD841" t="s">
        <v>53</v>
      </c>
      <c r="AE841" t="str">
        <f>IF(AND(data[[#This Row],[Age]]&gt;=18,data[[#This Row],[Age]]&lt;=24),"18-24",IF(AND(data[[#This Row],[Age]]&gt;=25,data[[#This Row],[Age]]&lt;=34),"25-34",IF(AND(data[[#This Row],[Age]]&gt;35,data[[#This Row],[Age]]&lt;=44),"35-44",IF(data[[#This Row],[Age]]&gt;44,"45+",IF(data[[#This Row],[Age]]&lt;18,"below 18 ")))))</f>
        <v>35-44</v>
      </c>
    </row>
    <row r="842" spans="1:31" x14ac:dyDescent="0.25">
      <c r="A842" t="s">
        <v>895</v>
      </c>
      <c r="B842">
        <v>38</v>
      </c>
      <c r="C842" t="s">
        <v>47</v>
      </c>
      <c r="D842" t="s">
        <v>39</v>
      </c>
      <c r="E842" t="s">
        <v>58</v>
      </c>
      <c r="F842" t="s">
        <v>41</v>
      </c>
      <c r="G842">
        <v>4.5</v>
      </c>
      <c r="H842">
        <v>1</v>
      </c>
      <c r="I842">
        <v>6</v>
      </c>
      <c r="J842" t="s">
        <v>42</v>
      </c>
      <c r="K842" t="s">
        <v>36</v>
      </c>
      <c r="L842">
        <v>8</v>
      </c>
      <c r="M842">
        <v>5</v>
      </c>
      <c r="N842">
        <v>3.4</v>
      </c>
      <c r="O842">
        <v>7.3</v>
      </c>
      <c r="P842">
        <v>3.6</v>
      </c>
      <c r="Q842" t="s">
        <v>42</v>
      </c>
      <c r="R842" t="s">
        <v>42</v>
      </c>
      <c r="S842">
        <v>7.1</v>
      </c>
      <c r="T842">
        <v>5.0999999999999996</v>
      </c>
      <c r="U842">
        <v>3.7</v>
      </c>
      <c r="V842">
        <v>5.2</v>
      </c>
      <c r="W842">
        <v>7.1</v>
      </c>
      <c r="X842">
        <v>7.3</v>
      </c>
      <c r="Y842">
        <v>3.6</v>
      </c>
      <c r="Z842">
        <v>3.4</v>
      </c>
      <c r="AA842">
        <v>4.0999999999999996</v>
      </c>
      <c r="AB842">
        <v>4.5</v>
      </c>
      <c r="AC842">
        <v>4.8</v>
      </c>
      <c r="AD842" t="s">
        <v>45</v>
      </c>
      <c r="AE842" t="str">
        <f>IF(AND(data[[#This Row],[Age]]&gt;=18,data[[#This Row],[Age]]&lt;=24),"18-24",IF(AND(data[[#This Row],[Age]]&gt;=25,data[[#This Row],[Age]]&lt;=34),"25-34",IF(AND(data[[#This Row],[Age]]&gt;35,data[[#This Row],[Age]]&lt;=44),"35-44",IF(data[[#This Row],[Age]]&gt;44,"45+",IF(data[[#This Row],[Age]]&lt;18,"below 18 ")))))</f>
        <v>35-44</v>
      </c>
    </row>
    <row r="843" spans="1:31" x14ac:dyDescent="0.25">
      <c r="A843" t="s">
        <v>896</v>
      </c>
      <c r="B843">
        <v>26</v>
      </c>
      <c r="C843" t="s">
        <v>47</v>
      </c>
      <c r="D843" t="s">
        <v>39</v>
      </c>
      <c r="E843" t="s">
        <v>58</v>
      </c>
      <c r="F843" t="s">
        <v>41</v>
      </c>
      <c r="G843">
        <v>2.8</v>
      </c>
      <c r="H843">
        <v>2</v>
      </c>
      <c r="I843">
        <v>3</v>
      </c>
      <c r="J843" t="s">
        <v>35</v>
      </c>
      <c r="K843" t="s">
        <v>36</v>
      </c>
      <c r="L843">
        <v>81</v>
      </c>
      <c r="M843">
        <v>7.2</v>
      </c>
      <c r="N843">
        <v>8.1</v>
      </c>
      <c r="O843">
        <v>6.1</v>
      </c>
      <c r="P843">
        <v>4.7</v>
      </c>
      <c r="Q843" t="s">
        <v>42</v>
      </c>
      <c r="R843" t="s">
        <v>35</v>
      </c>
      <c r="S843">
        <v>7.1</v>
      </c>
      <c r="T843">
        <v>3.5</v>
      </c>
      <c r="U843">
        <v>2.1</v>
      </c>
      <c r="V843">
        <v>4</v>
      </c>
      <c r="W843">
        <v>1</v>
      </c>
      <c r="X843">
        <v>6.3</v>
      </c>
      <c r="Y843">
        <v>6</v>
      </c>
      <c r="Z843">
        <v>7</v>
      </c>
      <c r="AA843">
        <v>1</v>
      </c>
      <c r="AB843">
        <v>1.2</v>
      </c>
      <c r="AC843">
        <v>5.5</v>
      </c>
      <c r="AD843" t="s">
        <v>45</v>
      </c>
      <c r="AE843" t="str">
        <f>IF(AND(data[[#This Row],[Age]]&gt;=18,data[[#This Row],[Age]]&lt;=24),"18-24",IF(AND(data[[#This Row],[Age]]&gt;=25,data[[#This Row],[Age]]&lt;=34),"25-34",IF(AND(data[[#This Row],[Age]]&gt;35,data[[#This Row],[Age]]&lt;=44),"35-44",IF(data[[#This Row],[Age]]&gt;44,"45+",IF(data[[#This Row],[Age]]&lt;18,"below 18 ")))))</f>
        <v>25-34</v>
      </c>
    </row>
    <row r="844" spans="1:31" x14ac:dyDescent="0.25">
      <c r="A844" t="s">
        <v>897</v>
      </c>
      <c r="B844">
        <v>35</v>
      </c>
      <c r="C844" t="s">
        <v>31</v>
      </c>
      <c r="D844" t="s">
        <v>39</v>
      </c>
      <c r="E844" t="s">
        <v>40</v>
      </c>
      <c r="F844" t="s">
        <v>48</v>
      </c>
      <c r="G844">
        <v>3.5</v>
      </c>
      <c r="H844">
        <v>5</v>
      </c>
      <c r="I844">
        <v>7</v>
      </c>
      <c r="J844" t="s">
        <v>42</v>
      </c>
      <c r="K844" t="s">
        <v>52</v>
      </c>
      <c r="L844">
        <v>5</v>
      </c>
      <c r="M844">
        <v>2</v>
      </c>
      <c r="N844">
        <v>4.5999999999999996</v>
      </c>
      <c r="O844">
        <v>2.5</v>
      </c>
      <c r="P844">
        <v>6.5</v>
      </c>
      <c r="Q844" t="s">
        <v>42</v>
      </c>
      <c r="R844" t="s">
        <v>42</v>
      </c>
      <c r="S844">
        <v>2.4</v>
      </c>
      <c r="T844">
        <v>6</v>
      </c>
      <c r="U844">
        <v>7.2</v>
      </c>
      <c r="V844">
        <v>7.1</v>
      </c>
      <c r="W844">
        <v>10</v>
      </c>
      <c r="X844">
        <v>6.5</v>
      </c>
      <c r="Y844">
        <v>4.7</v>
      </c>
      <c r="Z844">
        <v>3.1</v>
      </c>
      <c r="AA844">
        <v>3.6</v>
      </c>
      <c r="AB844">
        <v>2.5</v>
      </c>
      <c r="AC844">
        <v>7.6</v>
      </c>
      <c r="AD844" t="s">
        <v>37</v>
      </c>
      <c r="AE844" t="b">
        <f>IF(AND(data[[#This Row],[Age]]&gt;=18,data[[#This Row],[Age]]&lt;=24),"18-24",IF(AND(data[[#This Row],[Age]]&gt;=25,data[[#This Row],[Age]]&lt;=34),"25-34",IF(AND(data[[#This Row],[Age]]&gt;35,data[[#This Row],[Age]]&lt;=44),"35-44",IF(data[[#This Row],[Age]]&gt;44,"45+",IF(data[[#This Row],[Age]]&lt;18,"below 18 ")))))</f>
        <v>0</v>
      </c>
    </row>
    <row r="845" spans="1:31" x14ac:dyDescent="0.25">
      <c r="A845" t="s">
        <v>898</v>
      </c>
      <c r="B845">
        <v>25</v>
      </c>
      <c r="C845" t="s">
        <v>31</v>
      </c>
      <c r="D845" t="s">
        <v>39</v>
      </c>
      <c r="E845" t="s">
        <v>33</v>
      </c>
      <c r="F845" t="s">
        <v>59</v>
      </c>
      <c r="G845">
        <v>6.1</v>
      </c>
      <c r="H845">
        <v>2</v>
      </c>
      <c r="I845">
        <v>6</v>
      </c>
      <c r="J845" t="s">
        <v>35</v>
      </c>
      <c r="K845" t="s">
        <v>52</v>
      </c>
      <c r="L845">
        <v>71</v>
      </c>
      <c r="M845">
        <v>4</v>
      </c>
      <c r="N845">
        <v>4.2</v>
      </c>
      <c r="O845">
        <v>9</v>
      </c>
      <c r="P845">
        <v>7.6</v>
      </c>
      <c r="Q845" t="s">
        <v>42</v>
      </c>
      <c r="R845" t="s">
        <v>35</v>
      </c>
      <c r="S845">
        <v>5.8</v>
      </c>
      <c r="T845">
        <v>4.8</v>
      </c>
      <c r="U845">
        <v>2.4</v>
      </c>
      <c r="V845">
        <v>8.3000000000000007</v>
      </c>
      <c r="W845">
        <v>4.9000000000000004</v>
      </c>
      <c r="X845">
        <v>8</v>
      </c>
      <c r="Y845">
        <v>6.2</v>
      </c>
      <c r="Z845">
        <v>6.1</v>
      </c>
      <c r="AA845">
        <v>3.5</v>
      </c>
      <c r="AB845">
        <v>5.4</v>
      </c>
      <c r="AC845">
        <v>7.3</v>
      </c>
      <c r="AD845" t="s">
        <v>37</v>
      </c>
      <c r="AE845" t="str">
        <f>IF(AND(data[[#This Row],[Age]]&gt;=18,data[[#This Row],[Age]]&lt;=24),"18-24",IF(AND(data[[#This Row],[Age]]&gt;=25,data[[#This Row],[Age]]&lt;=34),"25-34",IF(AND(data[[#This Row],[Age]]&gt;35,data[[#This Row],[Age]]&lt;=44),"35-44",IF(data[[#This Row],[Age]]&gt;44,"45+",IF(data[[#This Row],[Age]]&lt;18,"below 18 ")))))</f>
        <v>25-34</v>
      </c>
    </row>
    <row r="846" spans="1:31" x14ac:dyDescent="0.25">
      <c r="A846" t="s">
        <v>899</v>
      </c>
      <c r="B846">
        <v>23</v>
      </c>
      <c r="C846" t="s">
        <v>50</v>
      </c>
      <c r="D846" t="s">
        <v>64</v>
      </c>
      <c r="E846" t="s">
        <v>33</v>
      </c>
      <c r="F846" t="s">
        <v>70</v>
      </c>
      <c r="G846">
        <v>3.3</v>
      </c>
      <c r="H846">
        <v>1</v>
      </c>
      <c r="I846">
        <v>3</v>
      </c>
      <c r="J846" t="s">
        <v>35</v>
      </c>
      <c r="K846" t="s">
        <v>36</v>
      </c>
      <c r="L846">
        <v>118</v>
      </c>
      <c r="M846">
        <v>6.4</v>
      </c>
      <c r="N846">
        <v>5.0999999999999996</v>
      </c>
      <c r="O846">
        <v>6.6</v>
      </c>
      <c r="P846">
        <v>0.9</v>
      </c>
      <c r="Q846" t="s">
        <v>42</v>
      </c>
      <c r="R846" t="s">
        <v>35</v>
      </c>
      <c r="S846">
        <v>4.3</v>
      </c>
      <c r="T846">
        <v>7.8</v>
      </c>
      <c r="U846">
        <v>4.7</v>
      </c>
      <c r="V846">
        <v>6</v>
      </c>
      <c r="W846">
        <v>5.7</v>
      </c>
      <c r="X846">
        <v>4</v>
      </c>
      <c r="Y846">
        <v>4.5</v>
      </c>
      <c r="Z846">
        <v>4.5</v>
      </c>
      <c r="AA846">
        <v>2.2999999999999998</v>
      </c>
      <c r="AC846">
        <v>6.8</v>
      </c>
      <c r="AD846" t="s">
        <v>53</v>
      </c>
      <c r="AE846" t="str">
        <f>IF(AND(data[[#This Row],[Age]]&gt;=18,data[[#This Row],[Age]]&lt;=24),"18-24",IF(AND(data[[#This Row],[Age]]&gt;=25,data[[#This Row],[Age]]&lt;=34),"25-34",IF(AND(data[[#This Row],[Age]]&gt;35,data[[#This Row],[Age]]&lt;=44),"35-44",IF(data[[#This Row],[Age]]&gt;44,"45+",IF(data[[#This Row],[Age]]&lt;18,"below 18 ")))))</f>
        <v>18-24</v>
      </c>
    </row>
    <row r="847" spans="1:31" x14ac:dyDescent="0.25">
      <c r="A847" t="s">
        <v>900</v>
      </c>
      <c r="B847">
        <v>26</v>
      </c>
      <c r="D847" t="s">
        <v>39</v>
      </c>
      <c r="E847" t="s">
        <v>33</v>
      </c>
      <c r="F847" t="s">
        <v>41</v>
      </c>
      <c r="G847">
        <v>7.4</v>
      </c>
      <c r="H847">
        <v>1</v>
      </c>
      <c r="I847">
        <v>6</v>
      </c>
      <c r="J847" t="s">
        <v>35</v>
      </c>
      <c r="K847" t="s">
        <v>36</v>
      </c>
      <c r="L847">
        <v>37</v>
      </c>
      <c r="M847">
        <v>4.8</v>
      </c>
      <c r="N847">
        <v>3.9</v>
      </c>
      <c r="O847">
        <v>1.9</v>
      </c>
      <c r="P847">
        <v>4.4000000000000004</v>
      </c>
      <c r="Q847" t="s">
        <v>42</v>
      </c>
      <c r="R847" t="s">
        <v>35</v>
      </c>
      <c r="T847">
        <v>3.4</v>
      </c>
      <c r="U847">
        <v>3.2</v>
      </c>
      <c r="V847">
        <v>4.5</v>
      </c>
      <c r="W847">
        <v>3.4</v>
      </c>
      <c r="Y847">
        <v>6.1</v>
      </c>
      <c r="Z847">
        <v>6</v>
      </c>
      <c r="AA847">
        <v>4.8</v>
      </c>
      <c r="AB847">
        <v>1</v>
      </c>
      <c r="AC847">
        <v>8</v>
      </c>
      <c r="AD847" t="s">
        <v>37</v>
      </c>
      <c r="AE847" t="str">
        <f>IF(AND(data[[#This Row],[Age]]&gt;=18,data[[#This Row],[Age]]&lt;=24),"18-24",IF(AND(data[[#This Row],[Age]]&gt;=25,data[[#This Row],[Age]]&lt;=34),"25-34",IF(AND(data[[#This Row],[Age]]&gt;35,data[[#This Row],[Age]]&lt;=44),"35-44",IF(data[[#This Row],[Age]]&gt;44,"45+",IF(data[[#This Row],[Age]]&lt;18,"below 18 ")))))</f>
        <v>25-34</v>
      </c>
    </row>
    <row r="848" spans="1:31" x14ac:dyDescent="0.25">
      <c r="A848" t="s">
        <v>901</v>
      </c>
      <c r="B848">
        <v>38</v>
      </c>
      <c r="C848" t="s">
        <v>31</v>
      </c>
      <c r="D848" t="s">
        <v>32</v>
      </c>
      <c r="E848" t="s">
        <v>40</v>
      </c>
      <c r="F848" t="s">
        <v>34</v>
      </c>
      <c r="G848">
        <v>2.8</v>
      </c>
      <c r="H848">
        <v>4</v>
      </c>
      <c r="I848">
        <v>3</v>
      </c>
      <c r="J848" t="s">
        <v>42</v>
      </c>
      <c r="K848" t="s">
        <v>62</v>
      </c>
      <c r="L848">
        <v>79</v>
      </c>
      <c r="M848">
        <v>9.5</v>
      </c>
      <c r="N848">
        <v>4.0999999999999996</v>
      </c>
      <c r="P848">
        <v>4.5</v>
      </c>
      <c r="Q848" t="s">
        <v>35</v>
      </c>
      <c r="R848" t="s">
        <v>42</v>
      </c>
      <c r="S848">
        <v>1.3</v>
      </c>
      <c r="T848">
        <v>3.6</v>
      </c>
      <c r="U848">
        <v>6.7</v>
      </c>
      <c r="V848">
        <v>4.5</v>
      </c>
      <c r="W848">
        <v>5.4</v>
      </c>
      <c r="X848">
        <v>3.9</v>
      </c>
      <c r="Y848">
        <v>6.1</v>
      </c>
      <c r="Z848">
        <v>6.9</v>
      </c>
      <c r="AA848">
        <v>1.8</v>
      </c>
      <c r="AB848">
        <v>4.7</v>
      </c>
      <c r="AC848">
        <v>6.8</v>
      </c>
      <c r="AD848" t="s">
        <v>53</v>
      </c>
      <c r="AE848" t="str">
        <f>IF(AND(data[[#This Row],[Age]]&gt;=18,data[[#This Row],[Age]]&lt;=24),"18-24",IF(AND(data[[#This Row],[Age]]&gt;=25,data[[#This Row],[Age]]&lt;=34),"25-34",IF(AND(data[[#This Row],[Age]]&gt;35,data[[#This Row],[Age]]&lt;=44),"35-44",IF(data[[#This Row],[Age]]&gt;44,"45+",IF(data[[#This Row],[Age]]&lt;18,"below 18 ")))))</f>
        <v>35-44</v>
      </c>
    </row>
    <row r="849" spans="1:31" x14ac:dyDescent="0.25">
      <c r="A849" t="s">
        <v>902</v>
      </c>
      <c r="B849">
        <v>22</v>
      </c>
      <c r="C849" t="s">
        <v>31</v>
      </c>
      <c r="D849" t="s">
        <v>39</v>
      </c>
      <c r="E849" t="s">
        <v>58</v>
      </c>
      <c r="F849" t="s">
        <v>51</v>
      </c>
      <c r="G849">
        <v>7.6</v>
      </c>
      <c r="H849">
        <v>3</v>
      </c>
      <c r="I849">
        <v>8</v>
      </c>
      <c r="J849" t="s">
        <v>35</v>
      </c>
      <c r="K849" t="s">
        <v>52</v>
      </c>
      <c r="L849">
        <v>53</v>
      </c>
      <c r="M849">
        <v>7.5</v>
      </c>
      <c r="N849">
        <v>2.1</v>
      </c>
      <c r="O849">
        <v>10</v>
      </c>
      <c r="P849">
        <v>3.6</v>
      </c>
      <c r="Q849" t="s">
        <v>42</v>
      </c>
      <c r="R849" t="s">
        <v>42</v>
      </c>
      <c r="S849">
        <v>4.2</v>
      </c>
      <c r="U849">
        <v>6.8</v>
      </c>
      <c r="V849">
        <v>5.9</v>
      </c>
      <c r="W849">
        <v>5.0999999999999996</v>
      </c>
      <c r="X849">
        <v>8.5</v>
      </c>
      <c r="Y849">
        <v>7.7</v>
      </c>
      <c r="Z849">
        <v>8.1</v>
      </c>
      <c r="AA849">
        <v>3.8</v>
      </c>
      <c r="AB849">
        <v>1.7</v>
      </c>
      <c r="AC849">
        <v>5.6</v>
      </c>
      <c r="AD849" t="s">
        <v>43</v>
      </c>
      <c r="AE849" t="str">
        <f>IF(AND(data[[#This Row],[Age]]&gt;=18,data[[#This Row],[Age]]&lt;=24),"18-24",IF(AND(data[[#This Row],[Age]]&gt;=25,data[[#This Row],[Age]]&lt;=34),"25-34",IF(AND(data[[#This Row],[Age]]&gt;35,data[[#This Row],[Age]]&lt;=44),"35-44",IF(data[[#This Row],[Age]]&gt;44,"45+",IF(data[[#This Row],[Age]]&lt;18,"below 18 ")))))</f>
        <v>18-24</v>
      </c>
    </row>
    <row r="850" spans="1:31" x14ac:dyDescent="0.25">
      <c r="A850" t="s">
        <v>903</v>
      </c>
      <c r="B850">
        <v>39</v>
      </c>
      <c r="C850" t="s">
        <v>31</v>
      </c>
      <c r="D850" t="s">
        <v>39</v>
      </c>
      <c r="E850" t="s">
        <v>40</v>
      </c>
      <c r="F850" t="s">
        <v>51</v>
      </c>
      <c r="G850">
        <v>1.6</v>
      </c>
      <c r="H850">
        <v>4</v>
      </c>
      <c r="I850">
        <v>5</v>
      </c>
      <c r="J850" t="s">
        <v>35</v>
      </c>
      <c r="K850" t="s">
        <v>52</v>
      </c>
      <c r="L850">
        <v>91</v>
      </c>
      <c r="M850">
        <v>6.1</v>
      </c>
      <c r="N850">
        <v>6.6</v>
      </c>
      <c r="O850">
        <v>4</v>
      </c>
      <c r="P850">
        <v>4.5999999999999996</v>
      </c>
      <c r="Q850" t="s">
        <v>42</v>
      </c>
      <c r="R850" t="s">
        <v>35</v>
      </c>
      <c r="S850">
        <v>5.6</v>
      </c>
      <c r="T850">
        <v>4.8</v>
      </c>
      <c r="U850">
        <v>3.7</v>
      </c>
      <c r="V850">
        <v>5.7</v>
      </c>
      <c r="W850">
        <v>7.2</v>
      </c>
      <c r="X850">
        <v>6.5</v>
      </c>
      <c r="Y850">
        <v>3.8</v>
      </c>
      <c r="Z850">
        <v>5.0999999999999996</v>
      </c>
      <c r="AA850">
        <v>3.8</v>
      </c>
      <c r="AB850">
        <v>4.4000000000000004</v>
      </c>
      <c r="AC850">
        <v>8.3000000000000007</v>
      </c>
      <c r="AD850" t="s">
        <v>37</v>
      </c>
      <c r="AE850" t="str">
        <f>IF(AND(data[[#This Row],[Age]]&gt;=18,data[[#This Row],[Age]]&lt;=24),"18-24",IF(AND(data[[#This Row],[Age]]&gt;=25,data[[#This Row],[Age]]&lt;=34),"25-34",IF(AND(data[[#This Row],[Age]]&gt;35,data[[#This Row],[Age]]&lt;=44),"35-44",IF(data[[#This Row],[Age]]&gt;44,"45+",IF(data[[#This Row],[Age]]&lt;18,"below 18 ")))))</f>
        <v>35-44</v>
      </c>
    </row>
    <row r="851" spans="1:31" x14ac:dyDescent="0.25">
      <c r="A851" t="s">
        <v>904</v>
      </c>
      <c r="B851">
        <v>18</v>
      </c>
      <c r="C851" t="s">
        <v>47</v>
      </c>
      <c r="D851" t="s">
        <v>32</v>
      </c>
      <c r="E851" t="s">
        <v>40</v>
      </c>
      <c r="F851" t="s">
        <v>41</v>
      </c>
      <c r="G851">
        <v>2.2000000000000002</v>
      </c>
      <c r="H851">
        <v>1</v>
      </c>
      <c r="I851">
        <v>4</v>
      </c>
      <c r="J851" t="s">
        <v>42</v>
      </c>
      <c r="K851" t="s">
        <v>62</v>
      </c>
      <c r="L851">
        <v>52</v>
      </c>
      <c r="M851">
        <v>2.2999999999999998</v>
      </c>
      <c r="N851">
        <v>7.7</v>
      </c>
      <c r="O851">
        <v>7.5</v>
      </c>
      <c r="P851">
        <v>9</v>
      </c>
      <c r="Q851" t="s">
        <v>42</v>
      </c>
      <c r="R851" t="s">
        <v>42</v>
      </c>
      <c r="S851">
        <v>2.9</v>
      </c>
      <c r="T851">
        <v>5.9</v>
      </c>
      <c r="U851">
        <v>0.1</v>
      </c>
      <c r="V851">
        <v>5</v>
      </c>
      <c r="W851">
        <v>9.9</v>
      </c>
      <c r="X851">
        <v>5.4</v>
      </c>
      <c r="Y851">
        <v>0.6</v>
      </c>
      <c r="Z851">
        <v>4.8</v>
      </c>
      <c r="AA851">
        <v>2.8</v>
      </c>
      <c r="AB851">
        <v>6.2</v>
      </c>
      <c r="AC851">
        <v>6.7</v>
      </c>
      <c r="AD851" t="s">
        <v>37</v>
      </c>
      <c r="AE851" t="str">
        <f>IF(AND(data[[#This Row],[Age]]&gt;=18,data[[#This Row],[Age]]&lt;=24),"18-24",IF(AND(data[[#This Row],[Age]]&gt;=25,data[[#This Row],[Age]]&lt;=34),"25-34",IF(AND(data[[#This Row],[Age]]&gt;35,data[[#This Row],[Age]]&lt;=44),"35-44",IF(data[[#This Row],[Age]]&gt;44,"45+",IF(data[[#This Row],[Age]]&lt;18,"below 18 ")))))</f>
        <v>18-24</v>
      </c>
    </row>
    <row r="852" spans="1:31" x14ac:dyDescent="0.25">
      <c r="A852" t="s">
        <v>905</v>
      </c>
      <c r="B852">
        <v>30</v>
      </c>
      <c r="C852" t="s">
        <v>31</v>
      </c>
      <c r="D852" t="s">
        <v>57</v>
      </c>
      <c r="E852" t="s">
        <v>58</v>
      </c>
      <c r="F852" t="s">
        <v>41</v>
      </c>
      <c r="H852">
        <v>2</v>
      </c>
      <c r="I852">
        <v>2</v>
      </c>
      <c r="J852" t="s">
        <v>42</v>
      </c>
      <c r="K852" t="s">
        <v>36</v>
      </c>
      <c r="L852">
        <v>119</v>
      </c>
      <c r="M852">
        <v>6</v>
      </c>
      <c r="N852">
        <v>3.4</v>
      </c>
      <c r="O852">
        <v>4.2</v>
      </c>
      <c r="P852">
        <v>1.2</v>
      </c>
      <c r="Q852" t="s">
        <v>42</v>
      </c>
      <c r="R852" t="s">
        <v>35</v>
      </c>
      <c r="S852">
        <v>3.5</v>
      </c>
      <c r="T852">
        <v>7</v>
      </c>
      <c r="U852">
        <v>5.7</v>
      </c>
      <c r="V852">
        <v>3.7</v>
      </c>
      <c r="W852">
        <v>3</v>
      </c>
      <c r="X852">
        <v>5.3</v>
      </c>
      <c r="Y852">
        <v>9.9</v>
      </c>
      <c r="Z852">
        <v>4.4000000000000004</v>
      </c>
      <c r="AA852">
        <v>1.5</v>
      </c>
      <c r="AB852">
        <v>0</v>
      </c>
      <c r="AC852">
        <v>4.5999999999999996</v>
      </c>
      <c r="AD852" t="s">
        <v>43</v>
      </c>
      <c r="AE852" t="str">
        <f>IF(AND(data[[#This Row],[Age]]&gt;=18,data[[#This Row],[Age]]&lt;=24),"18-24",IF(AND(data[[#This Row],[Age]]&gt;=25,data[[#This Row],[Age]]&lt;=34),"25-34",IF(AND(data[[#This Row],[Age]]&gt;35,data[[#This Row],[Age]]&lt;=44),"35-44",IF(data[[#This Row],[Age]]&gt;44,"45+",IF(data[[#This Row],[Age]]&lt;18,"below 18 ")))))</f>
        <v>25-34</v>
      </c>
    </row>
    <row r="853" spans="1:31" x14ac:dyDescent="0.25">
      <c r="A853" t="s">
        <v>906</v>
      </c>
      <c r="B853">
        <v>34</v>
      </c>
      <c r="C853" t="s">
        <v>31</v>
      </c>
      <c r="D853" t="s">
        <v>32</v>
      </c>
      <c r="E853" t="s">
        <v>58</v>
      </c>
      <c r="F853" t="s">
        <v>48</v>
      </c>
      <c r="G853">
        <v>7.7</v>
      </c>
      <c r="H853">
        <v>4</v>
      </c>
      <c r="I853">
        <v>6</v>
      </c>
      <c r="K853" t="s">
        <v>36</v>
      </c>
      <c r="L853">
        <v>97</v>
      </c>
      <c r="M853">
        <v>4.5</v>
      </c>
      <c r="N853">
        <v>5.4</v>
      </c>
      <c r="O853">
        <v>3.6</v>
      </c>
      <c r="P853">
        <v>4.5999999999999996</v>
      </c>
      <c r="Q853" t="s">
        <v>35</v>
      </c>
      <c r="R853" t="s">
        <v>35</v>
      </c>
      <c r="S853">
        <v>4.4000000000000004</v>
      </c>
      <c r="T853">
        <v>3.1</v>
      </c>
      <c r="U853">
        <v>5.6</v>
      </c>
      <c r="V853">
        <v>6.5</v>
      </c>
      <c r="W853">
        <v>5.7</v>
      </c>
      <c r="X853">
        <v>5.9</v>
      </c>
      <c r="Y853">
        <v>6.8</v>
      </c>
      <c r="Z853">
        <v>5.5</v>
      </c>
      <c r="AA853">
        <v>3.4</v>
      </c>
      <c r="AB853">
        <v>0.9</v>
      </c>
      <c r="AC853">
        <v>4.5999999999999996</v>
      </c>
      <c r="AD853" t="s">
        <v>43</v>
      </c>
      <c r="AE853" t="str">
        <f>IF(AND(data[[#This Row],[Age]]&gt;=18,data[[#This Row],[Age]]&lt;=24),"18-24",IF(AND(data[[#This Row],[Age]]&gt;=25,data[[#This Row],[Age]]&lt;=34),"25-34",IF(AND(data[[#This Row],[Age]]&gt;35,data[[#This Row],[Age]]&lt;=44),"35-44",IF(data[[#This Row],[Age]]&gt;44,"45+",IF(data[[#This Row],[Age]]&lt;18,"below 18 ")))))</f>
        <v>25-34</v>
      </c>
    </row>
    <row r="854" spans="1:31" x14ac:dyDescent="0.25">
      <c r="A854" t="s">
        <v>907</v>
      </c>
      <c r="B854">
        <v>22</v>
      </c>
      <c r="C854" t="s">
        <v>47</v>
      </c>
      <c r="D854" t="s">
        <v>39</v>
      </c>
      <c r="E854" t="s">
        <v>40</v>
      </c>
      <c r="F854" t="s">
        <v>41</v>
      </c>
      <c r="G854">
        <v>3.9</v>
      </c>
      <c r="H854">
        <v>1</v>
      </c>
      <c r="I854">
        <v>3</v>
      </c>
      <c r="J854" t="s">
        <v>35</v>
      </c>
      <c r="K854" t="s">
        <v>36</v>
      </c>
      <c r="L854">
        <v>87</v>
      </c>
      <c r="N854">
        <v>6.6</v>
      </c>
      <c r="O854">
        <v>5.4</v>
      </c>
      <c r="P854">
        <v>4</v>
      </c>
      <c r="Q854" t="s">
        <v>42</v>
      </c>
      <c r="R854" t="s">
        <v>42</v>
      </c>
      <c r="S854">
        <v>5</v>
      </c>
      <c r="T854">
        <v>3.9</v>
      </c>
      <c r="U854">
        <v>5.8</v>
      </c>
      <c r="W854">
        <v>5.0999999999999996</v>
      </c>
      <c r="X854">
        <v>9.6999999999999993</v>
      </c>
      <c r="Y854">
        <v>6.3</v>
      </c>
      <c r="Z854">
        <v>5.3</v>
      </c>
      <c r="AA854">
        <v>1.9</v>
      </c>
      <c r="AB854">
        <v>5.2</v>
      </c>
      <c r="AC854">
        <v>6.2</v>
      </c>
      <c r="AD854" t="s">
        <v>53</v>
      </c>
      <c r="AE854" t="str">
        <f>IF(AND(data[[#This Row],[Age]]&gt;=18,data[[#This Row],[Age]]&lt;=24),"18-24",IF(AND(data[[#This Row],[Age]]&gt;=25,data[[#This Row],[Age]]&lt;=34),"25-34",IF(AND(data[[#This Row],[Age]]&gt;35,data[[#This Row],[Age]]&lt;=44),"35-44",IF(data[[#This Row],[Age]]&gt;44,"45+",IF(data[[#This Row],[Age]]&lt;18,"below 18 ")))))</f>
        <v>18-24</v>
      </c>
    </row>
    <row r="855" spans="1:31" x14ac:dyDescent="0.25">
      <c r="A855" t="s">
        <v>908</v>
      </c>
      <c r="B855">
        <v>31</v>
      </c>
      <c r="C855" t="s">
        <v>31</v>
      </c>
      <c r="D855" t="s">
        <v>32</v>
      </c>
      <c r="E855" t="s">
        <v>58</v>
      </c>
      <c r="F855" t="s">
        <v>59</v>
      </c>
      <c r="G855">
        <v>6.2</v>
      </c>
      <c r="H855">
        <v>2</v>
      </c>
      <c r="I855">
        <v>2</v>
      </c>
      <c r="J855" t="s">
        <v>35</v>
      </c>
      <c r="K855" t="s">
        <v>36</v>
      </c>
      <c r="L855">
        <v>37</v>
      </c>
      <c r="M855">
        <v>9.1999999999999993</v>
      </c>
      <c r="N855">
        <v>6.2</v>
      </c>
      <c r="O855">
        <v>5.9</v>
      </c>
      <c r="P855">
        <v>6.9</v>
      </c>
      <c r="Q855" t="s">
        <v>35</v>
      </c>
      <c r="R855" t="s">
        <v>42</v>
      </c>
      <c r="S855">
        <v>10</v>
      </c>
      <c r="T855">
        <v>5.6</v>
      </c>
      <c r="U855">
        <v>4.0999999999999996</v>
      </c>
      <c r="V855">
        <v>3.7</v>
      </c>
      <c r="W855">
        <v>7.1</v>
      </c>
      <c r="X855">
        <v>7.2</v>
      </c>
      <c r="Y855">
        <v>5.2</v>
      </c>
      <c r="Z855">
        <v>5.8</v>
      </c>
      <c r="AA855">
        <v>6.2</v>
      </c>
      <c r="AB855">
        <v>0.4</v>
      </c>
      <c r="AC855">
        <v>4.3</v>
      </c>
      <c r="AD855" t="s">
        <v>43</v>
      </c>
      <c r="AE855" t="str">
        <f>IF(AND(data[[#This Row],[Age]]&gt;=18,data[[#This Row],[Age]]&lt;=24),"18-24",IF(AND(data[[#This Row],[Age]]&gt;=25,data[[#This Row],[Age]]&lt;=34),"25-34",IF(AND(data[[#This Row],[Age]]&gt;35,data[[#This Row],[Age]]&lt;=44),"35-44",IF(data[[#This Row],[Age]]&gt;44,"45+",IF(data[[#This Row],[Age]]&lt;18,"below 18 ")))))</f>
        <v>25-34</v>
      </c>
    </row>
    <row r="856" spans="1:31" x14ac:dyDescent="0.25">
      <c r="A856" t="s">
        <v>909</v>
      </c>
      <c r="B856">
        <v>31</v>
      </c>
      <c r="C856" t="s">
        <v>47</v>
      </c>
      <c r="D856" t="s">
        <v>39</v>
      </c>
      <c r="E856" t="s">
        <v>58</v>
      </c>
      <c r="F856" t="s">
        <v>41</v>
      </c>
      <c r="G856">
        <v>2.5</v>
      </c>
      <c r="H856">
        <v>6</v>
      </c>
      <c r="I856">
        <v>5</v>
      </c>
      <c r="J856" t="s">
        <v>42</v>
      </c>
      <c r="K856" t="s">
        <v>36</v>
      </c>
      <c r="L856">
        <v>5</v>
      </c>
      <c r="M856">
        <v>3.1</v>
      </c>
      <c r="N856">
        <v>6.1</v>
      </c>
      <c r="O856">
        <v>8.9</v>
      </c>
      <c r="P856">
        <v>4.8</v>
      </c>
      <c r="Q856" t="s">
        <v>42</v>
      </c>
      <c r="R856" t="s">
        <v>42</v>
      </c>
      <c r="S856">
        <v>8.1</v>
      </c>
      <c r="T856">
        <v>2.4</v>
      </c>
      <c r="U856">
        <v>4.5</v>
      </c>
      <c r="V856">
        <v>6.8</v>
      </c>
      <c r="W856">
        <v>5.2</v>
      </c>
      <c r="X856">
        <v>6.3</v>
      </c>
      <c r="Y856">
        <v>3</v>
      </c>
      <c r="Z856">
        <v>5.3</v>
      </c>
      <c r="AA856">
        <v>1.6</v>
      </c>
      <c r="AB856">
        <v>4.0999999999999996</v>
      </c>
      <c r="AC856">
        <v>5.7</v>
      </c>
      <c r="AD856" t="s">
        <v>45</v>
      </c>
      <c r="AE856" t="str">
        <f>IF(AND(data[[#This Row],[Age]]&gt;=18,data[[#This Row],[Age]]&lt;=24),"18-24",IF(AND(data[[#This Row],[Age]]&gt;=25,data[[#This Row],[Age]]&lt;=34),"25-34",IF(AND(data[[#This Row],[Age]]&gt;35,data[[#This Row],[Age]]&lt;=44),"35-44",IF(data[[#This Row],[Age]]&gt;44,"45+",IF(data[[#This Row],[Age]]&lt;18,"below 18 ")))))</f>
        <v>25-34</v>
      </c>
    </row>
    <row r="857" spans="1:31" x14ac:dyDescent="0.25">
      <c r="A857" t="s">
        <v>910</v>
      </c>
      <c r="B857">
        <v>21</v>
      </c>
      <c r="C857" t="s">
        <v>47</v>
      </c>
      <c r="E857" t="s">
        <v>58</v>
      </c>
      <c r="F857" t="s">
        <v>34</v>
      </c>
      <c r="G857">
        <v>2.2999999999999998</v>
      </c>
      <c r="H857">
        <v>1</v>
      </c>
      <c r="I857">
        <v>4</v>
      </c>
      <c r="J857" t="s">
        <v>42</v>
      </c>
      <c r="K857" t="s">
        <v>52</v>
      </c>
      <c r="L857">
        <v>110</v>
      </c>
      <c r="M857">
        <v>6.7</v>
      </c>
      <c r="N857">
        <v>3.3</v>
      </c>
      <c r="O857">
        <v>5.0999999999999996</v>
      </c>
      <c r="P857">
        <v>7.1</v>
      </c>
      <c r="Q857" t="s">
        <v>35</v>
      </c>
      <c r="R857" t="s">
        <v>35</v>
      </c>
      <c r="S857">
        <v>4.3</v>
      </c>
      <c r="T857">
        <v>1.2</v>
      </c>
      <c r="U857">
        <v>8.6</v>
      </c>
      <c r="V857">
        <v>5.7</v>
      </c>
      <c r="W857">
        <v>3.8</v>
      </c>
      <c r="X857">
        <v>5.4</v>
      </c>
      <c r="Y857">
        <v>5.6</v>
      </c>
      <c r="Z857">
        <v>5</v>
      </c>
      <c r="AA857">
        <v>3.2</v>
      </c>
      <c r="AB857">
        <v>6.8</v>
      </c>
      <c r="AC857">
        <v>6.1</v>
      </c>
      <c r="AD857" t="s">
        <v>53</v>
      </c>
      <c r="AE857" t="str">
        <f>IF(AND(data[[#This Row],[Age]]&gt;=18,data[[#This Row],[Age]]&lt;=24),"18-24",IF(AND(data[[#This Row],[Age]]&gt;=25,data[[#This Row],[Age]]&lt;=34),"25-34",IF(AND(data[[#This Row],[Age]]&gt;35,data[[#This Row],[Age]]&lt;=44),"35-44",IF(data[[#This Row],[Age]]&gt;44,"45+",IF(data[[#This Row],[Age]]&lt;18,"below 18 ")))))</f>
        <v>18-24</v>
      </c>
    </row>
    <row r="858" spans="1:31" x14ac:dyDescent="0.25">
      <c r="A858" t="s">
        <v>911</v>
      </c>
      <c r="B858">
        <v>22</v>
      </c>
      <c r="C858" t="s">
        <v>31</v>
      </c>
      <c r="D858" t="s">
        <v>39</v>
      </c>
      <c r="E858" t="s">
        <v>58</v>
      </c>
      <c r="F858" t="s">
        <v>51</v>
      </c>
      <c r="G858">
        <v>4.5</v>
      </c>
      <c r="H858">
        <v>3</v>
      </c>
      <c r="I858">
        <v>4</v>
      </c>
      <c r="J858" t="s">
        <v>35</v>
      </c>
      <c r="K858" t="s">
        <v>36</v>
      </c>
      <c r="L858">
        <v>51</v>
      </c>
      <c r="M858">
        <v>5.2</v>
      </c>
      <c r="N858">
        <v>3.7</v>
      </c>
      <c r="O858">
        <v>5.4</v>
      </c>
      <c r="P858">
        <v>3.3</v>
      </c>
      <c r="Q858" t="s">
        <v>35</v>
      </c>
      <c r="R858" t="s">
        <v>35</v>
      </c>
      <c r="T858">
        <v>6.9</v>
      </c>
      <c r="U858">
        <v>3.4</v>
      </c>
      <c r="V858">
        <v>7.2</v>
      </c>
      <c r="W858">
        <v>4.2</v>
      </c>
      <c r="X858">
        <v>7.3</v>
      </c>
      <c r="Y858">
        <v>1.4</v>
      </c>
      <c r="Z858">
        <v>2.1</v>
      </c>
      <c r="AA858">
        <v>0.4</v>
      </c>
      <c r="AB858">
        <v>4.3</v>
      </c>
      <c r="AC858">
        <v>7.3</v>
      </c>
      <c r="AD858" t="s">
        <v>37</v>
      </c>
      <c r="AE858" t="str">
        <f>IF(AND(data[[#This Row],[Age]]&gt;=18,data[[#This Row],[Age]]&lt;=24),"18-24",IF(AND(data[[#This Row],[Age]]&gt;=25,data[[#This Row],[Age]]&lt;=34),"25-34",IF(AND(data[[#This Row],[Age]]&gt;35,data[[#This Row],[Age]]&lt;=44),"35-44",IF(data[[#This Row],[Age]]&gt;44,"45+",IF(data[[#This Row],[Age]]&lt;18,"below 18 ")))))</f>
        <v>18-24</v>
      </c>
    </row>
    <row r="859" spans="1:31" x14ac:dyDescent="0.25">
      <c r="A859" t="s">
        <v>912</v>
      </c>
      <c r="B859">
        <v>28</v>
      </c>
      <c r="D859" t="s">
        <v>64</v>
      </c>
      <c r="E859" t="s">
        <v>58</v>
      </c>
      <c r="F859" t="s">
        <v>59</v>
      </c>
      <c r="G859">
        <v>9.1</v>
      </c>
      <c r="H859">
        <v>3</v>
      </c>
      <c r="I859">
        <v>5</v>
      </c>
      <c r="J859" t="s">
        <v>42</v>
      </c>
      <c r="K859" t="s">
        <v>52</v>
      </c>
      <c r="L859">
        <v>63</v>
      </c>
      <c r="M859">
        <v>3.9</v>
      </c>
      <c r="N859">
        <v>8.6999999999999993</v>
      </c>
      <c r="O859">
        <v>10</v>
      </c>
      <c r="P859">
        <v>9</v>
      </c>
      <c r="Q859" t="s">
        <v>42</v>
      </c>
      <c r="R859" t="s">
        <v>42</v>
      </c>
      <c r="S859">
        <v>0</v>
      </c>
      <c r="T859">
        <v>4.9000000000000004</v>
      </c>
      <c r="U859">
        <v>4.0999999999999996</v>
      </c>
      <c r="V859">
        <v>4.0999999999999996</v>
      </c>
      <c r="W859">
        <v>4.8</v>
      </c>
      <c r="X859">
        <v>6.1</v>
      </c>
      <c r="Y859">
        <v>3.6</v>
      </c>
      <c r="Z859">
        <v>6.3</v>
      </c>
      <c r="AA859">
        <v>3.2</v>
      </c>
      <c r="AB859">
        <v>6.5</v>
      </c>
      <c r="AC859">
        <v>5.0999999999999996</v>
      </c>
      <c r="AD859" t="s">
        <v>43</v>
      </c>
      <c r="AE859" t="str">
        <f>IF(AND(data[[#This Row],[Age]]&gt;=18,data[[#This Row],[Age]]&lt;=24),"18-24",IF(AND(data[[#This Row],[Age]]&gt;=25,data[[#This Row],[Age]]&lt;=34),"25-34",IF(AND(data[[#This Row],[Age]]&gt;35,data[[#This Row],[Age]]&lt;=44),"35-44",IF(data[[#This Row],[Age]]&gt;44,"45+",IF(data[[#This Row],[Age]]&lt;18,"below 18 ")))))</f>
        <v>25-34</v>
      </c>
    </row>
    <row r="860" spans="1:31" x14ac:dyDescent="0.25">
      <c r="A860" t="s">
        <v>913</v>
      </c>
      <c r="B860">
        <v>31</v>
      </c>
      <c r="D860" t="s">
        <v>39</v>
      </c>
      <c r="E860" t="s">
        <v>58</v>
      </c>
      <c r="F860" t="s">
        <v>41</v>
      </c>
      <c r="G860">
        <v>3.9</v>
      </c>
      <c r="H860">
        <v>1</v>
      </c>
      <c r="I860">
        <v>6</v>
      </c>
      <c r="J860" t="s">
        <v>42</v>
      </c>
      <c r="K860" t="s">
        <v>36</v>
      </c>
      <c r="L860">
        <v>53</v>
      </c>
      <c r="M860">
        <v>6.6</v>
      </c>
      <c r="N860">
        <v>7.2</v>
      </c>
      <c r="P860">
        <v>9</v>
      </c>
      <c r="Q860" t="s">
        <v>42</v>
      </c>
      <c r="R860" t="s">
        <v>42</v>
      </c>
      <c r="S860">
        <v>8.4</v>
      </c>
      <c r="T860">
        <v>5.4</v>
      </c>
      <c r="U860">
        <v>0.9</v>
      </c>
      <c r="V860">
        <v>7.6</v>
      </c>
      <c r="W860">
        <v>3.3</v>
      </c>
      <c r="X860">
        <v>4.7</v>
      </c>
      <c r="Y860">
        <v>4.4000000000000004</v>
      </c>
      <c r="Z860">
        <v>7.5</v>
      </c>
      <c r="AA860">
        <v>4.5</v>
      </c>
      <c r="AB860">
        <v>4.7</v>
      </c>
      <c r="AC860">
        <v>3.7</v>
      </c>
      <c r="AD860" t="s">
        <v>43</v>
      </c>
      <c r="AE860" t="str">
        <f>IF(AND(data[[#This Row],[Age]]&gt;=18,data[[#This Row],[Age]]&lt;=24),"18-24",IF(AND(data[[#This Row],[Age]]&gt;=25,data[[#This Row],[Age]]&lt;=34),"25-34",IF(AND(data[[#This Row],[Age]]&gt;35,data[[#This Row],[Age]]&lt;=44),"35-44",IF(data[[#This Row],[Age]]&gt;44,"45+",IF(data[[#This Row],[Age]]&lt;18,"below 18 ")))))</f>
        <v>25-34</v>
      </c>
    </row>
    <row r="861" spans="1:31" x14ac:dyDescent="0.25">
      <c r="A861" t="s">
        <v>914</v>
      </c>
      <c r="B861">
        <v>43</v>
      </c>
      <c r="C861" t="s">
        <v>47</v>
      </c>
      <c r="D861" t="s">
        <v>39</v>
      </c>
      <c r="E861" t="s">
        <v>33</v>
      </c>
      <c r="F861" t="s">
        <v>48</v>
      </c>
      <c r="G861">
        <v>1</v>
      </c>
      <c r="H861">
        <v>3</v>
      </c>
      <c r="I861">
        <v>3</v>
      </c>
      <c r="J861" t="s">
        <v>35</v>
      </c>
      <c r="K861" t="s">
        <v>62</v>
      </c>
      <c r="L861">
        <v>54</v>
      </c>
      <c r="M861">
        <v>6.4</v>
      </c>
      <c r="N861">
        <v>7.1</v>
      </c>
      <c r="O861">
        <v>2.4</v>
      </c>
      <c r="P861">
        <v>5.5</v>
      </c>
      <c r="Q861" t="s">
        <v>35</v>
      </c>
      <c r="R861" t="s">
        <v>42</v>
      </c>
      <c r="S861">
        <v>6.2</v>
      </c>
      <c r="T861">
        <v>1.4</v>
      </c>
      <c r="U861">
        <v>6.2</v>
      </c>
      <c r="V861">
        <v>4.5999999999999996</v>
      </c>
      <c r="X861">
        <v>7.3</v>
      </c>
      <c r="Y861">
        <v>7</v>
      </c>
      <c r="Z861">
        <v>8.4</v>
      </c>
      <c r="AA861">
        <v>2</v>
      </c>
      <c r="AB861">
        <v>5.8</v>
      </c>
      <c r="AC861">
        <v>7.3</v>
      </c>
      <c r="AD861" t="s">
        <v>37</v>
      </c>
      <c r="AE861" t="str">
        <f>IF(AND(data[[#This Row],[Age]]&gt;=18,data[[#This Row],[Age]]&lt;=24),"18-24",IF(AND(data[[#This Row],[Age]]&gt;=25,data[[#This Row],[Age]]&lt;=34),"25-34",IF(AND(data[[#This Row],[Age]]&gt;35,data[[#This Row],[Age]]&lt;=44),"35-44",IF(data[[#This Row],[Age]]&gt;44,"45+",IF(data[[#This Row],[Age]]&lt;18,"below 18 ")))))</f>
        <v>35-44</v>
      </c>
    </row>
    <row r="862" spans="1:31" x14ac:dyDescent="0.25">
      <c r="A862" t="s">
        <v>915</v>
      </c>
      <c r="B862">
        <v>17</v>
      </c>
      <c r="C862" t="s">
        <v>31</v>
      </c>
      <c r="D862" t="s">
        <v>32</v>
      </c>
      <c r="E862" t="s">
        <v>40</v>
      </c>
      <c r="F862" t="s">
        <v>34</v>
      </c>
      <c r="G862">
        <v>0.5</v>
      </c>
      <c r="H862">
        <v>8</v>
      </c>
      <c r="I862">
        <v>3</v>
      </c>
      <c r="J862" t="s">
        <v>35</v>
      </c>
      <c r="K862" t="s">
        <v>62</v>
      </c>
      <c r="L862">
        <v>13</v>
      </c>
      <c r="M862">
        <v>6.5</v>
      </c>
      <c r="N862">
        <v>2.4</v>
      </c>
      <c r="O862">
        <v>4.4000000000000004</v>
      </c>
      <c r="P862">
        <v>7.8</v>
      </c>
      <c r="Q862" t="s">
        <v>35</v>
      </c>
      <c r="R862" t="s">
        <v>42</v>
      </c>
      <c r="S862">
        <v>5.8</v>
      </c>
      <c r="T862">
        <v>4.5999999999999996</v>
      </c>
      <c r="U862">
        <v>7.5</v>
      </c>
      <c r="V862">
        <v>8.1999999999999993</v>
      </c>
      <c r="W862">
        <v>5.9</v>
      </c>
      <c r="X862">
        <v>7.4</v>
      </c>
      <c r="Y862">
        <v>4.7</v>
      </c>
      <c r="Z862">
        <v>4.3</v>
      </c>
      <c r="AA862">
        <v>3.5</v>
      </c>
      <c r="AB862">
        <v>1.6</v>
      </c>
      <c r="AC862">
        <v>7.7</v>
      </c>
      <c r="AD862" t="s">
        <v>37</v>
      </c>
      <c r="AE862" t="str">
        <f>IF(AND(data[[#This Row],[Age]]&gt;=18,data[[#This Row],[Age]]&lt;=24),"18-24",IF(AND(data[[#This Row],[Age]]&gt;=25,data[[#This Row],[Age]]&lt;=34),"25-34",IF(AND(data[[#This Row],[Age]]&gt;35,data[[#This Row],[Age]]&lt;=44),"35-44",IF(data[[#This Row],[Age]]&gt;44,"45+",IF(data[[#This Row],[Age]]&lt;18,"below 18 ")))))</f>
        <v xml:space="preserve">below 18 </v>
      </c>
    </row>
    <row r="863" spans="1:31" x14ac:dyDescent="0.25">
      <c r="A863" t="s">
        <v>916</v>
      </c>
      <c r="B863">
        <v>22</v>
      </c>
      <c r="C863" t="s">
        <v>50</v>
      </c>
      <c r="D863" t="s">
        <v>39</v>
      </c>
      <c r="E863" t="s">
        <v>40</v>
      </c>
      <c r="F863" t="s">
        <v>59</v>
      </c>
      <c r="G863">
        <v>4.3</v>
      </c>
      <c r="H863">
        <v>3</v>
      </c>
      <c r="I863">
        <v>2</v>
      </c>
      <c r="J863" t="s">
        <v>35</v>
      </c>
      <c r="K863" t="s">
        <v>36</v>
      </c>
      <c r="L863">
        <v>56</v>
      </c>
      <c r="M863">
        <v>6.9</v>
      </c>
      <c r="N863">
        <v>2.5</v>
      </c>
      <c r="O863">
        <v>4.9000000000000004</v>
      </c>
      <c r="P863">
        <v>7</v>
      </c>
      <c r="Q863" t="s">
        <v>42</v>
      </c>
      <c r="R863" t="s">
        <v>42</v>
      </c>
      <c r="S863">
        <v>5.0999999999999996</v>
      </c>
      <c r="T863">
        <v>1.3</v>
      </c>
      <c r="U863">
        <v>4.3</v>
      </c>
      <c r="V863">
        <v>8.1</v>
      </c>
      <c r="W863">
        <v>7.7</v>
      </c>
      <c r="X863">
        <v>8.6999999999999993</v>
      </c>
      <c r="Y863">
        <v>6.3</v>
      </c>
      <c r="Z863">
        <v>9</v>
      </c>
      <c r="AA863">
        <v>4.5</v>
      </c>
      <c r="AB863">
        <v>5.7</v>
      </c>
      <c r="AC863">
        <v>7</v>
      </c>
      <c r="AD863" t="s">
        <v>53</v>
      </c>
      <c r="AE863" t="str">
        <f>IF(AND(data[[#This Row],[Age]]&gt;=18,data[[#This Row],[Age]]&lt;=24),"18-24",IF(AND(data[[#This Row],[Age]]&gt;=25,data[[#This Row],[Age]]&lt;=34),"25-34",IF(AND(data[[#This Row],[Age]]&gt;35,data[[#This Row],[Age]]&lt;=44),"35-44",IF(data[[#This Row],[Age]]&gt;44,"45+",IF(data[[#This Row],[Age]]&lt;18,"below 18 ")))))</f>
        <v>18-24</v>
      </c>
    </row>
    <row r="864" spans="1:31" x14ac:dyDescent="0.25">
      <c r="A864" t="s">
        <v>917</v>
      </c>
      <c r="B864">
        <v>19</v>
      </c>
      <c r="C864" t="s">
        <v>31</v>
      </c>
      <c r="D864" t="s">
        <v>39</v>
      </c>
      <c r="E864" t="s">
        <v>40</v>
      </c>
      <c r="F864" t="s">
        <v>41</v>
      </c>
      <c r="H864">
        <v>2</v>
      </c>
      <c r="I864">
        <v>4</v>
      </c>
      <c r="J864" t="s">
        <v>42</v>
      </c>
      <c r="K864" t="s">
        <v>62</v>
      </c>
      <c r="L864">
        <v>95</v>
      </c>
      <c r="M864">
        <v>5.8</v>
      </c>
      <c r="N864">
        <v>6.8</v>
      </c>
      <c r="O864">
        <v>3.9</v>
      </c>
      <c r="P864">
        <v>6.7</v>
      </c>
      <c r="Q864" t="s">
        <v>42</v>
      </c>
      <c r="R864" t="s">
        <v>35</v>
      </c>
      <c r="S864">
        <v>2.7</v>
      </c>
      <c r="T864">
        <v>3.7</v>
      </c>
      <c r="U864">
        <v>3.6</v>
      </c>
      <c r="V864">
        <v>5.0999999999999996</v>
      </c>
      <c r="W864">
        <v>7.4</v>
      </c>
      <c r="X864">
        <v>7</v>
      </c>
      <c r="Y864">
        <v>6.4</v>
      </c>
      <c r="Z864">
        <v>3</v>
      </c>
      <c r="AA864">
        <v>7.2</v>
      </c>
      <c r="AB864">
        <v>3.8</v>
      </c>
      <c r="AC864">
        <v>6.8</v>
      </c>
      <c r="AD864" t="s">
        <v>53</v>
      </c>
      <c r="AE864" t="str">
        <f>IF(AND(data[[#This Row],[Age]]&gt;=18,data[[#This Row],[Age]]&lt;=24),"18-24",IF(AND(data[[#This Row],[Age]]&gt;=25,data[[#This Row],[Age]]&lt;=34),"25-34",IF(AND(data[[#This Row],[Age]]&gt;35,data[[#This Row],[Age]]&lt;=44),"35-44",IF(data[[#This Row],[Age]]&gt;44,"45+",IF(data[[#This Row],[Age]]&lt;18,"below 18 ")))))</f>
        <v>18-24</v>
      </c>
    </row>
    <row r="865" spans="1:31" x14ac:dyDescent="0.25">
      <c r="A865" t="s">
        <v>918</v>
      </c>
      <c r="B865">
        <v>17</v>
      </c>
      <c r="C865" t="s">
        <v>31</v>
      </c>
      <c r="D865" t="s">
        <v>39</v>
      </c>
      <c r="E865" t="s">
        <v>40</v>
      </c>
      <c r="F865" t="s">
        <v>34</v>
      </c>
      <c r="G865">
        <v>3.7</v>
      </c>
      <c r="H865">
        <v>3</v>
      </c>
      <c r="I865">
        <v>3</v>
      </c>
      <c r="J865" t="s">
        <v>42</v>
      </c>
      <c r="K865" t="s">
        <v>52</v>
      </c>
      <c r="L865">
        <v>76</v>
      </c>
      <c r="M865">
        <v>5.4</v>
      </c>
      <c r="N865">
        <v>7</v>
      </c>
      <c r="O865">
        <v>2.2999999999999998</v>
      </c>
      <c r="P865">
        <v>0.6</v>
      </c>
      <c r="Q865" t="s">
        <v>42</v>
      </c>
      <c r="R865" t="s">
        <v>35</v>
      </c>
      <c r="S865">
        <v>3.3</v>
      </c>
      <c r="T865">
        <v>4.7</v>
      </c>
      <c r="U865">
        <v>4.4000000000000004</v>
      </c>
      <c r="V865">
        <v>3.1</v>
      </c>
      <c r="X865">
        <v>7.9</v>
      </c>
      <c r="Y865">
        <v>5.5</v>
      </c>
      <c r="Z865">
        <v>2.9</v>
      </c>
      <c r="AA865">
        <v>2.6</v>
      </c>
      <c r="AB865">
        <v>4.8</v>
      </c>
      <c r="AC865">
        <v>8.1</v>
      </c>
      <c r="AD865" t="s">
        <v>37</v>
      </c>
      <c r="AE865" t="str">
        <f>IF(AND(data[[#This Row],[Age]]&gt;=18,data[[#This Row],[Age]]&lt;=24),"18-24",IF(AND(data[[#This Row],[Age]]&gt;=25,data[[#This Row],[Age]]&lt;=34),"25-34",IF(AND(data[[#This Row],[Age]]&gt;35,data[[#This Row],[Age]]&lt;=44),"35-44",IF(data[[#This Row],[Age]]&gt;44,"45+",IF(data[[#This Row],[Age]]&lt;18,"below 18 ")))))</f>
        <v xml:space="preserve">below 18 </v>
      </c>
    </row>
    <row r="866" spans="1:31" x14ac:dyDescent="0.25">
      <c r="A866" t="s">
        <v>919</v>
      </c>
      <c r="B866">
        <v>44</v>
      </c>
      <c r="C866" t="s">
        <v>47</v>
      </c>
      <c r="D866" t="s">
        <v>64</v>
      </c>
      <c r="E866" t="s">
        <v>58</v>
      </c>
      <c r="F866" t="s">
        <v>34</v>
      </c>
      <c r="G866">
        <v>4.8</v>
      </c>
      <c r="H866">
        <v>5</v>
      </c>
      <c r="I866">
        <v>4</v>
      </c>
      <c r="J866" t="s">
        <v>35</v>
      </c>
      <c r="K866" t="s">
        <v>62</v>
      </c>
      <c r="L866">
        <v>48</v>
      </c>
      <c r="M866">
        <v>4.5</v>
      </c>
      <c r="N866">
        <v>5.9</v>
      </c>
      <c r="O866">
        <v>4.2</v>
      </c>
      <c r="P866">
        <v>3.9</v>
      </c>
      <c r="Q866" t="s">
        <v>42</v>
      </c>
      <c r="R866" t="s">
        <v>35</v>
      </c>
      <c r="S866">
        <v>5.0999999999999996</v>
      </c>
      <c r="T866">
        <v>0.9</v>
      </c>
      <c r="U866">
        <v>3.2</v>
      </c>
      <c r="V866">
        <v>8.6</v>
      </c>
      <c r="W866">
        <v>9.1999999999999993</v>
      </c>
      <c r="X866">
        <v>5.0999999999999996</v>
      </c>
      <c r="Y866">
        <v>6.7</v>
      </c>
      <c r="Z866">
        <v>7.5</v>
      </c>
      <c r="AA866">
        <v>3.8</v>
      </c>
      <c r="AC866">
        <v>9.5</v>
      </c>
      <c r="AD866" t="s">
        <v>37</v>
      </c>
      <c r="AE866" t="str">
        <f>IF(AND(data[[#This Row],[Age]]&gt;=18,data[[#This Row],[Age]]&lt;=24),"18-24",IF(AND(data[[#This Row],[Age]]&gt;=25,data[[#This Row],[Age]]&lt;=34),"25-34",IF(AND(data[[#This Row],[Age]]&gt;35,data[[#This Row],[Age]]&lt;=44),"35-44",IF(data[[#This Row],[Age]]&gt;44,"45+",IF(data[[#This Row],[Age]]&lt;18,"below 18 ")))))</f>
        <v>35-44</v>
      </c>
    </row>
    <row r="867" spans="1:31" x14ac:dyDescent="0.25">
      <c r="A867" t="s">
        <v>920</v>
      </c>
      <c r="B867">
        <v>20</v>
      </c>
      <c r="C867" t="s">
        <v>50</v>
      </c>
      <c r="D867" t="s">
        <v>57</v>
      </c>
      <c r="E867" t="s">
        <v>40</v>
      </c>
      <c r="F867" t="s">
        <v>41</v>
      </c>
      <c r="G867">
        <v>2.8</v>
      </c>
      <c r="H867">
        <v>2</v>
      </c>
      <c r="I867">
        <v>3</v>
      </c>
      <c r="J867" t="s">
        <v>42</v>
      </c>
      <c r="K867" t="s">
        <v>62</v>
      </c>
      <c r="L867">
        <v>66</v>
      </c>
      <c r="M867">
        <v>7.2</v>
      </c>
      <c r="N867">
        <v>5.0999999999999996</v>
      </c>
      <c r="O867">
        <v>3.8</v>
      </c>
      <c r="P867">
        <v>3.1</v>
      </c>
      <c r="Q867" t="s">
        <v>35</v>
      </c>
      <c r="R867" t="s">
        <v>42</v>
      </c>
      <c r="S867">
        <v>6.8</v>
      </c>
      <c r="T867">
        <v>8</v>
      </c>
      <c r="U867">
        <v>4.9000000000000004</v>
      </c>
      <c r="V867">
        <v>5.3</v>
      </c>
      <c r="W867">
        <v>5.3</v>
      </c>
      <c r="X867">
        <v>7.7</v>
      </c>
      <c r="Y867">
        <v>8.1999999999999993</v>
      </c>
      <c r="Z867">
        <v>4.4000000000000004</v>
      </c>
      <c r="AA867">
        <v>3.7</v>
      </c>
      <c r="AB867">
        <v>3.4</v>
      </c>
      <c r="AC867">
        <v>5.9</v>
      </c>
      <c r="AD867" t="s">
        <v>53</v>
      </c>
      <c r="AE867" t="str">
        <f>IF(AND(data[[#This Row],[Age]]&gt;=18,data[[#This Row],[Age]]&lt;=24),"18-24",IF(AND(data[[#This Row],[Age]]&gt;=25,data[[#This Row],[Age]]&lt;=34),"25-34",IF(AND(data[[#This Row],[Age]]&gt;35,data[[#This Row],[Age]]&lt;=44),"35-44",IF(data[[#This Row],[Age]]&gt;44,"45+",IF(data[[#This Row],[Age]]&lt;18,"below 18 ")))))</f>
        <v>18-24</v>
      </c>
    </row>
    <row r="868" spans="1:31" x14ac:dyDescent="0.25">
      <c r="A868" t="s">
        <v>921</v>
      </c>
      <c r="B868">
        <v>28</v>
      </c>
      <c r="C868" t="s">
        <v>31</v>
      </c>
      <c r="D868" t="s">
        <v>57</v>
      </c>
      <c r="E868" t="s">
        <v>33</v>
      </c>
      <c r="F868" t="s">
        <v>34</v>
      </c>
      <c r="G868">
        <v>7.2</v>
      </c>
      <c r="H868">
        <v>3</v>
      </c>
      <c r="I868">
        <v>2</v>
      </c>
      <c r="J868" t="s">
        <v>42</v>
      </c>
      <c r="K868" t="s">
        <v>36</v>
      </c>
      <c r="L868">
        <v>24</v>
      </c>
      <c r="M868">
        <v>3.2</v>
      </c>
      <c r="N868">
        <v>5.9</v>
      </c>
      <c r="O868">
        <v>4.9000000000000004</v>
      </c>
      <c r="P868">
        <v>6</v>
      </c>
      <c r="Q868" t="s">
        <v>35</v>
      </c>
      <c r="R868" t="s">
        <v>35</v>
      </c>
      <c r="S868">
        <v>4.4000000000000004</v>
      </c>
      <c r="T868">
        <v>5.6</v>
      </c>
      <c r="V868">
        <v>6.1</v>
      </c>
      <c r="W868">
        <v>0.5</v>
      </c>
      <c r="X868">
        <v>8.8000000000000007</v>
      </c>
      <c r="Y868">
        <v>5.9</v>
      </c>
      <c r="Z868">
        <v>4</v>
      </c>
      <c r="AA868">
        <v>5.3</v>
      </c>
      <c r="AB868">
        <v>2.6</v>
      </c>
      <c r="AC868">
        <v>6</v>
      </c>
      <c r="AD868" t="s">
        <v>45</v>
      </c>
      <c r="AE868" t="str">
        <f>IF(AND(data[[#This Row],[Age]]&gt;=18,data[[#This Row],[Age]]&lt;=24),"18-24",IF(AND(data[[#This Row],[Age]]&gt;=25,data[[#This Row],[Age]]&lt;=34),"25-34",IF(AND(data[[#This Row],[Age]]&gt;35,data[[#This Row],[Age]]&lt;=44),"35-44",IF(data[[#This Row],[Age]]&gt;44,"45+",IF(data[[#This Row],[Age]]&lt;18,"below 18 ")))))</f>
        <v>25-34</v>
      </c>
    </row>
    <row r="869" spans="1:31" x14ac:dyDescent="0.25">
      <c r="A869" t="s">
        <v>922</v>
      </c>
      <c r="B869">
        <v>39</v>
      </c>
      <c r="C869" t="s">
        <v>31</v>
      </c>
      <c r="D869" t="s">
        <v>39</v>
      </c>
      <c r="E869" t="s">
        <v>58</v>
      </c>
      <c r="F869" t="s">
        <v>59</v>
      </c>
      <c r="G869">
        <v>5.5</v>
      </c>
      <c r="H869">
        <v>4</v>
      </c>
      <c r="I869">
        <v>0</v>
      </c>
      <c r="J869" t="s">
        <v>35</v>
      </c>
      <c r="K869" t="s">
        <v>52</v>
      </c>
      <c r="L869">
        <v>62</v>
      </c>
      <c r="M869">
        <v>1.1000000000000001</v>
      </c>
      <c r="N869">
        <v>3</v>
      </c>
      <c r="O869">
        <v>5.2</v>
      </c>
      <c r="P869">
        <v>5.6</v>
      </c>
      <c r="Q869" t="s">
        <v>35</v>
      </c>
      <c r="R869" t="s">
        <v>42</v>
      </c>
      <c r="S869">
        <v>7.1</v>
      </c>
      <c r="T869">
        <v>1.3</v>
      </c>
      <c r="U869">
        <v>5</v>
      </c>
      <c r="V869">
        <v>7.6</v>
      </c>
      <c r="W869">
        <v>6.5</v>
      </c>
      <c r="X869">
        <v>8.6999999999999993</v>
      </c>
      <c r="Y869">
        <v>9.4</v>
      </c>
      <c r="Z869">
        <v>5.4</v>
      </c>
      <c r="AA869">
        <v>1.5</v>
      </c>
      <c r="AB869">
        <v>5.7</v>
      </c>
      <c r="AC869">
        <v>7</v>
      </c>
      <c r="AD869" t="s">
        <v>53</v>
      </c>
      <c r="AE869" t="str">
        <f>IF(AND(data[[#This Row],[Age]]&gt;=18,data[[#This Row],[Age]]&lt;=24),"18-24",IF(AND(data[[#This Row],[Age]]&gt;=25,data[[#This Row],[Age]]&lt;=34),"25-34",IF(AND(data[[#This Row],[Age]]&gt;35,data[[#This Row],[Age]]&lt;=44),"35-44",IF(data[[#This Row],[Age]]&gt;44,"45+",IF(data[[#This Row],[Age]]&lt;18,"below 18 ")))))</f>
        <v>35-44</v>
      </c>
    </row>
    <row r="870" spans="1:31" x14ac:dyDescent="0.25">
      <c r="A870" t="s">
        <v>923</v>
      </c>
      <c r="B870">
        <v>15</v>
      </c>
      <c r="C870" t="s">
        <v>47</v>
      </c>
      <c r="D870" t="s">
        <v>64</v>
      </c>
      <c r="E870" t="s">
        <v>58</v>
      </c>
      <c r="F870" t="s">
        <v>34</v>
      </c>
      <c r="G870">
        <v>1.4</v>
      </c>
      <c r="H870">
        <v>5</v>
      </c>
      <c r="I870">
        <v>3</v>
      </c>
      <c r="J870" t="s">
        <v>42</v>
      </c>
      <c r="K870" t="s">
        <v>36</v>
      </c>
      <c r="L870">
        <v>71</v>
      </c>
      <c r="M870">
        <v>5.7</v>
      </c>
      <c r="N870">
        <v>4.8</v>
      </c>
      <c r="O870">
        <v>2.6</v>
      </c>
      <c r="P870">
        <v>5.7</v>
      </c>
      <c r="Q870" t="s">
        <v>42</v>
      </c>
      <c r="R870" t="s">
        <v>35</v>
      </c>
      <c r="S870">
        <v>5.2</v>
      </c>
      <c r="T870">
        <v>1.7</v>
      </c>
      <c r="U870">
        <v>6.9</v>
      </c>
      <c r="V870">
        <v>5.9</v>
      </c>
      <c r="W870">
        <v>7</v>
      </c>
      <c r="X870">
        <v>4.9000000000000004</v>
      </c>
      <c r="Y870">
        <v>3.8</v>
      </c>
      <c r="Z870">
        <v>8.1</v>
      </c>
      <c r="AA870">
        <v>2.7</v>
      </c>
      <c r="AB870">
        <v>3.4</v>
      </c>
      <c r="AC870">
        <v>6.5</v>
      </c>
      <c r="AD870" t="s">
        <v>53</v>
      </c>
      <c r="AE870" t="str">
        <f>IF(AND(data[[#This Row],[Age]]&gt;=18,data[[#This Row],[Age]]&lt;=24),"18-24",IF(AND(data[[#This Row],[Age]]&gt;=25,data[[#This Row],[Age]]&lt;=34),"25-34",IF(AND(data[[#This Row],[Age]]&gt;35,data[[#This Row],[Age]]&lt;=44),"35-44",IF(data[[#This Row],[Age]]&gt;44,"45+",IF(data[[#This Row],[Age]]&lt;18,"below 18 ")))))</f>
        <v xml:space="preserve">below 18 </v>
      </c>
    </row>
    <row r="871" spans="1:31" x14ac:dyDescent="0.25">
      <c r="A871" t="s">
        <v>924</v>
      </c>
      <c r="B871">
        <v>36</v>
      </c>
      <c r="C871" t="s">
        <v>50</v>
      </c>
      <c r="D871" t="s">
        <v>39</v>
      </c>
      <c r="E871" t="s">
        <v>58</v>
      </c>
      <c r="F871" t="s">
        <v>51</v>
      </c>
      <c r="G871">
        <v>3.1</v>
      </c>
      <c r="H871">
        <v>4</v>
      </c>
      <c r="I871">
        <v>1</v>
      </c>
      <c r="J871" t="s">
        <v>35</v>
      </c>
      <c r="K871" t="s">
        <v>36</v>
      </c>
      <c r="L871">
        <v>50</v>
      </c>
      <c r="M871">
        <v>5.9</v>
      </c>
      <c r="N871">
        <v>5.4</v>
      </c>
      <c r="O871">
        <v>1.9</v>
      </c>
      <c r="P871">
        <v>3.6</v>
      </c>
      <c r="Q871" t="s">
        <v>35</v>
      </c>
      <c r="R871" t="s">
        <v>42</v>
      </c>
      <c r="S871">
        <v>7.2</v>
      </c>
      <c r="T871">
        <v>4.4000000000000004</v>
      </c>
      <c r="U871">
        <v>1</v>
      </c>
      <c r="V871">
        <v>2.7</v>
      </c>
      <c r="W871">
        <v>4.9000000000000004</v>
      </c>
      <c r="X871">
        <v>5.8</v>
      </c>
      <c r="Y871">
        <v>6.3</v>
      </c>
      <c r="Z871">
        <v>3.9</v>
      </c>
      <c r="AA871">
        <v>1.8</v>
      </c>
      <c r="AB871">
        <v>5.9</v>
      </c>
      <c r="AC871">
        <v>6.4</v>
      </c>
      <c r="AD871" t="s">
        <v>53</v>
      </c>
      <c r="AE871" t="str">
        <f>IF(AND(data[[#This Row],[Age]]&gt;=18,data[[#This Row],[Age]]&lt;=24),"18-24",IF(AND(data[[#This Row],[Age]]&gt;=25,data[[#This Row],[Age]]&lt;=34),"25-34",IF(AND(data[[#This Row],[Age]]&gt;35,data[[#This Row],[Age]]&lt;=44),"35-44",IF(data[[#This Row],[Age]]&gt;44,"45+",IF(data[[#This Row],[Age]]&lt;18,"below 18 ")))))</f>
        <v>35-44</v>
      </c>
    </row>
    <row r="872" spans="1:31" x14ac:dyDescent="0.25">
      <c r="A872" t="s">
        <v>925</v>
      </c>
      <c r="B872">
        <v>18</v>
      </c>
      <c r="C872" t="s">
        <v>47</v>
      </c>
      <c r="D872" t="s">
        <v>32</v>
      </c>
      <c r="E872" t="s">
        <v>58</v>
      </c>
      <c r="F872" t="s">
        <v>48</v>
      </c>
      <c r="H872">
        <v>4</v>
      </c>
      <c r="I872">
        <v>5</v>
      </c>
      <c r="J872" t="s">
        <v>42</v>
      </c>
      <c r="K872" t="s">
        <v>36</v>
      </c>
      <c r="L872">
        <v>54</v>
      </c>
      <c r="M872">
        <v>2.4</v>
      </c>
      <c r="N872">
        <v>10</v>
      </c>
      <c r="O872">
        <v>3.8</v>
      </c>
      <c r="P872">
        <v>8</v>
      </c>
      <c r="Q872" t="s">
        <v>35</v>
      </c>
      <c r="R872" t="s">
        <v>42</v>
      </c>
      <c r="S872">
        <v>7.1</v>
      </c>
      <c r="T872">
        <v>2.8</v>
      </c>
      <c r="U872">
        <v>7</v>
      </c>
      <c r="V872">
        <v>6.6</v>
      </c>
      <c r="W872">
        <v>6.3</v>
      </c>
      <c r="X872">
        <v>7.3</v>
      </c>
      <c r="Y872">
        <v>7.5</v>
      </c>
      <c r="Z872">
        <v>6.6</v>
      </c>
      <c r="AA872">
        <v>0</v>
      </c>
      <c r="AB872">
        <v>6.3</v>
      </c>
      <c r="AC872">
        <v>4.4000000000000004</v>
      </c>
      <c r="AD872" t="s">
        <v>43</v>
      </c>
      <c r="AE872" t="str">
        <f>IF(AND(data[[#This Row],[Age]]&gt;=18,data[[#This Row],[Age]]&lt;=24),"18-24",IF(AND(data[[#This Row],[Age]]&gt;=25,data[[#This Row],[Age]]&lt;=34),"25-34",IF(AND(data[[#This Row],[Age]]&gt;35,data[[#This Row],[Age]]&lt;=44),"35-44",IF(data[[#This Row],[Age]]&gt;44,"45+",IF(data[[#This Row],[Age]]&lt;18,"below 18 ")))))</f>
        <v>18-24</v>
      </c>
    </row>
    <row r="873" spans="1:31" x14ac:dyDescent="0.25">
      <c r="A873" t="s">
        <v>926</v>
      </c>
      <c r="B873">
        <v>26</v>
      </c>
      <c r="C873" t="s">
        <v>50</v>
      </c>
      <c r="D873" t="s">
        <v>32</v>
      </c>
      <c r="E873" t="s">
        <v>58</v>
      </c>
      <c r="F873" t="s">
        <v>41</v>
      </c>
      <c r="G873">
        <v>4.4000000000000004</v>
      </c>
      <c r="H873">
        <v>2</v>
      </c>
      <c r="I873">
        <v>4</v>
      </c>
      <c r="J873" t="s">
        <v>42</v>
      </c>
      <c r="K873" t="s">
        <v>36</v>
      </c>
      <c r="L873">
        <v>23</v>
      </c>
      <c r="M873">
        <v>4.9000000000000004</v>
      </c>
      <c r="N873">
        <v>4.5999999999999996</v>
      </c>
      <c r="O873">
        <v>5.5</v>
      </c>
      <c r="P873">
        <v>4.7</v>
      </c>
      <c r="Q873" t="s">
        <v>42</v>
      </c>
      <c r="R873" t="s">
        <v>35</v>
      </c>
      <c r="S873">
        <v>3.4</v>
      </c>
      <c r="T873">
        <v>5.5</v>
      </c>
      <c r="U873">
        <v>0.8</v>
      </c>
      <c r="V873">
        <v>5.6</v>
      </c>
      <c r="W873">
        <v>2.8</v>
      </c>
      <c r="X873">
        <v>6.1</v>
      </c>
      <c r="Y873">
        <v>6.6</v>
      </c>
      <c r="Z873">
        <v>6.4</v>
      </c>
      <c r="AA873">
        <v>3</v>
      </c>
      <c r="AB873">
        <v>2.1</v>
      </c>
      <c r="AC873">
        <v>7.7</v>
      </c>
      <c r="AD873" t="s">
        <v>37</v>
      </c>
      <c r="AE873" t="str">
        <f>IF(AND(data[[#This Row],[Age]]&gt;=18,data[[#This Row],[Age]]&lt;=24),"18-24",IF(AND(data[[#This Row],[Age]]&gt;=25,data[[#This Row],[Age]]&lt;=34),"25-34",IF(AND(data[[#This Row],[Age]]&gt;35,data[[#This Row],[Age]]&lt;=44),"35-44",IF(data[[#This Row],[Age]]&gt;44,"45+",IF(data[[#This Row],[Age]]&lt;18,"below 18 ")))))</f>
        <v>25-34</v>
      </c>
    </row>
    <row r="874" spans="1:31" x14ac:dyDescent="0.25">
      <c r="A874" t="s">
        <v>927</v>
      </c>
      <c r="B874">
        <v>30</v>
      </c>
      <c r="C874" t="s">
        <v>31</v>
      </c>
      <c r="D874" t="s">
        <v>32</v>
      </c>
      <c r="E874" t="s">
        <v>58</v>
      </c>
      <c r="F874" t="s">
        <v>41</v>
      </c>
      <c r="G874">
        <v>0.5</v>
      </c>
      <c r="H874">
        <v>4</v>
      </c>
      <c r="I874">
        <v>4</v>
      </c>
      <c r="J874" t="s">
        <v>35</v>
      </c>
      <c r="K874" t="s">
        <v>52</v>
      </c>
      <c r="L874">
        <v>87</v>
      </c>
      <c r="N874">
        <v>7.5</v>
      </c>
      <c r="O874">
        <v>7</v>
      </c>
      <c r="P874">
        <v>4.8</v>
      </c>
      <c r="Q874" t="s">
        <v>42</v>
      </c>
      <c r="R874" t="s">
        <v>42</v>
      </c>
      <c r="S874">
        <v>2.6</v>
      </c>
      <c r="T874">
        <v>6</v>
      </c>
      <c r="U874">
        <v>6.1</v>
      </c>
      <c r="V874">
        <v>4.2</v>
      </c>
      <c r="X874">
        <v>7.7</v>
      </c>
      <c r="Y874">
        <v>4.5999999999999996</v>
      </c>
      <c r="Z874">
        <v>7.2</v>
      </c>
      <c r="AA874">
        <v>3.7</v>
      </c>
      <c r="AB874">
        <v>2.9</v>
      </c>
      <c r="AC874">
        <v>5.6</v>
      </c>
      <c r="AD874" t="s">
        <v>45</v>
      </c>
      <c r="AE874" t="str">
        <f>IF(AND(data[[#This Row],[Age]]&gt;=18,data[[#This Row],[Age]]&lt;=24),"18-24",IF(AND(data[[#This Row],[Age]]&gt;=25,data[[#This Row],[Age]]&lt;=34),"25-34",IF(AND(data[[#This Row],[Age]]&gt;35,data[[#This Row],[Age]]&lt;=44),"35-44",IF(data[[#This Row],[Age]]&gt;44,"45+",IF(data[[#This Row],[Age]]&lt;18,"below 18 ")))))</f>
        <v>25-34</v>
      </c>
    </row>
    <row r="875" spans="1:31" x14ac:dyDescent="0.25">
      <c r="A875" t="s">
        <v>928</v>
      </c>
      <c r="B875">
        <v>41</v>
      </c>
      <c r="C875" t="s">
        <v>50</v>
      </c>
      <c r="D875" t="s">
        <v>57</v>
      </c>
      <c r="E875" t="s">
        <v>58</v>
      </c>
      <c r="F875" t="s">
        <v>41</v>
      </c>
      <c r="G875">
        <v>3.6</v>
      </c>
      <c r="H875">
        <v>1</v>
      </c>
      <c r="I875">
        <v>2</v>
      </c>
      <c r="J875" t="s">
        <v>42</v>
      </c>
      <c r="K875" t="s">
        <v>52</v>
      </c>
      <c r="L875">
        <v>17</v>
      </c>
      <c r="M875">
        <v>2.7</v>
      </c>
      <c r="N875">
        <v>5.3</v>
      </c>
      <c r="P875">
        <v>5.0999999999999996</v>
      </c>
      <c r="Q875" t="s">
        <v>35</v>
      </c>
      <c r="R875" t="s">
        <v>42</v>
      </c>
      <c r="S875">
        <v>6.5</v>
      </c>
      <c r="T875">
        <v>4.8</v>
      </c>
      <c r="U875">
        <v>4.8</v>
      </c>
      <c r="V875">
        <v>3.5</v>
      </c>
      <c r="W875">
        <v>4.5999999999999996</v>
      </c>
      <c r="X875">
        <v>5.8</v>
      </c>
      <c r="Y875">
        <v>0.4</v>
      </c>
      <c r="Z875">
        <v>6.4</v>
      </c>
      <c r="AA875">
        <v>2.1</v>
      </c>
      <c r="AB875">
        <v>2.9</v>
      </c>
      <c r="AC875">
        <v>5.4</v>
      </c>
      <c r="AD875" t="s">
        <v>45</v>
      </c>
      <c r="AE875" t="str">
        <f>IF(AND(data[[#This Row],[Age]]&gt;=18,data[[#This Row],[Age]]&lt;=24),"18-24",IF(AND(data[[#This Row],[Age]]&gt;=25,data[[#This Row],[Age]]&lt;=34),"25-34",IF(AND(data[[#This Row],[Age]]&gt;35,data[[#This Row],[Age]]&lt;=44),"35-44",IF(data[[#This Row],[Age]]&gt;44,"45+",IF(data[[#This Row],[Age]]&lt;18,"below 18 ")))))</f>
        <v>35-44</v>
      </c>
    </row>
    <row r="876" spans="1:31" x14ac:dyDescent="0.25">
      <c r="A876" t="s">
        <v>929</v>
      </c>
      <c r="B876">
        <v>44</v>
      </c>
      <c r="C876" t="s">
        <v>31</v>
      </c>
      <c r="E876" t="s">
        <v>58</v>
      </c>
      <c r="F876" t="s">
        <v>48</v>
      </c>
      <c r="G876">
        <v>3.3</v>
      </c>
      <c r="H876">
        <v>7</v>
      </c>
      <c r="I876">
        <v>4</v>
      </c>
      <c r="J876" t="s">
        <v>35</v>
      </c>
      <c r="K876" t="s">
        <v>52</v>
      </c>
      <c r="L876">
        <v>145</v>
      </c>
      <c r="M876">
        <v>6.8</v>
      </c>
      <c r="N876">
        <v>7.8</v>
      </c>
      <c r="O876">
        <v>6.2</v>
      </c>
      <c r="P876">
        <v>6.1</v>
      </c>
      <c r="Q876" t="s">
        <v>35</v>
      </c>
      <c r="R876" t="s">
        <v>42</v>
      </c>
      <c r="S876">
        <v>5.0999999999999996</v>
      </c>
      <c r="T876">
        <v>7</v>
      </c>
      <c r="U876">
        <v>4</v>
      </c>
      <c r="V876">
        <v>2.2999999999999998</v>
      </c>
      <c r="W876">
        <v>6.8</v>
      </c>
      <c r="X876">
        <v>7.1</v>
      </c>
      <c r="Y876">
        <v>5.8</v>
      </c>
      <c r="Z876">
        <v>4.9000000000000004</v>
      </c>
      <c r="AA876">
        <v>4.9000000000000004</v>
      </c>
      <c r="AB876">
        <v>2.8</v>
      </c>
      <c r="AC876">
        <v>4.3</v>
      </c>
      <c r="AD876" t="s">
        <v>43</v>
      </c>
      <c r="AE876" t="str">
        <f>IF(AND(data[[#This Row],[Age]]&gt;=18,data[[#This Row],[Age]]&lt;=24),"18-24",IF(AND(data[[#This Row],[Age]]&gt;=25,data[[#This Row],[Age]]&lt;=34),"25-34",IF(AND(data[[#This Row],[Age]]&gt;35,data[[#This Row],[Age]]&lt;=44),"35-44",IF(data[[#This Row],[Age]]&gt;44,"45+",IF(data[[#This Row],[Age]]&lt;18,"below 18 ")))))</f>
        <v>35-44</v>
      </c>
    </row>
    <row r="877" spans="1:31" x14ac:dyDescent="0.25">
      <c r="A877" t="s">
        <v>930</v>
      </c>
      <c r="B877">
        <v>30</v>
      </c>
      <c r="C877" t="s">
        <v>47</v>
      </c>
      <c r="D877" t="s">
        <v>32</v>
      </c>
      <c r="E877" t="s">
        <v>58</v>
      </c>
      <c r="F877" t="s">
        <v>41</v>
      </c>
      <c r="G877">
        <v>0.5</v>
      </c>
      <c r="H877">
        <v>2</v>
      </c>
      <c r="I877">
        <v>3</v>
      </c>
      <c r="J877" t="s">
        <v>35</v>
      </c>
      <c r="K877" t="s">
        <v>52</v>
      </c>
      <c r="L877">
        <v>72</v>
      </c>
      <c r="M877">
        <v>3.2</v>
      </c>
      <c r="N877">
        <v>8.1</v>
      </c>
      <c r="O877">
        <v>2.8</v>
      </c>
      <c r="P877">
        <v>2.2000000000000002</v>
      </c>
      <c r="Q877" t="s">
        <v>42</v>
      </c>
      <c r="R877" t="s">
        <v>42</v>
      </c>
      <c r="S877">
        <v>5.6</v>
      </c>
      <c r="T877">
        <v>4.5999999999999996</v>
      </c>
      <c r="U877">
        <v>6.2</v>
      </c>
      <c r="W877">
        <v>4.7</v>
      </c>
      <c r="X877">
        <v>10</v>
      </c>
      <c r="Y877">
        <v>3.2</v>
      </c>
      <c r="Z877">
        <v>2.9</v>
      </c>
      <c r="AB877">
        <v>2.2999999999999998</v>
      </c>
      <c r="AC877">
        <v>8</v>
      </c>
      <c r="AD877" t="s">
        <v>37</v>
      </c>
      <c r="AE877" t="str">
        <f>IF(AND(data[[#This Row],[Age]]&gt;=18,data[[#This Row],[Age]]&lt;=24),"18-24",IF(AND(data[[#This Row],[Age]]&gt;=25,data[[#This Row],[Age]]&lt;=34),"25-34",IF(AND(data[[#This Row],[Age]]&gt;35,data[[#This Row],[Age]]&lt;=44),"35-44",IF(data[[#This Row],[Age]]&gt;44,"45+",IF(data[[#This Row],[Age]]&lt;18,"below 18 ")))))</f>
        <v>25-34</v>
      </c>
    </row>
    <row r="878" spans="1:31" x14ac:dyDescent="0.25">
      <c r="A878" t="s">
        <v>931</v>
      </c>
      <c r="B878">
        <v>19</v>
      </c>
      <c r="C878" t="s">
        <v>50</v>
      </c>
      <c r="D878" t="s">
        <v>32</v>
      </c>
      <c r="E878" t="s">
        <v>33</v>
      </c>
      <c r="F878" t="s">
        <v>51</v>
      </c>
      <c r="G878">
        <v>5.4</v>
      </c>
      <c r="H878">
        <v>4</v>
      </c>
      <c r="I878">
        <v>3</v>
      </c>
      <c r="J878" t="s">
        <v>42</v>
      </c>
      <c r="K878" t="s">
        <v>36</v>
      </c>
      <c r="L878">
        <v>86</v>
      </c>
      <c r="M878">
        <v>5.2</v>
      </c>
      <c r="N878">
        <v>6.9</v>
      </c>
      <c r="O878">
        <v>5.2</v>
      </c>
      <c r="P878">
        <v>8.8000000000000007</v>
      </c>
      <c r="Q878" t="s">
        <v>42</v>
      </c>
      <c r="R878" t="s">
        <v>42</v>
      </c>
      <c r="S878">
        <v>7.6</v>
      </c>
      <c r="T878">
        <v>6.3</v>
      </c>
      <c r="U878">
        <v>2.2999999999999998</v>
      </c>
      <c r="V878">
        <v>5.5</v>
      </c>
      <c r="W878">
        <v>7.2</v>
      </c>
      <c r="X878">
        <v>5.5</v>
      </c>
      <c r="Y878">
        <v>5.9</v>
      </c>
      <c r="Z878">
        <v>10</v>
      </c>
      <c r="AA878">
        <v>2.2999999999999998</v>
      </c>
      <c r="AB878">
        <v>2</v>
      </c>
      <c r="AC878">
        <v>4.9000000000000004</v>
      </c>
      <c r="AD878" t="s">
        <v>45</v>
      </c>
      <c r="AE878" t="str">
        <f>IF(AND(data[[#This Row],[Age]]&gt;=18,data[[#This Row],[Age]]&lt;=24),"18-24",IF(AND(data[[#This Row],[Age]]&gt;=25,data[[#This Row],[Age]]&lt;=34),"25-34",IF(AND(data[[#This Row],[Age]]&gt;35,data[[#This Row],[Age]]&lt;=44),"35-44",IF(data[[#This Row],[Age]]&gt;44,"45+",IF(data[[#This Row],[Age]]&lt;18,"below 18 ")))))</f>
        <v>18-24</v>
      </c>
    </row>
    <row r="879" spans="1:31" x14ac:dyDescent="0.25">
      <c r="A879" t="s">
        <v>932</v>
      </c>
      <c r="B879">
        <v>36</v>
      </c>
      <c r="C879" t="s">
        <v>31</v>
      </c>
      <c r="D879" t="s">
        <v>32</v>
      </c>
      <c r="E879" t="s">
        <v>58</v>
      </c>
      <c r="F879" t="s">
        <v>34</v>
      </c>
      <c r="H879">
        <v>1</v>
      </c>
      <c r="I879">
        <v>11</v>
      </c>
      <c r="J879" t="s">
        <v>35</v>
      </c>
      <c r="K879" t="s">
        <v>52</v>
      </c>
      <c r="L879">
        <v>41</v>
      </c>
      <c r="M879">
        <v>8.1999999999999993</v>
      </c>
      <c r="N879">
        <v>8.1</v>
      </c>
      <c r="O879">
        <v>0.6</v>
      </c>
      <c r="P879">
        <v>4.9000000000000004</v>
      </c>
      <c r="R879" t="s">
        <v>42</v>
      </c>
      <c r="S879">
        <v>8.8000000000000007</v>
      </c>
      <c r="T879">
        <v>0</v>
      </c>
      <c r="U879">
        <v>3.2</v>
      </c>
      <c r="V879">
        <v>4.3</v>
      </c>
      <c r="W879">
        <v>3.6</v>
      </c>
      <c r="X879">
        <v>4.7</v>
      </c>
      <c r="Y879">
        <v>7.7</v>
      </c>
      <c r="Z879">
        <v>5.7</v>
      </c>
      <c r="AA879">
        <v>3.4</v>
      </c>
      <c r="AB879">
        <v>5.4</v>
      </c>
      <c r="AC879">
        <v>6</v>
      </c>
      <c r="AD879" t="s">
        <v>45</v>
      </c>
      <c r="AE879" t="str">
        <f>IF(AND(data[[#This Row],[Age]]&gt;=18,data[[#This Row],[Age]]&lt;=24),"18-24",IF(AND(data[[#This Row],[Age]]&gt;=25,data[[#This Row],[Age]]&lt;=34),"25-34",IF(AND(data[[#This Row],[Age]]&gt;35,data[[#This Row],[Age]]&lt;=44),"35-44",IF(data[[#This Row],[Age]]&gt;44,"45+",IF(data[[#This Row],[Age]]&lt;18,"below 18 ")))))</f>
        <v>35-44</v>
      </c>
    </row>
    <row r="880" spans="1:31" x14ac:dyDescent="0.25">
      <c r="A880" t="s">
        <v>933</v>
      </c>
      <c r="B880">
        <v>29</v>
      </c>
      <c r="C880" t="s">
        <v>47</v>
      </c>
      <c r="D880" t="s">
        <v>39</v>
      </c>
      <c r="E880" t="s">
        <v>58</v>
      </c>
      <c r="F880" t="s">
        <v>51</v>
      </c>
      <c r="G880">
        <v>3.2</v>
      </c>
      <c r="H880">
        <v>2</v>
      </c>
      <c r="I880">
        <v>3</v>
      </c>
      <c r="J880" t="s">
        <v>42</v>
      </c>
      <c r="K880" t="s">
        <v>62</v>
      </c>
      <c r="L880">
        <v>52</v>
      </c>
      <c r="N880">
        <v>3.8</v>
      </c>
      <c r="O880">
        <v>5.3</v>
      </c>
      <c r="P880">
        <v>6.7</v>
      </c>
      <c r="Q880" t="s">
        <v>42</v>
      </c>
      <c r="R880" t="s">
        <v>42</v>
      </c>
      <c r="S880">
        <v>4.9000000000000004</v>
      </c>
      <c r="T880">
        <v>4.5</v>
      </c>
      <c r="U880">
        <v>3.3</v>
      </c>
      <c r="V880">
        <v>4.5</v>
      </c>
      <c r="W880">
        <v>6.2</v>
      </c>
      <c r="X880">
        <v>6.2</v>
      </c>
      <c r="Y880">
        <v>4.8</v>
      </c>
      <c r="Z880">
        <v>4.3</v>
      </c>
      <c r="AA880">
        <v>5.5</v>
      </c>
      <c r="AB880">
        <v>2.2999999999999998</v>
      </c>
      <c r="AC880">
        <v>5.5</v>
      </c>
      <c r="AD880" t="s">
        <v>45</v>
      </c>
      <c r="AE880" t="str">
        <f>IF(AND(data[[#This Row],[Age]]&gt;=18,data[[#This Row],[Age]]&lt;=24),"18-24",IF(AND(data[[#This Row],[Age]]&gt;=25,data[[#This Row],[Age]]&lt;=34),"25-34",IF(AND(data[[#This Row],[Age]]&gt;35,data[[#This Row],[Age]]&lt;=44),"35-44",IF(data[[#This Row],[Age]]&gt;44,"45+",IF(data[[#This Row],[Age]]&lt;18,"below 18 ")))))</f>
        <v>25-34</v>
      </c>
    </row>
    <row r="881" spans="1:31" x14ac:dyDescent="0.25">
      <c r="A881" t="s">
        <v>934</v>
      </c>
      <c r="B881">
        <v>42</v>
      </c>
      <c r="C881" t="s">
        <v>47</v>
      </c>
      <c r="D881" t="s">
        <v>39</v>
      </c>
      <c r="E881" t="s">
        <v>40</v>
      </c>
      <c r="F881" t="s">
        <v>41</v>
      </c>
      <c r="H881">
        <v>1</v>
      </c>
      <c r="I881">
        <v>3</v>
      </c>
      <c r="J881" t="s">
        <v>35</v>
      </c>
      <c r="K881" t="s">
        <v>52</v>
      </c>
      <c r="L881">
        <v>11</v>
      </c>
      <c r="M881">
        <v>6.4</v>
      </c>
      <c r="N881">
        <v>3.6</v>
      </c>
      <c r="O881">
        <v>2.8</v>
      </c>
      <c r="P881">
        <v>4.0999999999999996</v>
      </c>
      <c r="Q881" t="s">
        <v>42</v>
      </c>
      <c r="R881" t="s">
        <v>42</v>
      </c>
      <c r="S881">
        <v>2.1</v>
      </c>
      <c r="T881">
        <v>6</v>
      </c>
      <c r="U881">
        <v>2.8</v>
      </c>
      <c r="V881">
        <v>4.7</v>
      </c>
      <c r="W881">
        <v>5.7</v>
      </c>
      <c r="X881">
        <v>6</v>
      </c>
      <c r="Y881">
        <v>6.2</v>
      </c>
      <c r="Z881">
        <v>8.1999999999999993</v>
      </c>
      <c r="AA881">
        <v>2.2000000000000002</v>
      </c>
      <c r="AB881">
        <v>7.9</v>
      </c>
      <c r="AC881">
        <v>8.8000000000000007</v>
      </c>
      <c r="AD881" t="s">
        <v>37</v>
      </c>
      <c r="AE881" t="str">
        <f>IF(AND(data[[#This Row],[Age]]&gt;=18,data[[#This Row],[Age]]&lt;=24),"18-24",IF(AND(data[[#This Row],[Age]]&gt;=25,data[[#This Row],[Age]]&lt;=34),"25-34",IF(AND(data[[#This Row],[Age]]&gt;35,data[[#This Row],[Age]]&lt;=44),"35-44",IF(data[[#This Row],[Age]]&gt;44,"45+",IF(data[[#This Row],[Age]]&lt;18,"below 18 ")))))</f>
        <v>35-44</v>
      </c>
    </row>
    <row r="882" spans="1:31" x14ac:dyDescent="0.25">
      <c r="A882" t="s">
        <v>935</v>
      </c>
      <c r="B882">
        <v>27</v>
      </c>
      <c r="C882" t="s">
        <v>31</v>
      </c>
      <c r="D882" t="s">
        <v>39</v>
      </c>
      <c r="E882" t="s">
        <v>58</v>
      </c>
      <c r="F882" t="s">
        <v>41</v>
      </c>
      <c r="G882">
        <v>3.9</v>
      </c>
      <c r="H882">
        <v>2</v>
      </c>
      <c r="I882">
        <v>6</v>
      </c>
      <c r="J882" t="s">
        <v>35</v>
      </c>
      <c r="K882" t="s">
        <v>52</v>
      </c>
      <c r="L882">
        <v>20</v>
      </c>
      <c r="M882">
        <v>5.2</v>
      </c>
      <c r="N882">
        <v>7.4</v>
      </c>
      <c r="O882">
        <v>2.6</v>
      </c>
      <c r="P882">
        <v>3.2</v>
      </c>
      <c r="Q882" t="s">
        <v>42</v>
      </c>
      <c r="R882" t="s">
        <v>35</v>
      </c>
      <c r="S882">
        <v>3.7</v>
      </c>
      <c r="T882">
        <v>2.2000000000000002</v>
      </c>
      <c r="U882">
        <v>6</v>
      </c>
      <c r="V882">
        <v>5.2</v>
      </c>
      <c r="W882">
        <v>5.3</v>
      </c>
      <c r="X882">
        <v>6.1</v>
      </c>
      <c r="Y882">
        <v>1.1000000000000001</v>
      </c>
      <c r="AA882">
        <v>1.2</v>
      </c>
      <c r="AB882">
        <v>3.4</v>
      </c>
      <c r="AC882">
        <v>7.8</v>
      </c>
      <c r="AD882" t="s">
        <v>37</v>
      </c>
      <c r="AE882" t="str">
        <f>IF(AND(data[[#This Row],[Age]]&gt;=18,data[[#This Row],[Age]]&lt;=24),"18-24",IF(AND(data[[#This Row],[Age]]&gt;=25,data[[#This Row],[Age]]&lt;=34),"25-34",IF(AND(data[[#This Row],[Age]]&gt;35,data[[#This Row],[Age]]&lt;=44),"35-44",IF(data[[#This Row],[Age]]&gt;44,"45+",IF(data[[#This Row],[Age]]&lt;18,"below 18 ")))))</f>
        <v>25-34</v>
      </c>
    </row>
    <row r="883" spans="1:31" x14ac:dyDescent="0.25">
      <c r="A883" t="s">
        <v>936</v>
      </c>
      <c r="B883">
        <v>39</v>
      </c>
      <c r="C883" t="s">
        <v>31</v>
      </c>
      <c r="D883" t="s">
        <v>57</v>
      </c>
      <c r="E883" t="s">
        <v>40</v>
      </c>
      <c r="F883" t="s">
        <v>41</v>
      </c>
      <c r="G883">
        <v>3.3</v>
      </c>
      <c r="H883">
        <v>2</v>
      </c>
      <c r="I883">
        <v>3</v>
      </c>
      <c r="J883" t="s">
        <v>42</v>
      </c>
      <c r="K883" t="s">
        <v>62</v>
      </c>
      <c r="L883">
        <v>114</v>
      </c>
      <c r="M883">
        <v>6.7</v>
      </c>
      <c r="N883">
        <v>6.7</v>
      </c>
      <c r="O883">
        <v>7.2</v>
      </c>
      <c r="P883">
        <v>6.3</v>
      </c>
      <c r="Q883" t="s">
        <v>42</v>
      </c>
      <c r="R883" t="s">
        <v>42</v>
      </c>
      <c r="S883">
        <v>3.4</v>
      </c>
      <c r="T883">
        <v>2</v>
      </c>
      <c r="U883">
        <v>5.8</v>
      </c>
      <c r="V883">
        <v>5.6</v>
      </c>
      <c r="W883">
        <v>6.5</v>
      </c>
      <c r="X883">
        <v>6.9</v>
      </c>
      <c r="Y883">
        <v>5.9</v>
      </c>
      <c r="Z883">
        <v>7.7</v>
      </c>
      <c r="AA883">
        <v>2.7</v>
      </c>
      <c r="AB883">
        <v>2.5</v>
      </c>
      <c r="AC883">
        <v>6.4</v>
      </c>
      <c r="AD883" t="s">
        <v>45</v>
      </c>
      <c r="AE883" t="str">
        <f>IF(AND(data[[#This Row],[Age]]&gt;=18,data[[#This Row],[Age]]&lt;=24),"18-24",IF(AND(data[[#This Row],[Age]]&gt;=25,data[[#This Row],[Age]]&lt;=34),"25-34",IF(AND(data[[#This Row],[Age]]&gt;35,data[[#This Row],[Age]]&lt;=44),"35-44",IF(data[[#This Row],[Age]]&gt;44,"45+",IF(data[[#This Row],[Age]]&lt;18,"below 18 ")))))</f>
        <v>35-44</v>
      </c>
    </row>
    <row r="884" spans="1:31" x14ac:dyDescent="0.25">
      <c r="A884" t="s">
        <v>937</v>
      </c>
      <c r="B884">
        <v>25</v>
      </c>
      <c r="C884" t="s">
        <v>47</v>
      </c>
      <c r="D884" t="s">
        <v>64</v>
      </c>
      <c r="E884" t="s">
        <v>33</v>
      </c>
      <c r="F884" t="s">
        <v>51</v>
      </c>
      <c r="G884">
        <v>4.2</v>
      </c>
      <c r="H884">
        <v>5</v>
      </c>
      <c r="I884">
        <v>3</v>
      </c>
      <c r="J884" t="s">
        <v>35</v>
      </c>
      <c r="K884" t="s">
        <v>52</v>
      </c>
      <c r="L884">
        <v>108</v>
      </c>
      <c r="M884">
        <v>3.9</v>
      </c>
      <c r="N884">
        <v>3.5</v>
      </c>
      <c r="O884">
        <v>5</v>
      </c>
      <c r="P884">
        <v>4.7</v>
      </c>
      <c r="Q884" t="s">
        <v>42</v>
      </c>
      <c r="R884" t="s">
        <v>35</v>
      </c>
      <c r="S884">
        <v>0.3</v>
      </c>
      <c r="T884">
        <v>7.5</v>
      </c>
      <c r="U884">
        <v>4.9000000000000004</v>
      </c>
      <c r="V884">
        <v>3.3</v>
      </c>
      <c r="W884">
        <v>5</v>
      </c>
      <c r="X884">
        <v>4.2</v>
      </c>
      <c r="Y884">
        <v>7.1</v>
      </c>
      <c r="Z884">
        <v>9.6999999999999993</v>
      </c>
      <c r="AA884">
        <v>1.8</v>
      </c>
      <c r="AB884">
        <v>1.3</v>
      </c>
      <c r="AC884">
        <v>6.9</v>
      </c>
      <c r="AD884" t="s">
        <v>37</v>
      </c>
      <c r="AE884" t="str">
        <f>IF(AND(data[[#This Row],[Age]]&gt;=18,data[[#This Row],[Age]]&lt;=24),"18-24",IF(AND(data[[#This Row],[Age]]&gt;=25,data[[#This Row],[Age]]&lt;=34),"25-34",IF(AND(data[[#This Row],[Age]]&gt;35,data[[#This Row],[Age]]&lt;=44),"35-44",IF(data[[#This Row],[Age]]&gt;44,"45+",IF(data[[#This Row],[Age]]&lt;18,"below 18 ")))))</f>
        <v>25-34</v>
      </c>
    </row>
    <row r="885" spans="1:31" x14ac:dyDescent="0.25">
      <c r="A885" t="s">
        <v>938</v>
      </c>
      <c r="B885">
        <v>42</v>
      </c>
      <c r="C885" t="s">
        <v>31</v>
      </c>
      <c r="D885" t="s">
        <v>39</v>
      </c>
      <c r="E885" t="s">
        <v>58</v>
      </c>
      <c r="F885" t="s">
        <v>48</v>
      </c>
      <c r="G885">
        <v>5.5</v>
      </c>
      <c r="H885">
        <v>4</v>
      </c>
      <c r="I885">
        <v>4</v>
      </c>
      <c r="J885" t="s">
        <v>42</v>
      </c>
      <c r="K885" t="s">
        <v>36</v>
      </c>
      <c r="L885">
        <v>79</v>
      </c>
      <c r="M885">
        <v>5.5</v>
      </c>
      <c r="N885">
        <v>5.2</v>
      </c>
      <c r="O885">
        <v>4.3</v>
      </c>
      <c r="P885">
        <v>3.1</v>
      </c>
      <c r="Q885" t="s">
        <v>42</v>
      </c>
      <c r="R885" t="s">
        <v>42</v>
      </c>
      <c r="S885">
        <v>7</v>
      </c>
      <c r="T885">
        <v>7.2</v>
      </c>
      <c r="W885">
        <v>7.5</v>
      </c>
      <c r="X885">
        <v>7.9</v>
      </c>
      <c r="Y885">
        <v>1.4</v>
      </c>
      <c r="Z885">
        <v>4.4000000000000004</v>
      </c>
      <c r="AA885">
        <v>3.9</v>
      </c>
      <c r="AB885">
        <v>1.5</v>
      </c>
      <c r="AC885">
        <v>5.6</v>
      </c>
      <c r="AD885" t="s">
        <v>45</v>
      </c>
      <c r="AE885" t="str">
        <f>IF(AND(data[[#This Row],[Age]]&gt;=18,data[[#This Row],[Age]]&lt;=24),"18-24",IF(AND(data[[#This Row],[Age]]&gt;=25,data[[#This Row],[Age]]&lt;=34),"25-34",IF(AND(data[[#This Row],[Age]]&gt;35,data[[#This Row],[Age]]&lt;=44),"35-44",IF(data[[#This Row],[Age]]&gt;44,"45+",IF(data[[#This Row],[Age]]&lt;18,"below 18 ")))))</f>
        <v>35-44</v>
      </c>
    </row>
    <row r="886" spans="1:31" x14ac:dyDescent="0.25">
      <c r="A886" t="s">
        <v>939</v>
      </c>
      <c r="B886">
        <v>15</v>
      </c>
      <c r="C886" t="s">
        <v>47</v>
      </c>
      <c r="D886" t="s">
        <v>57</v>
      </c>
      <c r="E886" t="s">
        <v>58</v>
      </c>
      <c r="F886" t="s">
        <v>51</v>
      </c>
      <c r="H886">
        <v>3</v>
      </c>
      <c r="I886">
        <v>2</v>
      </c>
      <c r="J886" t="s">
        <v>35</v>
      </c>
      <c r="K886" t="s">
        <v>52</v>
      </c>
      <c r="L886">
        <v>47</v>
      </c>
      <c r="M886">
        <v>3.6</v>
      </c>
      <c r="N886">
        <v>8.6999999999999993</v>
      </c>
      <c r="O886">
        <v>2.9</v>
      </c>
      <c r="P886">
        <v>0</v>
      </c>
      <c r="Q886" t="s">
        <v>35</v>
      </c>
      <c r="R886" t="s">
        <v>42</v>
      </c>
      <c r="S886">
        <v>3.4</v>
      </c>
      <c r="T886">
        <v>3.4</v>
      </c>
      <c r="U886">
        <v>1.8</v>
      </c>
      <c r="V886">
        <v>5.0999999999999996</v>
      </c>
      <c r="W886">
        <v>5.8</v>
      </c>
      <c r="X886">
        <v>4.9000000000000004</v>
      </c>
      <c r="Y886">
        <v>6.6</v>
      </c>
      <c r="Z886">
        <v>5.8</v>
      </c>
      <c r="AA886">
        <v>0</v>
      </c>
      <c r="AC886">
        <v>7.7</v>
      </c>
      <c r="AD886" t="s">
        <v>37</v>
      </c>
      <c r="AE886" t="str">
        <f>IF(AND(data[[#This Row],[Age]]&gt;=18,data[[#This Row],[Age]]&lt;=24),"18-24",IF(AND(data[[#This Row],[Age]]&gt;=25,data[[#This Row],[Age]]&lt;=34),"25-34",IF(AND(data[[#This Row],[Age]]&gt;35,data[[#This Row],[Age]]&lt;=44),"35-44",IF(data[[#This Row],[Age]]&gt;44,"45+",IF(data[[#This Row],[Age]]&lt;18,"below 18 ")))))</f>
        <v xml:space="preserve">below 18 </v>
      </c>
    </row>
    <row r="887" spans="1:31" x14ac:dyDescent="0.25">
      <c r="A887" t="s">
        <v>940</v>
      </c>
      <c r="B887">
        <v>36</v>
      </c>
      <c r="C887" t="s">
        <v>31</v>
      </c>
      <c r="D887" t="s">
        <v>39</v>
      </c>
      <c r="E887" t="s">
        <v>40</v>
      </c>
      <c r="F887" t="s">
        <v>51</v>
      </c>
      <c r="G887">
        <v>3.6</v>
      </c>
      <c r="H887">
        <v>5</v>
      </c>
      <c r="I887">
        <v>3</v>
      </c>
      <c r="J887" t="s">
        <v>35</v>
      </c>
      <c r="K887" t="s">
        <v>52</v>
      </c>
      <c r="L887">
        <v>32</v>
      </c>
      <c r="M887">
        <v>6.8</v>
      </c>
      <c r="N887">
        <v>4.3</v>
      </c>
      <c r="O887">
        <v>8.9</v>
      </c>
      <c r="P887">
        <v>6.4</v>
      </c>
      <c r="Q887" t="s">
        <v>42</v>
      </c>
      <c r="R887" t="s">
        <v>35</v>
      </c>
      <c r="S887">
        <v>3.3</v>
      </c>
      <c r="T887">
        <v>6.7</v>
      </c>
      <c r="U887">
        <v>7.1</v>
      </c>
      <c r="V887">
        <v>7.2</v>
      </c>
      <c r="W887">
        <v>8</v>
      </c>
      <c r="X887">
        <v>8.4</v>
      </c>
      <c r="Y887">
        <v>4.2</v>
      </c>
      <c r="Z887">
        <v>5.0999999999999996</v>
      </c>
      <c r="AA887">
        <v>3.8</v>
      </c>
      <c r="AB887">
        <v>0</v>
      </c>
      <c r="AC887">
        <v>7.6</v>
      </c>
      <c r="AD887" t="s">
        <v>53</v>
      </c>
      <c r="AE887" t="str">
        <f>IF(AND(data[[#This Row],[Age]]&gt;=18,data[[#This Row],[Age]]&lt;=24),"18-24",IF(AND(data[[#This Row],[Age]]&gt;=25,data[[#This Row],[Age]]&lt;=34),"25-34",IF(AND(data[[#This Row],[Age]]&gt;35,data[[#This Row],[Age]]&lt;=44),"35-44",IF(data[[#This Row],[Age]]&gt;44,"45+",IF(data[[#This Row],[Age]]&lt;18,"below 18 ")))))</f>
        <v>35-44</v>
      </c>
    </row>
    <row r="888" spans="1:31" x14ac:dyDescent="0.25">
      <c r="A888" t="s">
        <v>941</v>
      </c>
      <c r="B888">
        <v>40</v>
      </c>
      <c r="C888" t="s">
        <v>31</v>
      </c>
      <c r="D888" t="s">
        <v>39</v>
      </c>
      <c r="E888" t="s">
        <v>58</v>
      </c>
      <c r="F888" t="s">
        <v>70</v>
      </c>
      <c r="G888">
        <v>8.4</v>
      </c>
      <c r="H888">
        <v>2</v>
      </c>
      <c r="I888">
        <v>2</v>
      </c>
      <c r="J888" t="s">
        <v>35</v>
      </c>
      <c r="K888" t="s">
        <v>62</v>
      </c>
      <c r="L888">
        <v>74</v>
      </c>
      <c r="M888">
        <v>7.9</v>
      </c>
      <c r="N888">
        <v>5.4</v>
      </c>
      <c r="O888">
        <v>8.6</v>
      </c>
      <c r="P888">
        <v>7.4</v>
      </c>
      <c r="Q888" t="s">
        <v>42</v>
      </c>
      <c r="R888" t="s">
        <v>42</v>
      </c>
      <c r="S888">
        <v>5.6</v>
      </c>
      <c r="T888">
        <v>8.6</v>
      </c>
      <c r="U888">
        <v>1.5</v>
      </c>
      <c r="V888">
        <v>6.1</v>
      </c>
      <c r="W888">
        <v>3</v>
      </c>
      <c r="X888">
        <v>6.9</v>
      </c>
      <c r="Y888">
        <v>4.5999999999999996</v>
      </c>
      <c r="Z888">
        <v>5.5</v>
      </c>
      <c r="AA888">
        <v>3</v>
      </c>
      <c r="AB888">
        <v>5</v>
      </c>
      <c r="AC888">
        <v>5.4</v>
      </c>
      <c r="AD888" t="s">
        <v>45</v>
      </c>
      <c r="AE888" t="str">
        <f>IF(AND(data[[#This Row],[Age]]&gt;=18,data[[#This Row],[Age]]&lt;=24),"18-24",IF(AND(data[[#This Row],[Age]]&gt;=25,data[[#This Row],[Age]]&lt;=34),"25-34",IF(AND(data[[#This Row],[Age]]&gt;35,data[[#This Row],[Age]]&lt;=44),"35-44",IF(data[[#This Row],[Age]]&gt;44,"45+",IF(data[[#This Row],[Age]]&lt;18,"below 18 ")))))</f>
        <v>35-44</v>
      </c>
    </row>
    <row r="889" spans="1:31" x14ac:dyDescent="0.25">
      <c r="A889" t="s">
        <v>942</v>
      </c>
      <c r="B889">
        <v>28</v>
      </c>
      <c r="C889" t="s">
        <v>31</v>
      </c>
      <c r="D889" t="s">
        <v>39</v>
      </c>
      <c r="E889" t="s">
        <v>58</v>
      </c>
      <c r="F889" t="s">
        <v>51</v>
      </c>
      <c r="G889">
        <v>4</v>
      </c>
      <c r="H889">
        <v>3</v>
      </c>
      <c r="I889">
        <v>1</v>
      </c>
      <c r="J889" t="s">
        <v>35</v>
      </c>
      <c r="K889" t="s">
        <v>52</v>
      </c>
      <c r="L889">
        <v>5</v>
      </c>
      <c r="M889">
        <v>8.1</v>
      </c>
      <c r="N889">
        <v>6.7</v>
      </c>
      <c r="O889">
        <v>5.0999999999999996</v>
      </c>
      <c r="P889">
        <v>2.6</v>
      </c>
      <c r="Q889" t="s">
        <v>42</v>
      </c>
      <c r="R889" t="s">
        <v>35</v>
      </c>
      <c r="S889">
        <v>4.3</v>
      </c>
      <c r="T889">
        <v>3.8</v>
      </c>
      <c r="U889">
        <v>5.2</v>
      </c>
      <c r="V889">
        <v>4.8</v>
      </c>
      <c r="X889">
        <v>4.2</v>
      </c>
      <c r="Y889">
        <v>6.1</v>
      </c>
      <c r="Z889">
        <v>4.7</v>
      </c>
      <c r="AA889">
        <v>1.9</v>
      </c>
      <c r="AB889">
        <v>4.5</v>
      </c>
      <c r="AC889">
        <v>6.5</v>
      </c>
      <c r="AD889" t="s">
        <v>53</v>
      </c>
      <c r="AE889" t="str">
        <f>IF(AND(data[[#This Row],[Age]]&gt;=18,data[[#This Row],[Age]]&lt;=24),"18-24",IF(AND(data[[#This Row],[Age]]&gt;=25,data[[#This Row],[Age]]&lt;=34),"25-34",IF(AND(data[[#This Row],[Age]]&gt;35,data[[#This Row],[Age]]&lt;=44),"35-44",IF(data[[#This Row],[Age]]&gt;44,"45+",IF(data[[#This Row],[Age]]&lt;18,"below 18 ")))))</f>
        <v>25-34</v>
      </c>
    </row>
    <row r="890" spans="1:31" x14ac:dyDescent="0.25">
      <c r="A890" t="s">
        <v>943</v>
      </c>
      <c r="B890">
        <v>18</v>
      </c>
      <c r="C890" t="s">
        <v>47</v>
      </c>
      <c r="D890" t="s">
        <v>32</v>
      </c>
      <c r="E890" t="s">
        <v>33</v>
      </c>
      <c r="F890" t="s">
        <v>59</v>
      </c>
      <c r="G890">
        <v>4.5</v>
      </c>
      <c r="H890">
        <v>1</v>
      </c>
      <c r="I890">
        <v>5</v>
      </c>
      <c r="J890" t="s">
        <v>42</v>
      </c>
      <c r="K890" t="s">
        <v>52</v>
      </c>
      <c r="L890">
        <v>136</v>
      </c>
      <c r="M890">
        <v>4.5</v>
      </c>
      <c r="N890">
        <v>4.9000000000000004</v>
      </c>
      <c r="O890">
        <v>7.8</v>
      </c>
      <c r="P890">
        <v>5</v>
      </c>
      <c r="Q890" t="s">
        <v>42</v>
      </c>
      <c r="R890" t="s">
        <v>42</v>
      </c>
      <c r="S890">
        <v>6.6</v>
      </c>
      <c r="T890">
        <v>6</v>
      </c>
      <c r="U890">
        <v>3.9</v>
      </c>
      <c r="V890">
        <v>2.1</v>
      </c>
      <c r="W890">
        <v>6.3</v>
      </c>
      <c r="X890">
        <v>6.7</v>
      </c>
      <c r="Y890">
        <v>4.9000000000000004</v>
      </c>
      <c r="Z890">
        <v>1.3</v>
      </c>
      <c r="AA890">
        <v>3</v>
      </c>
      <c r="AB890">
        <v>2</v>
      </c>
      <c r="AC890">
        <v>4.0999999999999996</v>
      </c>
      <c r="AD890" t="s">
        <v>43</v>
      </c>
      <c r="AE890" t="str">
        <f>IF(AND(data[[#This Row],[Age]]&gt;=18,data[[#This Row],[Age]]&lt;=24),"18-24",IF(AND(data[[#This Row],[Age]]&gt;=25,data[[#This Row],[Age]]&lt;=34),"25-34",IF(AND(data[[#This Row],[Age]]&gt;35,data[[#This Row],[Age]]&lt;=44),"35-44",IF(data[[#This Row],[Age]]&gt;44,"45+",IF(data[[#This Row],[Age]]&lt;18,"below 18 ")))))</f>
        <v>18-24</v>
      </c>
    </row>
    <row r="891" spans="1:31" x14ac:dyDescent="0.25">
      <c r="A891" t="s">
        <v>944</v>
      </c>
      <c r="B891">
        <v>20</v>
      </c>
      <c r="C891" t="s">
        <v>31</v>
      </c>
      <c r="D891" t="s">
        <v>64</v>
      </c>
      <c r="E891" t="s">
        <v>58</v>
      </c>
      <c r="F891" t="s">
        <v>48</v>
      </c>
      <c r="G891">
        <v>5</v>
      </c>
      <c r="H891">
        <v>2</v>
      </c>
      <c r="I891">
        <v>3</v>
      </c>
      <c r="J891" t="s">
        <v>35</v>
      </c>
      <c r="K891" t="s">
        <v>36</v>
      </c>
      <c r="L891">
        <v>48</v>
      </c>
      <c r="M891">
        <v>1</v>
      </c>
      <c r="N891">
        <v>5.8</v>
      </c>
      <c r="O891">
        <v>3.9</v>
      </c>
      <c r="P891">
        <v>2.6</v>
      </c>
      <c r="Q891" t="s">
        <v>42</v>
      </c>
      <c r="R891" t="s">
        <v>35</v>
      </c>
      <c r="S891">
        <v>5.6</v>
      </c>
      <c r="T891">
        <v>4.5999999999999996</v>
      </c>
      <c r="U891">
        <v>2.9</v>
      </c>
      <c r="V891">
        <v>7.6</v>
      </c>
      <c r="W891">
        <v>5.6</v>
      </c>
      <c r="X891">
        <v>5.9</v>
      </c>
      <c r="Y891">
        <v>3.3</v>
      </c>
      <c r="Z891">
        <v>7.2</v>
      </c>
      <c r="AA891">
        <v>2.2999999999999998</v>
      </c>
      <c r="AB891">
        <v>0.5</v>
      </c>
      <c r="AC891">
        <v>8.3000000000000007</v>
      </c>
      <c r="AD891" t="s">
        <v>37</v>
      </c>
      <c r="AE891" t="str">
        <f>IF(AND(data[[#This Row],[Age]]&gt;=18,data[[#This Row],[Age]]&lt;=24),"18-24",IF(AND(data[[#This Row],[Age]]&gt;=25,data[[#This Row],[Age]]&lt;=34),"25-34",IF(AND(data[[#This Row],[Age]]&gt;35,data[[#This Row],[Age]]&lt;=44),"35-44",IF(data[[#This Row],[Age]]&gt;44,"45+",IF(data[[#This Row],[Age]]&lt;18,"below 18 ")))))</f>
        <v>18-24</v>
      </c>
    </row>
    <row r="892" spans="1:31" x14ac:dyDescent="0.25">
      <c r="A892" t="s">
        <v>945</v>
      </c>
      <c r="B892">
        <v>15</v>
      </c>
      <c r="C892" t="s">
        <v>31</v>
      </c>
      <c r="D892" t="s">
        <v>64</v>
      </c>
      <c r="E892" t="s">
        <v>58</v>
      </c>
      <c r="F892" t="s">
        <v>41</v>
      </c>
      <c r="H892">
        <v>2</v>
      </c>
      <c r="I892">
        <v>3</v>
      </c>
      <c r="J892" t="s">
        <v>35</v>
      </c>
      <c r="K892" t="s">
        <v>36</v>
      </c>
      <c r="L892">
        <v>118</v>
      </c>
      <c r="M892">
        <v>0.1</v>
      </c>
      <c r="N892">
        <v>8.4</v>
      </c>
      <c r="O892">
        <v>3.9</v>
      </c>
      <c r="P892">
        <v>10</v>
      </c>
      <c r="Q892" t="s">
        <v>35</v>
      </c>
      <c r="R892" t="s">
        <v>42</v>
      </c>
      <c r="S892">
        <v>3</v>
      </c>
      <c r="T892">
        <v>3.5</v>
      </c>
      <c r="U892">
        <v>3.8</v>
      </c>
      <c r="V892">
        <v>3.5</v>
      </c>
      <c r="W892">
        <v>5.8</v>
      </c>
      <c r="X892">
        <v>5.2</v>
      </c>
      <c r="Y892">
        <v>4.7</v>
      </c>
      <c r="Z892">
        <v>7.1</v>
      </c>
      <c r="AA892">
        <v>0</v>
      </c>
      <c r="AB892">
        <v>2.4</v>
      </c>
      <c r="AC892">
        <v>5.4</v>
      </c>
      <c r="AD892" t="s">
        <v>45</v>
      </c>
      <c r="AE892" t="str">
        <f>IF(AND(data[[#This Row],[Age]]&gt;=18,data[[#This Row],[Age]]&lt;=24),"18-24",IF(AND(data[[#This Row],[Age]]&gt;=25,data[[#This Row],[Age]]&lt;=34),"25-34",IF(AND(data[[#This Row],[Age]]&gt;35,data[[#This Row],[Age]]&lt;=44),"35-44",IF(data[[#This Row],[Age]]&gt;44,"45+",IF(data[[#This Row],[Age]]&lt;18,"below 18 ")))))</f>
        <v xml:space="preserve">below 18 </v>
      </c>
    </row>
    <row r="893" spans="1:31" x14ac:dyDescent="0.25">
      <c r="A893" t="s">
        <v>946</v>
      </c>
      <c r="B893">
        <v>28</v>
      </c>
      <c r="C893" t="s">
        <v>47</v>
      </c>
      <c r="D893" t="s">
        <v>39</v>
      </c>
      <c r="E893" t="s">
        <v>33</v>
      </c>
      <c r="F893" t="s">
        <v>51</v>
      </c>
      <c r="G893">
        <v>1.3</v>
      </c>
      <c r="H893">
        <v>2</v>
      </c>
      <c r="I893">
        <v>7</v>
      </c>
      <c r="J893" t="s">
        <v>42</v>
      </c>
      <c r="K893" t="s">
        <v>36</v>
      </c>
      <c r="L893">
        <v>122</v>
      </c>
      <c r="M893">
        <v>3.8</v>
      </c>
      <c r="N893">
        <v>2.1</v>
      </c>
      <c r="O893">
        <v>6.8</v>
      </c>
      <c r="P893">
        <v>4.5999999999999996</v>
      </c>
      <c r="Q893" t="s">
        <v>42</v>
      </c>
      <c r="R893" t="s">
        <v>35</v>
      </c>
      <c r="S893">
        <v>8.6999999999999993</v>
      </c>
      <c r="T893">
        <v>4.3</v>
      </c>
      <c r="U893">
        <v>3.4</v>
      </c>
      <c r="V893">
        <v>5.8</v>
      </c>
      <c r="W893">
        <v>8.1</v>
      </c>
      <c r="X893">
        <v>7</v>
      </c>
      <c r="Y893">
        <v>6.3</v>
      </c>
      <c r="Z893">
        <v>8</v>
      </c>
      <c r="AA893">
        <v>2.4</v>
      </c>
      <c r="AB893">
        <v>1.8</v>
      </c>
      <c r="AC893">
        <v>6.4</v>
      </c>
      <c r="AD893" t="s">
        <v>53</v>
      </c>
      <c r="AE893" t="str">
        <f>IF(AND(data[[#This Row],[Age]]&gt;=18,data[[#This Row],[Age]]&lt;=24),"18-24",IF(AND(data[[#This Row],[Age]]&gt;=25,data[[#This Row],[Age]]&lt;=34),"25-34",IF(AND(data[[#This Row],[Age]]&gt;35,data[[#This Row],[Age]]&lt;=44),"35-44",IF(data[[#This Row],[Age]]&gt;44,"45+",IF(data[[#This Row],[Age]]&lt;18,"below 18 ")))))</f>
        <v>25-34</v>
      </c>
    </row>
    <row r="894" spans="1:31" x14ac:dyDescent="0.25">
      <c r="A894" t="s">
        <v>947</v>
      </c>
      <c r="B894">
        <v>32</v>
      </c>
      <c r="C894" t="s">
        <v>31</v>
      </c>
      <c r="D894" t="s">
        <v>39</v>
      </c>
      <c r="E894" t="s">
        <v>58</v>
      </c>
      <c r="F894" t="s">
        <v>70</v>
      </c>
      <c r="G894">
        <v>9.3000000000000007</v>
      </c>
      <c r="H894">
        <v>4</v>
      </c>
      <c r="I894">
        <v>2</v>
      </c>
      <c r="J894" t="s">
        <v>42</v>
      </c>
      <c r="K894" t="s">
        <v>36</v>
      </c>
      <c r="L894">
        <v>57</v>
      </c>
      <c r="M894">
        <v>7.9</v>
      </c>
      <c r="N894">
        <v>3.5</v>
      </c>
      <c r="O894">
        <v>5.3</v>
      </c>
      <c r="P894">
        <v>8.9</v>
      </c>
      <c r="Q894" t="s">
        <v>35</v>
      </c>
      <c r="R894" t="s">
        <v>35</v>
      </c>
      <c r="S894">
        <v>4.5</v>
      </c>
      <c r="T894">
        <v>6</v>
      </c>
      <c r="U894">
        <v>4.5</v>
      </c>
      <c r="V894">
        <v>6.5</v>
      </c>
      <c r="W894">
        <v>4.7</v>
      </c>
      <c r="X894">
        <v>5.2</v>
      </c>
      <c r="Y894">
        <v>2.4</v>
      </c>
      <c r="Z894">
        <v>8.1999999999999993</v>
      </c>
      <c r="AA894">
        <v>2.2999999999999998</v>
      </c>
      <c r="AB894">
        <v>3.3</v>
      </c>
      <c r="AC894">
        <v>4.8</v>
      </c>
      <c r="AD894" t="s">
        <v>43</v>
      </c>
      <c r="AE894" t="str">
        <f>IF(AND(data[[#This Row],[Age]]&gt;=18,data[[#This Row],[Age]]&lt;=24),"18-24",IF(AND(data[[#This Row],[Age]]&gt;=25,data[[#This Row],[Age]]&lt;=34),"25-34",IF(AND(data[[#This Row],[Age]]&gt;35,data[[#This Row],[Age]]&lt;=44),"35-44",IF(data[[#This Row],[Age]]&gt;44,"45+",IF(data[[#This Row],[Age]]&lt;18,"below 18 ")))))</f>
        <v>25-34</v>
      </c>
    </row>
    <row r="895" spans="1:31" x14ac:dyDescent="0.25">
      <c r="A895" t="s">
        <v>948</v>
      </c>
      <c r="B895">
        <v>25</v>
      </c>
      <c r="D895" t="s">
        <v>32</v>
      </c>
      <c r="E895" t="s">
        <v>33</v>
      </c>
      <c r="F895" t="s">
        <v>34</v>
      </c>
      <c r="G895">
        <v>4.4000000000000004</v>
      </c>
      <c r="H895">
        <v>4</v>
      </c>
      <c r="I895">
        <v>5</v>
      </c>
      <c r="J895" t="s">
        <v>42</v>
      </c>
      <c r="K895" t="s">
        <v>52</v>
      </c>
      <c r="L895">
        <v>74</v>
      </c>
      <c r="M895">
        <v>6.2</v>
      </c>
      <c r="N895">
        <v>1.4</v>
      </c>
      <c r="O895">
        <v>5.6</v>
      </c>
      <c r="P895">
        <v>5.9</v>
      </c>
      <c r="Q895" t="s">
        <v>35</v>
      </c>
      <c r="R895" t="s">
        <v>42</v>
      </c>
      <c r="S895">
        <v>5.7</v>
      </c>
      <c r="T895">
        <v>5.7</v>
      </c>
      <c r="U895">
        <v>5.8</v>
      </c>
      <c r="V895">
        <v>6.4</v>
      </c>
      <c r="W895">
        <v>9.3000000000000007</v>
      </c>
      <c r="X895">
        <v>6.8</v>
      </c>
      <c r="Y895">
        <v>3.2</v>
      </c>
      <c r="Z895">
        <v>8.5</v>
      </c>
      <c r="AA895">
        <v>4</v>
      </c>
      <c r="AB895">
        <v>1.6</v>
      </c>
      <c r="AC895">
        <v>7</v>
      </c>
      <c r="AD895" t="s">
        <v>53</v>
      </c>
      <c r="AE895" t="str">
        <f>IF(AND(data[[#This Row],[Age]]&gt;=18,data[[#This Row],[Age]]&lt;=24),"18-24",IF(AND(data[[#This Row],[Age]]&gt;=25,data[[#This Row],[Age]]&lt;=34),"25-34",IF(AND(data[[#This Row],[Age]]&gt;35,data[[#This Row],[Age]]&lt;=44),"35-44",IF(data[[#This Row],[Age]]&gt;44,"45+",IF(data[[#This Row],[Age]]&lt;18,"below 18 ")))))</f>
        <v>25-34</v>
      </c>
    </row>
    <row r="896" spans="1:31" x14ac:dyDescent="0.25">
      <c r="A896" t="s">
        <v>949</v>
      </c>
      <c r="B896">
        <v>22</v>
      </c>
      <c r="C896" t="s">
        <v>31</v>
      </c>
      <c r="D896" t="s">
        <v>39</v>
      </c>
      <c r="E896" t="s">
        <v>33</v>
      </c>
      <c r="F896" t="s">
        <v>41</v>
      </c>
      <c r="G896">
        <v>2.1</v>
      </c>
      <c r="H896">
        <v>2</v>
      </c>
      <c r="I896">
        <v>5</v>
      </c>
      <c r="J896" t="s">
        <v>35</v>
      </c>
      <c r="K896" t="s">
        <v>36</v>
      </c>
      <c r="L896">
        <v>50</v>
      </c>
      <c r="M896">
        <v>4.4000000000000004</v>
      </c>
      <c r="N896">
        <v>6.1</v>
      </c>
      <c r="O896">
        <v>5.0999999999999996</v>
      </c>
      <c r="P896">
        <v>6.8</v>
      </c>
      <c r="Q896" t="s">
        <v>42</v>
      </c>
      <c r="R896" t="s">
        <v>42</v>
      </c>
      <c r="S896">
        <v>6.2</v>
      </c>
      <c r="T896">
        <v>1.5</v>
      </c>
      <c r="U896">
        <v>6.2</v>
      </c>
      <c r="V896">
        <v>3.1</v>
      </c>
      <c r="W896">
        <v>4.9000000000000004</v>
      </c>
      <c r="X896">
        <v>6.8</v>
      </c>
      <c r="Y896">
        <v>3.9</v>
      </c>
      <c r="Z896">
        <v>4.7</v>
      </c>
      <c r="AA896">
        <v>4.2</v>
      </c>
      <c r="AB896">
        <v>6.1</v>
      </c>
      <c r="AC896">
        <v>5.5</v>
      </c>
      <c r="AD896" t="s">
        <v>45</v>
      </c>
      <c r="AE896" t="str">
        <f>IF(AND(data[[#This Row],[Age]]&gt;=18,data[[#This Row],[Age]]&lt;=24),"18-24",IF(AND(data[[#This Row],[Age]]&gt;=25,data[[#This Row],[Age]]&lt;=34),"25-34",IF(AND(data[[#This Row],[Age]]&gt;35,data[[#This Row],[Age]]&lt;=44),"35-44",IF(data[[#This Row],[Age]]&gt;44,"45+",IF(data[[#This Row],[Age]]&lt;18,"below 18 ")))))</f>
        <v>18-24</v>
      </c>
    </row>
    <row r="897" spans="1:31" x14ac:dyDescent="0.25">
      <c r="A897" t="s">
        <v>950</v>
      </c>
      <c r="B897">
        <v>38</v>
      </c>
      <c r="C897" t="s">
        <v>47</v>
      </c>
      <c r="D897" t="s">
        <v>64</v>
      </c>
      <c r="E897" t="s">
        <v>58</v>
      </c>
      <c r="F897" t="s">
        <v>41</v>
      </c>
      <c r="G897">
        <v>6.2</v>
      </c>
      <c r="H897">
        <v>3</v>
      </c>
      <c r="I897">
        <v>4</v>
      </c>
      <c r="J897" t="s">
        <v>35</v>
      </c>
      <c r="K897" t="s">
        <v>62</v>
      </c>
      <c r="L897">
        <v>41</v>
      </c>
      <c r="M897">
        <v>4.2</v>
      </c>
      <c r="N897">
        <v>5.6</v>
      </c>
      <c r="O897">
        <v>2.2000000000000002</v>
      </c>
      <c r="P897">
        <v>8</v>
      </c>
      <c r="Q897" t="s">
        <v>35</v>
      </c>
      <c r="R897" t="s">
        <v>42</v>
      </c>
      <c r="S897">
        <v>7.3</v>
      </c>
      <c r="T897">
        <v>5.9</v>
      </c>
      <c r="U897">
        <v>2.2999999999999998</v>
      </c>
      <c r="V897">
        <v>6.4</v>
      </c>
      <c r="W897">
        <v>6.8</v>
      </c>
      <c r="X897">
        <v>6.5</v>
      </c>
      <c r="Y897">
        <v>4.5999999999999996</v>
      </c>
      <c r="Z897">
        <v>7.3</v>
      </c>
      <c r="AA897">
        <v>2.7</v>
      </c>
      <c r="AB897">
        <v>2.6</v>
      </c>
      <c r="AC897">
        <v>7.4</v>
      </c>
      <c r="AD897" t="s">
        <v>53</v>
      </c>
      <c r="AE897" t="str">
        <f>IF(AND(data[[#This Row],[Age]]&gt;=18,data[[#This Row],[Age]]&lt;=24),"18-24",IF(AND(data[[#This Row],[Age]]&gt;=25,data[[#This Row],[Age]]&lt;=34),"25-34",IF(AND(data[[#This Row],[Age]]&gt;35,data[[#This Row],[Age]]&lt;=44),"35-44",IF(data[[#This Row],[Age]]&gt;44,"45+",IF(data[[#This Row],[Age]]&lt;18,"below 18 ")))))</f>
        <v>35-44</v>
      </c>
    </row>
    <row r="898" spans="1:31" x14ac:dyDescent="0.25">
      <c r="A898" t="s">
        <v>951</v>
      </c>
      <c r="B898">
        <v>22</v>
      </c>
      <c r="C898" t="s">
        <v>31</v>
      </c>
      <c r="D898" t="s">
        <v>32</v>
      </c>
      <c r="E898" t="s">
        <v>40</v>
      </c>
      <c r="F898" t="s">
        <v>41</v>
      </c>
      <c r="G898">
        <v>3.4</v>
      </c>
      <c r="H898">
        <v>2</v>
      </c>
      <c r="I898">
        <v>6</v>
      </c>
      <c r="J898" t="s">
        <v>42</v>
      </c>
      <c r="K898" t="s">
        <v>36</v>
      </c>
      <c r="L898">
        <v>55</v>
      </c>
      <c r="M898">
        <v>5.5</v>
      </c>
      <c r="N898">
        <v>6.5</v>
      </c>
      <c r="O898">
        <v>3.6</v>
      </c>
      <c r="P898">
        <v>0</v>
      </c>
      <c r="Q898" t="s">
        <v>35</v>
      </c>
      <c r="R898" t="s">
        <v>35</v>
      </c>
      <c r="S898">
        <v>7.4</v>
      </c>
      <c r="T898">
        <v>1.9</v>
      </c>
      <c r="U898">
        <v>3.9</v>
      </c>
      <c r="V898">
        <v>5.3</v>
      </c>
      <c r="W898">
        <v>3.2</v>
      </c>
      <c r="X898">
        <v>5.7</v>
      </c>
      <c r="Z898">
        <v>5.9</v>
      </c>
      <c r="AA898">
        <v>2.6</v>
      </c>
      <c r="AB898">
        <v>2.9</v>
      </c>
      <c r="AC898">
        <v>6.8</v>
      </c>
      <c r="AD898" t="s">
        <v>53</v>
      </c>
      <c r="AE898" t="str">
        <f>IF(AND(data[[#This Row],[Age]]&gt;=18,data[[#This Row],[Age]]&lt;=24),"18-24",IF(AND(data[[#This Row],[Age]]&gt;=25,data[[#This Row],[Age]]&lt;=34),"25-34",IF(AND(data[[#This Row],[Age]]&gt;35,data[[#This Row],[Age]]&lt;=44),"35-44",IF(data[[#This Row],[Age]]&gt;44,"45+",IF(data[[#This Row],[Age]]&lt;18,"below 18 ")))))</f>
        <v>18-24</v>
      </c>
    </row>
    <row r="899" spans="1:31" x14ac:dyDescent="0.25">
      <c r="A899" t="s">
        <v>952</v>
      </c>
      <c r="B899">
        <v>17</v>
      </c>
      <c r="C899" t="s">
        <v>31</v>
      </c>
      <c r="E899" t="s">
        <v>58</v>
      </c>
      <c r="F899" t="s">
        <v>70</v>
      </c>
      <c r="G899">
        <v>2.2999999999999998</v>
      </c>
      <c r="H899">
        <v>2</v>
      </c>
      <c r="I899">
        <v>2</v>
      </c>
      <c r="J899" t="s">
        <v>42</v>
      </c>
      <c r="K899" t="s">
        <v>36</v>
      </c>
      <c r="L899">
        <v>28</v>
      </c>
      <c r="M899">
        <v>2.7</v>
      </c>
      <c r="N899">
        <v>6.8</v>
      </c>
      <c r="O899">
        <v>2.8</v>
      </c>
      <c r="P899">
        <v>5.3</v>
      </c>
      <c r="Q899" t="s">
        <v>42</v>
      </c>
      <c r="R899" t="s">
        <v>42</v>
      </c>
      <c r="S899">
        <v>4.5999999999999996</v>
      </c>
      <c r="T899">
        <v>7.3</v>
      </c>
      <c r="U899">
        <v>5.3</v>
      </c>
      <c r="V899">
        <v>4.7</v>
      </c>
      <c r="W899">
        <v>3.3</v>
      </c>
      <c r="X899">
        <v>6</v>
      </c>
      <c r="Y899">
        <v>3.4</v>
      </c>
      <c r="Z899">
        <v>3.5</v>
      </c>
      <c r="AA899">
        <v>2.6</v>
      </c>
      <c r="AB899">
        <v>2.7</v>
      </c>
      <c r="AC899">
        <v>6</v>
      </c>
      <c r="AD899" t="s">
        <v>45</v>
      </c>
      <c r="AE899" t="str">
        <f>IF(AND(data[[#This Row],[Age]]&gt;=18,data[[#This Row],[Age]]&lt;=24),"18-24",IF(AND(data[[#This Row],[Age]]&gt;=25,data[[#This Row],[Age]]&lt;=34),"25-34",IF(AND(data[[#This Row],[Age]]&gt;35,data[[#This Row],[Age]]&lt;=44),"35-44",IF(data[[#This Row],[Age]]&gt;44,"45+",IF(data[[#This Row],[Age]]&lt;18,"below 18 ")))))</f>
        <v xml:space="preserve">below 18 </v>
      </c>
    </row>
    <row r="900" spans="1:31" x14ac:dyDescent="0.25">
      <c r="A900" t="s">
        <v>953</v>
      </c>
      <c r="B900">
        <v>34</v>
      </c>
      <c r="C900" t="s">
        <v>50</v>
      </c>
      <c r="D900" t="s">
        <v>32</v>
      </c>
      <c r="E900" t="s">
        <v>33</v>
      </c>
      <c r="F900" t="s">
        <v>41</v>
      </c>
      <c r="G900">
        <v>3.2</v>
      </c>
      <c r="H900">
        <v>7</v>
      </c>
      <c r="I900">
        <v>6</v>
      </c>
      <c r="J900" t="s">
        <v>42</v>
      </c>
      <c r="K900" t="s">
        <v>52</v>
      </c>
      <c r="L900">
        <v>36</v>
      </c>
      <c r="M900">
        <v>10</v>
      </c>
      <c r="N900">
        <v>5</v>
      </c>
      <c r="O900">
        <v>6.7</v>
      </c>
      <c r="P900">
        <v>4.0999999999999996</v>
      </c>
      <c r="Q900" t="s">
        <v>35</v>
      </c>
      <c r="R900" t="s">
        <v>42</v>
      </c>
      <c r="S900">
        <v>4.0999999999999996</v>
      </c>
      <c r="T900">
        <v>7.8</v>
      </c>
      <c r="U900">
        <v>4.5</v>
      </c>
      <c r="V900">
        <v>6.6</v>
      </c>
      <c r="W900">
        <v>4.5999999999999996</v>
      </c>
      <c r="X900">
        <v>4.9000000000000004</v>
      </c>
      <c r="Y900">
        <v>5.0999999999999996</v>
      </c>
      <c r="Z900">
        <v>6.9</v>
      </c>
      <c r="AA900">
        <v>0.6</v>
      </c>
      <c r="AB900">
        <v>4.7</v>
      </c>
      <c r="AC900">
        <v>5.7</v>
      </c>
      <c r="AD900" t="s">
        <v>45</v>
      </c>
      <c r="AE900" t="str">
        <f>IF(AND(data[[#This Row],[Age]]&gt;=18,data[[#This Row],[Age]]&lt;=24),"18-24",IF(AND(data[[#This Row],[Age]]&gt;=25,data[[#This Row],[Age]]&lt;=34),"25-34",IF(AND(data[[#This Row],[Age]]&gt;35,data[[#This Row],[Age]]&lt;=44),"35-44",IF(data[[#This Row],[Age]]&gt;44,"45+",IF(data[[#This Row],[Age]]&lt;18,"below 18 ")))))</f>
        <v>25-34</v>
      </c>
    </row>
    <row r="901" spans="1:31" x14ac:dyDescent="0.25">
      <c r="A901" t="s">
        <v>954</v>
      </c>
      <c r="B901">
        <v>37</v>
      </c>
      <c r="C901" t="s">
        <v>31</v>
      </c>
      <c r="D901" t="s">
        <v>32</v>
      </c>
      <c r="E901" t="s">
        <v>33</v>
      </c>
      <c r="F901" t="s">
        <v>59</v>
      </c>
      <c r="G901">
        <v>1.3</v>
      </c>
      <c r="H901">
        <v>5</v>
      </c>
      <c r="I901">
        <v>5</v>
      </c>
      <c r="J901" t="s">
        <v>42</v>
      </c>
      <c r="K901" t="s">
        <v>62</v>
      </c>
      <c r="L901">
        <v>16</v>
      </c>
      <c r="M901">
        <v>5.9</v>
      </c>
      <c r="N901">
        <v>6.6</v>
      </c>
      <c r="O901">
        <v>6.2</v>
      </c>
      <c r="P901">
        <v>6.4</v>
      </c>
      <c r="Q901" t="s">
        <v>35</v>
      </c>
      <c r="R901" t="s">
        <v>35</v>
      </c>
      <c r="S901">
        <v>9.3000000000000007</v>
      </c>
      <c r="T901">
        <v>2.8</v>
      </c>
      <c r="U901">
        <v>5.8</v>
      </c>
      <c r="V901">
        <v>5.7</v>
      </c>
      <c r="W901">
        <v>10</v>
      </c>
      <c r="X901">
        <v>4.2</v>
      </c>
      <c r="Y901">
        <v>7.4</v>
      </c>
      <c r="Z901">
        <v>6.2</v>
      </c>
      <c r="AA901">
        <v>6.7</v>
      </c>
      <c r="AB901">
        <v>3.1</v>
      </c>
      <c r="AC901">
        <v>7.6</v>
      </c>
      <c r="AD901" t="s">
        <v>37</v>
      </c>
      <c r="AE901" t="str">
        <f>IF(AND(data[[#This Row],[Age]]&gt;=18,data[[#This Row],[Age]]&lt;=24),"18-24",IF(AND(data[[#This Row],[Age]]&gt;=25,data[[#This Row],[Age]]&lt;=34),"25-34",IF(AND(data[[#This Row],[Age]]&gt;35,data[[#This Row],[Age]]&lt;=44),"35-44",IF(data[[#This Row],[Age]]&gt;44,"45+",IF(data[[#This Row],[Age]]&lt;18,"below 18 ")))))</f>
        <v>35-44</v>
      </c>
    </row>
    <row r="902" spans="1:31" x14ac:dyDescent="0.25">
      <c r="A902" t="s">
        <v>955</v>
      </c>
      <c r="B902">
        <v>27</v>
      </c>
      <c r="C902" t="s">
        <v>47</v>
      </c>
      <c r="D902" t="s">
        <v>39</v>
      </c>
      <c r="E902" t="s">
        <v>58</v>
      </c>
      <c r="F902" t="s">
        <v>34</v>
      </c>
      <c r="G902">
        <v>2.1</v>
      </c>
      <c r="H902">
        <v>2</v>
      </c>
      <c r="I902">
        <v>2</v>
      </c>
      <c r="J902" t="s">
        <v>42</v>
      </c>
      <c r="K902" t="s">
        <v>62</v>
      </c>
      <c r="L902">
        <v>68</v>
      </c>
      <c r="M902">
        <v>6</v>
      </c>
      <c r="N902">
        <v>5.2</v>
      </c>
      <c r="O902">
        <v>4.5</v>
      </c>
      <c r="P902">
        <v>1.8</v>
      </c>
      <c r="Q902" t="s">
        <v>35</v>
      </c>
      <c r="R902" t="s">
        <v>35</v>
      </c>
      <c r="S902">
        <v>2.8</v>
      </c>
      <c r="T902">
        <v>7.4</v>
      </c>
      <c r="U902">
        <v>6.6</v>
      </c>
      <c r="V902">
        <v>7.1</v>
      </c>
      <c r="W902">
        <v>7.1</v>
      </c>
      <c r="X902">
        <v>6.9</v>
      </c>
      <c r="Y902">
        <v>9.1</v>
      </c>
      <c r="AA902">
        <v>0.9</v>
      </c>
      <c r="AB902">
        <v>4.3</v>
      </c>
      <c r="AC902">
        <v>9.3000000000000007</v>
      </c>
      <c r="AD902" t="s">
        <v>37</v>
      </c>
      <c r="AE902" t="str">
        <f>IF(AND(data[[#This Row],[Age]]&gt;=18,data[[#This Row],[Age]]&lt;=24),"18-24",IF(AND(data[[#This Row],[Age]]&gt;=25,data[[#This Row],[Age]]&lt;=34),"25-34",IF(AND(data[[#This Row],[Age]]&gt;35,data[[#This Row],[Age]]&lt;=44),"35-44",IF(data[[#This Row],[Age]]&gt;44,"45+",IF(data[[#This Row],[Age]]&lt;18,"below 18 ")))))</f>
        <v>25-34</v>
      </c>
    </row>
    <row r="903" spans="1:31" x14ac:dyDescent="0.25">
      <c r="A903" t="s">
        <v>956</v>
      </c>
      <c r="B903">
        <v>35</v>
      </c>
      <c r="D903" t="s">
        <v>64</v>
      </c>
      <c r="E903" t="s">
        <v>40</v>
      </c>
      <c r="F903" t="s">
        <v>70</v>
      </c>
      <c r="G903">
        <v>6.2</v>
      </c>
      <c r="H903">
        <v>3</v>
      </c>
      <c r="I903">
        <v>5</v>
      </c>
      <c r="J903" t="s">
        <v>35</v>
      </c>
      <c r="K903" t="s">
        <v>52</v>
      </c>
      <c r="L903">
        <v>16</v>
      </c>
      <c r="M903">
        <v>7.1</v>
      </c>
      <c r="N903">
        <v>3.8</v>
      </c>
      <c r="O903">
        <v>2</v>
      </c>
      <c r="P903">
        <v>5.0999999999999996</v>
      </c>
      <c r="Q903" t="s">
        <v>42</v>
      </c>
      <c r="R903" t="s">
        <v>42</v>
      </c>
      <c r="S903">
        <v>0.9</v>
      </c>
      <c r="T903">
        <v>3.3</v>
      </c>
      <c r="U903">
        <v>0.1</v>
      </c>
      <c r="V903">
        <v>3.5</v>
      </c>
      <c r="W903">
        <v>8.4</v>
      </c>
      <c r="X903">
        <v>6.4</v>
      </c>
      <c r="Y903">
        <v>2.4</v>
      </c>
      <c r="Z903">
        <v>2.2999999999999998</v>
      </c>
      <c r="AA903">
        <v>3.6</v>
      </c>
      <c r="AB903">
        <v>1.8</v>
      </c>
      <c r="AC903">
        <v>8.5</v>
      </c>
      <c r="AD903" t="s">
        <v>37</v>
      </c>
      <c r="AE903" t="b">
        <f>IF(AND(data[[#This Row],[Age]]&gt;=18,data[[#This Row],[Age]]&lt;=24),"18-24",IF(AND(data[[#This Row],[Age]]&gt;=25,data[[#This Row],[Age]]&lt;=34),"25-34",IF(AND(data[[#This Row],[Age]]&gt;35,data[[#This Row],[Age]]&lt;=44),"35-44",IF(data[[#This Row],[Age]]&gt;44,"45+",IF(data[[#This Row],[Age]]&lt;18,"below 18 ")))))</f>
        <v>0</v>
      </c>
    </row>
    <row r="904" spans="1:31" x14ac:dyDescent="0.25">
      <c r="A904" t="s">
        <v>957</v>
      </c>
      <c r="B904">
        <v>39</v>
      </c>
      <c r="D904" t="s">
        <v>32</v>
      </c>
      <c r="E904" t="s">
        <v>58</v>
      </c>
      <c r="F904" t="s">
        <v>34</v>
      </c>
      <c r="G904">
        <v>4.5</v>
      </c>
      <c r="H904">
        <v>3</v>
      </c>
      <c r="I904">
        <v>6</v>
      </c>
      <c r="J904" t="s">
        <v>35</v>
      </c>
      <c r="K904" t="s">
        <v>36</v>
      </c>
      <c r="L904">
        <v>31</v>
      </c>
      <c r="M904">
        <v>4.9000000000000004</v>
      </c>
      <c r="N904">
        <v>5.5</v>
      </c>
      <c r="O904">
        <v>5.6</v>
      </c>
      <c r="P904">
        <v>6.9</v>
      </c>
      <c r="Q904" t="s">
        <v>42</v>
      </c>
      <c r="R904" t="s">
        <v>42</v>
      </c>
      <c r="S904">
        <v>6.4</v>
      </c>
      <c r="T904">
        <v>4.4000000000000004</v>
      </c>
      <c r="U904">
        <v>5.4</v>
      </c>
      <c r="V904">
        <v>2</v>
      </c>
      <c r="W904">
        <v>7.7</v>
      </c>
      <c r="Y904">
        <v>5.7</v>
      </c>
      <c r="Z904">
        <v>5.4</v>
      </c>
      <c r="AA904">
        <v>2</v>
      </c>
      <c r="AB904">
        <v>1.9</v>
      </c>
      <c r="AC904">
        <v>5.8</v>
      </c>
      <c r="AD904" t="s">
        <v>45</v>
      </c>
      <c r="AE904" t="str">
        <f>IF(AND(data[[#This Row],[Age]]&gt;=18,data[[#This Row],[Age]]&lt;=24),"18-24",IF(AND(data[[#This Row],[Age]]&gt;=25,data[[#This Row],[Age]]&lt;=34),"25-34",IF(AND(data[[#This Row],[Age]]&gt;35,data[[#This Row],[Age]]&lt;=44),"35-44",IF(data[[#This Row],[Age]]&gt;44,"45+",IF(data[[#This Row],[Age]]&lt;18,"below 18 ")))))</f>
        <v>35-44</v>
      </c>
    </row>
    <row r="905" spans="1:31" x14ac:dyDescent="0.25">
      <c r="A905" t="s">
        <v>958</v>
      </c>
      <c r="B905">
        <v>17</v>
      </c>
      <c r="C905" t="s">
        <v>47</v>
      </c>
      <c r="D905" t="s">
        <v>32</v>
      </c>
      <c r="E905" t="s">
        <v>58</v>
      </c>
      <c r="F905" t="s">
        <v>51</v>
      </c>
      <c r="G905">
        <v>3.7</v>
      </c>
      <c r="H905">
        <v>4</v>
      </c>
      <c r="I905">
        <v>4</v>
      </c>
      <c r="J905" t="s">
        <v>35</v>
      </c>
      <c r="K905" t="s">
        <v>52</v>
      </c>
      <c r="L905">
        <v>39</v>
      </c>
      <c r="M905">
        <v>6.3</v>
      </c>
      <c r="N905">
        <v>5.4</v>
      </c>
      <c r="O905">
        <v>3.3</v>
      </c>
      <c r="P905">
        <v>5.5</v>
      </c>
      <c r="Q905" t="s">
        <v>42</v>
      </c>
      <c r="R905" t="s">
        <v>35</v>
      </c>
      <c r="S905">
        <v>2.8</v>
      </c>
      <c r="T905">
        <v>3.9</v>
      </c>
      <c r="U905">
        <v>4.5999999999999996</v>
      </c>
      <c r="V905">
        <v>2.1</v>
      </c>
      <c r="W905">
        <v>8.1</v>
      </c>
      <c r="X905">
        <v>6.8</v>
      </c>
      <c r="Y905">
        <v>7</v>
      </c>
      <c r="Z905">
        <v>7.3</v>
      </c>
      <c r="AA905">
        <v>4.0999999999999996</v>
      </c>
      <c r="AB905">
        <v>6</v>
      </c>
      <c r="AC905">
        <v>7.1</v>
      </c>
      <c r="AD905" t="s">
        <v>53</v>
      </c>
      <c r="AE905" t="str">
        <f>IF(AND(data[[#This Row],[Age]]&gt;=18,data[[#This Row],[Age]]&lt;=24),"18-24",IF(AND(data[[#This Row],[Age]]&gt;=25,data[[#This Row],[Age]]&lt;=34),"25-34",IF(AND(data[[#This Row],[Age]]&gt;35,data[[#This Row],[Age]]&lt;=44),"35-44",IF(data[[#This Row],[Age]]&gt;44,"45+",IF(data[[#This Row],[Age]]&lt;18,"below 18 ")))))</f>
        <v xml:space="preserve">below 18 </v>
      </c>
    </row>
    <row r="906" spans="1:31" x14ac:dyDescent="0.25">
      <c r="A906" t="s">
        <v>959</v>
      </c>
      <c r="B906">
        <v>22</v>
      </c>
      <c r="C906" t="s">
        <v>47</v>
      </c>
      <c r="D906" t="s">
        <v>39</v>
      </c>
      <c r="E906" t="s">
        <v>40</v>
      </c>
      <c r="F906" t="s">
        <v>41</v>
      </c>
      <c r="G906">
        <v>7.1</v>
      </c>
      <c r="H906">
        <v>4</v>
      </c>
      <c r="I906">
        <v>6</v>
      </c>
      <c r="J906" t="s">
        <v>42</v>
      </c>
      <c r="K906" t="s">
        <v>36</v>
      </c>
      <c r="L906">
        <v>84</v>
      </c>
      <c r="M906">
        <v>4.3</v>
      </c>
      <c r="N906">
        <v>4.5999999999999996</v>
      </c>
      <c r="O906">
        <v>6.8</v>
      </c>
      <c r="P906">
        <v>5.5</v>
      </c>
      <c r="Q906" t="s">
        <v>35</v>
      </c>
      <c r="R906" t="s">
        <v>35</v>
      </c>
      <c r="S906">
        <v>2.2000000000000002</v>
      </c>
      <c r="T906">
        <v>3.8</v>
      </c>
      <c r="U906">
        <v>6.9</v>
      </c>
      <c r="V906">
        <v>5.3</v>
      </c>
      <c r="W906">
        <v>9</v>
      </c>
      <c r="X906">
        <v>5.3</v>
      </c>
      <c r="Y906">
        <v>5</v>
      </c>
      <c r="Z906">
        <v>5.3</v>
      </c>
      <c r="AA906">
        <v>5</v>
      </c>
      <c r="AB906">
        <v>4.9000000000000004</v>
      </c>
      <c r="AC906">
        <v>5</v>
      </c>
      <c r="AD906" t="s">
        <v>45</v>
      </c>
      <c r="AE906" t="str">
        <f>IF(AND(data[[#This Row],[Age]]&gt;=18,data[[#This Row],[Age]]&lt;=24),"18-24",IF(AND(data[[#This Row],[Age]]&gt;=25,data[[#This Row],[Age]]&lt;=34),"25-34",IF(AND(data[[#This Row],[Age]]&gt;35,data[[#This Row],[Age]]&lt;=44),"35-44",IF(data[[#This Row],[Age]]&gt;44,"45+",IF(data[[#This Row],[Age]]&lt;18,"below 18 ")))))</f>
        <v>18-24</v>
      </c>
    </row>
    <row r="907" spans="1:31" x14ac:dyDescent="0.25">
      <c r="A907" t="s">
        <v>960</v>
      </c>
      <c r="B907">
        <v>43</v>
      </c>
      <c r="C907" t="s">
        <v>47</v>
      </c>
      <c r="E907" t="s">
        <v>58</v>
      </c>
      <c r="F907" t="s">
        <v>70</v>
      </c>
      <c r="G907">
        <v>5.8</v>
      </c>
      <c r="H907">
        <v>3</v>
      </c>
      <c r="I907">
        <v>12</v>
      </c>
      <c r="J907" t="s">
        <v>42</v>
      </c>
      <c r="K907" t="s">
        <v>36</v>
      </c>
      <c r="L907">
        <v>114</v>
      </c>
      <c r="M907">
        <v>4.5999999999999996</v>
      </c>
      <c r="N907">
        <v>6.8</v>
      </c>
      <c r="O907">
        <v>3.7</v>
      </c>
      <c r="P907">
        <v>2.7</v>
      </c>
      <c r="Q907" t="s">
        <v>35</v>
      </c>
      <c r="R907" t="s">
        <v>42</v>
      </c>
      <c r="S907">
        <v>6.9</v>
      </c>
      <c r="T907">
        <v>3.8</v>
      </c>
      <c r="U907">
        <v>2.2999999999999998</v>
      </c>
      <c r="V907">
        <v>2.4</v>
      </c>
      <c r="W907">
        <v>3.5</v>
      </c>
      <c r="X907">
        <v>4.5</v>
      </c>
      <c r="Y907">
        <v>4.7</v>
      </c>
      <c r="Z907">
        <v>4.3</v>
      </c>
      <c r="AA907">
        <v>6.3</v>
      </c>
      <c r="AB907">
        <v>1.1000000000000001</v>
      </c>
      <c r="AC907">
        <v>4.9000000000000004</v>
      </c>
      <c r="AD907" t="s">
        <v>43</v>
      </c>
      <c r="AE907" t="str">
        <f>IF(AND(data[[#This Row],[Age]]&gt;=18,data[[#This Row],[Age]]&lt;=24),"18-24",IF(AND(data[[#This Row],[Age]]&gt;=25,data[[#This Row],[Age]]&lt;=34),"25-34",IF(AND(data[[#This Row],[Age]]&gt;35,data[[#This Row],[Age]]&lt;=44),"35-44",IF(data[[#This Row],[Age]]&gt;44,"45+",IF(data[[#This Row],[Age]]&lt;18,"below 18 ")))))</f>
        <v>35-44</v>
      </c>
    </row>
    <row r="908" spans="1:31" x14ac:dyDescent="0.25">
      <c r="A908" t="s">
        <v>961</v>
      </c>
      <c r="B908">
        <v>20</v>
      </c>
      <c r="C908" t="s">
        <v>31</v>
      </c>
      <c r="D908" t="s">
        <v>32</v>
      </c>
      <c r="E908" t="s">
        <v>33</v>
      </c>
      <c r="F908" t="s">
        <v>41</v>
      </c>
      <c r="G908">
        <v>3.4</v>
      </c>
      <c r="H908">
        <v>1</v>
      </c>
      <c r="I908">
        <v>3</v>
      </c>
      <c r="J908" t="s">
        <v>42</v>
      </c>
      <c r="K908" t="s">
        <v>36</v>
      </c>
      <c r="L908">
        <v>53</v>
      </c>
      <c r="M908">
        <v>8</v>
      </c>
      <c r="N908">
        <v>4.2</v>
      </c>
      <c r="O908">
        <v>3.8</v>
      </c>
      <c r="P908">
        <v>5.3</v>
      </c>
      <c r="Q908" t="s">
        <v>35</v>
      </c>
      <c r="R908" t="s">
        <v>42</v>
      </c>
      <c r="S908">
        <v>3.4</v>
      </c>
      <c r="T908">
        <v>7.9</v>
      </c>
      <c r="U908">
        <v>7.4</v>
      </c>
      <c r="V908">
        <v>3</v>
      </c>
      <c r="W908">
        <v>3.4</v>
      </c>
      <c r="X908">
        <v>7.9</v>
      </c>
      <c r="Y908">
        <v>6.9</v>
      </c>
      <c r="Z908">
        <v>5</v>
      </c>
      <c r="AA908">
        <v>4</v>
      </c>
      <c r="AB908">
        <v>5.7</v>
      </c>
      <c r="AC908">
        <v>4.7</v>
      </c>
      <c r="AD908" t="s">
        <v>43</v>
      </c>
      <c r="AE908" t="str">
        <f>IF(AND(data[[#This Row],[Age]]&gt;=18,data[[#This Row],[Age]]&lt;=24),"18-24",IF(AND(data[[#This Row],[Age]]&gt;=25,data[[#This Row],[Age]]&lt;=34),"25-34",IF(AND(data[[#This Row],[Age]]&gt;35,data[[#This Row],[Age]]&lt;=44),"35-44",IF(data[[#This Row],[Age]]&gt;44,"45+",IF(data[[#This Row],[Age]]&lt;18,"below 18 ")))))</f>
        <v>18-24</v>
      </c>
    </row>
    <row r="909" spans="1:31" x14ac:dyDescent="0.25">
      <c r="A909" t="s">
        <v>962</v>
      </c>
      <c r="B909">
        <v>22</v>
      </c>
      <c r="C909" t="s">
        <v>31</v>
      </c>
      <c r="D909" t="s">
        <v>64</v>
      </c>
      <c r="E909" t="s">
        <v>40</v>
      </c>
      <c r="F909" t="s">
        <v>34</v>
      </c>
      <c r="G909">
        <v>1.1000000000000001</v>
      </c>
      <c r="H909">
        <v>1</v>
      </c>
      <c r="I909">
        <v>4</v>
      </c>
      <c r="J909" t="s">
        <v>35</v>
      </c>
      <c r="K909" t="s">
        <v>62</v>
      </c>
      <c r="L909">
        <v>57</v>
      </c>
      <c r="M909">
        <v>5.6</v>
      </c>
      <c r="N909">
        <v>5.3</v>
      </c>
      <c r="O909">
        <v>6.7</v>
      </c>
      <c r="P909">
        <v>4.0999999999999996</v>
      </c>
      <c r="Q909" t="s">
        <v>35</v>
      </c>
      <c r="R909" t="s">
        <v>35</v>
      </c>
      <c r="S909">
        <v>5.4</v>
      </c>
      <c r="T909">
        <v>3.8</v>
      </c>
      <c r="U909">
        <v>4.3</v>
      </c>
      <c r="V909">
        <v>2.4</v>
      </c>
      <c r="W909">
        <v>6.3</v>
      </c>
      <c r="X909">
        <v>6.6</v>
      </c>
      <c r="Y909">
        <v>5.6</v>
      </c>
      <c r="Z909">
        <v>9.6</v>
      </c>
      <c r="AA909">
        <v>3.2</v>
      </c>
      <c r="AB909">
        <v>2.8</v>
      </c>
      <c r="AC909">
        <v>8.6999999999999993</v>
      </c>
      <c r="AD909" t="s">
        <v>37</v>
      </c>
      <c r="AE909" t="str">
        <f>IF(AND(data[[#This Row],[Age]]&gt;=18,data[[#This Row],[Age]]&lt;=24),"18-24",IF(AND(data[[#This Row],[Age]]&gt;=25,data[[#This Row],[Age]]&lt;=34),"25-34",IF(AND(data[[#This Row],[Age]]&gt;35,data[[#This Row],[Age]]&lt;=44),"35-44",IF(data[[#This Row],[Age]]&gt;44,"45+",IF(data[[#This Row],[Age]]&lt;18,"below 18 ")))))</f>
        <v>18-24</v>
      </c>
    </row>
    <row r="910" spans="1:31" x14ac:dyDescent="0.25">
      <c r="A910" t="s">
        <v>963</v>
      </c>
      <c r="B910">
        <v>42</v>
      </c>
      <c r="C910" t="s">
        <v>47</v>
      </c>
      <c r="D910" t="s">
        <v>39</v>
      </c>
      <c r="E910" t="s">
        <v>58</v>
      </c>
      <c r="F910" t="s">
        <v>48</v>
      </c>
      <c r="G910">
        <v>3.1</v>
      </c>
      <c r="H910">
        <v>5</v>
      </c>
      <c r="I910">
        <v>5</v>
      </c>
      <c r="J910" t="s">
        <v>42</v>
      </c>
      <c r="K910" t="s">
        <v>36</v>
      </c>
      <c r="L910">
        <v>65</v>
      </c>
      <c r="M910">
        <v>6.5</v>
      </c>
      <c r="N910">
        <v>7.2</v>
      </c>
      <c r="O910">
        <v>4</v>
      </c>
      <c r="P910">
        <v>2.8</v>
      </c>
      <c r="Q910" t="s">
        <v>42</v>
      </c>
      <c r="R910" t="s">
        <v>35</v>
      </c>
      <c r="S910">
        <v>7</v>
      </c>
      <c r="T910">
        <v>6.5</v>
      </c>
      <c r="U910">
        <v>5.7</v>
      </c>
      <c r="V910">
        <v>8.5</v>
      </c>
      <c r="W910">
        <v>1.8</v>
      </c>
      <c r="X910">
        <v>7.1</v>
      </c>
      <c r="Y910">
        <v>2.1</v>
      </c>
      <c r="Z910">
        <v>7.4</v>
      </c>
      <c r="AA910">
        <v>1.6</v>
      </c>
      <c r="AB910">
        <v>3.3</v>
      </c>
      <c r="AC910">
        <v>6.5</v>
      </c>
      <c r="AD910" t="s">
        <v>53</v>
      </c>
      <c r="AE910" t="str">
        <f>IF(AND(data[[#This Row],[Age]]&gt;=18,data[[#This Row],[Age]]&lt;=24),"18-24",IF(AND(data[[#This Row],[Age]]&gt;=25,data[[#This Row],[Age]]&lt;=34),"25-34",IF(AND(data[[#This Row],[Age]]&gt;35,data[[#This Row],[Age]]&lt;=44),"35-44",IF(data[[#This Row],[Age]]&gt;44,"45+",IF(data[[#This Row],[Age]]&lt;18,"below 18 ")))))</f>
        <v>35-44</v>
      </c>
    </row>
    <row r="911" spans="1:31" x14ac:dyDescent="0.25">
      <c r="A911" t="s">
        <v>964</v>
      </c>
      <c r="B911">
        <v>33</v>
      </c>
      <c r="C911" t="s">
        <v>50</v>
      </c>
      <c r="D911" t="s">
        <v>32</v>
      </c>
      <c r="E911" t="s">
        <v>58</v>
      </c>
      <c r="F911" t="s">
        <v>70</v>
      </c>
      <c r="G911">
        <v>7.1</v>
      </c>
      <c r="H911">
        <v>4</v>
      </c>
      <c r="I911">
        <v>4</v>
      </c>
      <c r="J911" t="s">
        <v>35</v>
      </c>
      <c r="K911" t="s">
        <v>36</v>
      </c>
      <c r="L911">
        <v>52</v>
      </c>
      <c r="M911">
        <v>4.0999999999999996</v>
      </c>
      <c r="N911">
        <v>10</v>
      </c>
      <c r="O911">
        <v>1.2</v>
      </c>
      <c r="P911">
        <v>3.6</v>
      </c>
      <c r="Q911" t="s">
        <v>35</v>
      </c>
      <c r="R911" t="s">
        <v>42</v>
      </c>
      <c r="S911">
        <v>6</v>
      </c>
      <c r="T911">
        <v>5.4</v>
      </c>
      <c r="U911">
        <v>5.5</v>
      </c>
      <c r="V911">
        <v>5.3</v>
      </c>
      <c r="W911">
        <v>6.3</v>
      </c>
      <c r="X911">
        <v>6</v>
      </c>
      <c r="Y911">
        <v>7.1</v>
      </c>
      <c r="Z911">
        <v>4</v>
      </c>
      <c r="AA911">
        <v>1.6</v>
      </c>
      <c r="AB911">
        <v>4.9000000000000004</v>
      </c>
      <c r="AC911">
        <v>6.1</v>
      </c>
      <c r="AD911" t="s">
        <v>45</v>
      </c>
      <c r="AE911" t="str">
        <f>IF(AND(data[[#This Row],[Age]]&gt;=18,data[[#This Row],[Age]]&lt;=24),"18-24",IF(AND(data[[#This Row],[Age]]&gt;=25,data[[#This Row],[Age]]&lt;=34),"25-34",IF(AND(data[[#This Row],[Age]]&gt;35,data[[#This Row],[Age]]&lt;=44),"35-44",IF(data[[#This Row],[Age]]&gt;44,"45+",IF(data[[#This Row],[Age]]&lt;18,"below 18 ")))))</f>
        <v>25-34</v>
      </c>
    </row>
    <row r="912" spans="1:31" x14ac:dyDescent="0.25">
      <c r="A912" t="s">
        <v>965</v>
      </c>
      <c r="B912">
        <v>43</v>
      </c>
      <c r="C912" t="s">
        <v>31</v>
      </c>
      <c r="D912" t="s">
        <v>39</v>
      </c>
      <c r="E912" t="s">
        <v>58</v>
      </c>
      <c r="F912" t="s">
        <v>51</v>
      </c>
      <c r="G912">
        <v>2.2999999999999998</v>
      </c>
      <c r="H912">
        <v>4</v>
      </c>
      <c r="I912">
        <v>4</v>
      </c>
      <c r="J912" t="s">
        <v>35</v>
      </c>
      <c r="K912" t="s">
        <v>62</v>
      </c>
      <c r="L912">
        <v>75</v>
      </c>
      <c r="M912">
        <v>6.1</v>
      </c>
      <c r="N912">
        <v>3.2</v>
      </c>
      <c r="O912">
        <v>5.0999999999999996</v>
      </c>
      <c r="P912">
        <v>4</v>
      </c>
      <c r="Q912" t="s">
        <v>42</v>
      </c>
      <c r="R912" t="s">
        <v>35</v>
      </c>
      <c r="S912">
        <v>5.8</v>
      </c>
      <c r="T912">
        <v>3</v>
      </c>
      <c r="U912">
        <v>5.4</v>
      </c>
      <c r="V912">
        <v>7.4</v>
      </c>
      <c r="X912">
        <v>5.3</v>
      </c>
      <c r="Y912">
        <v>4.7</v>
      </c>
      <c r="Z912">
        <v>6.4</v>
      </c>
      <c r="AA912">
        <v>2.2999999999999998</v>
      </c>
      <c r="AB912">
        <v>4.4000000000000004</v>
      </c>
      <c r="AC912">
        <v>8.5</v>
      </c>
      <c r="AD912" t="s">
        <v>37</v>
      </c>
      <c r="AE912" t="str">
        <f>IF(AND(data[[#This Row],[Age]]&gt;=18,data[[#This Row],[Age]]&lt;=24),"18-24",IF(AND(data[[#This Row],[Age]]&gt;=25,data[[#This Row],[Age]]&lt;=34),"25-34",IF(AND(data[[#This Row],[Age]]&gt;35,data[[#This Row],[Age]]&lt;=44),"35-44",IF(data[[#This Row],[Age]]&gt;44,"45+",IF(data[[#This Row],[Age]]&lt;18,"below 18 ")))))</f>
        <v>35-44</v>
      </c>
    </row>
    <row r="913" spans="1:31" x14ac:dyDescent="0.25">
      <c r="A913" t="s">
        <v>966</v>
      </c>
      <c r="B913">
        <v>24</v>
      </c>
      <c r="C913" t="s">
        <v>31</v>
      </c>
      <c r="D913" t="s">
        <v>39</v>
      </c>
      <c r="E913" t="s">
        <v>33</v>
      </c>
      <c r="F913" t="s">
        <v>41</v>
      </c>
      <c r="G913">
        <v>9</v>
      </c>
      <c r="H913">
        <v>3</v>
      </c>
      <c r="I913">
        <v>5</v>
      </c>
      <c r="J913" t="s">
        <v>42</v>
      </c>
      <c r="K913" t="s">
        <v>52</v>
      </c>
      <c r="L913">
        <v>96</v>
      </c>
      <c r="M913">
        <v>7.3</v>
      </c>
      <c r="N913">
        <v>9.9</v>
      </c>
      <c r="O913">
        <v>6.6</v>
      </c>
      <c r="P913">
        <v>9</v>
      </c>
      <c r="Q913" t="s">
        <v>42</v>
      </c>
      <c r="R913" t="s">
        <v>35</v>
      </c>
      <c r="S913">
        <v>6.3</v>
      </c>
      <c r="T913">
        <v>4.7</v>
      </c>
      <c r="U913">
        <v>4</v>
      </c>
      <c r="V913">
        <v>4.2</v>
      </c>
      <c r="W913">
        <v>7</v>
      </c>
      <c r="X913">
        <v>5.9</v>
      </c>
      <c r="Y913">
        <v>5.0999999999999996</v>
      </c>
      <c r="Z913">
        <v>5.7</v>
      </c>
      <c r="AA913">
        <v>0</v>
      </c>
      <c r="AB913">
        <v>0.3</v>
      </c>
      <c r="AC913">
        <v>2.7</v>
      </c>
      <c r="AD913" t="s">
        <v>43</v>
      </c>
      <c r="AE913" t="str">
        <f>IF(AND(data[[#This Row],[Age]]&gt;=18,data[[#This Row],[Age]]&lt;=24),"18-24",IF(AND(data[[#This Row],[Age]]&gt;=25,data[[#This Row],[Age]]&lt;=34),"25-34",IF(AND(data[[#This Row],[Age]]&gt;35,data[[#This Row],[Age]]&lt;=44),"35-44",IF(data[[#This Row],[Age]]&gt;44,"45+",IF(data[[#This Row],[Age]]&lt;18,"below 18 ")))))</f>
        <v>18-24</v>
      </c>
    </row>
    <row r="914" spans="1:31" x14ac:dyDescent="0.25">
      <c r="A914" t="s">
        <v>967</v>
      </c>
      <c r="B914">
        <v>18</v>
      </c>
      <c r="C914" t="s">
        <v>47</v>
      </c>
      <c r="D914" t="s">
        <v>32</v>
      </c>
      <c r="E914" t="s">
        <v>33</v>
      </c>
      <c r="F914" t="s">
        <v>41</v>
      </c>
      <c r="G914">
        <v>3.8</v>
      </c>
      <c r="H914">
        <v>7</v>
      </c>
      <c r="I914">
        <v>6</v>
      </c>
      <c r="J914" t="s">
        <v>42</v>
      </c>
      <c r="K914" t="s">
        <v>52</v>
      </c>
      <c r="L914">
        <v>113</v>
      </c>
      <c r="M914">
        <v>10</v>
      </c>
      <c r="N914">
        <v>7.4</v>
      </c>
      <c r="O914">
        <v>3.4</v>
      </c>
      <c r="P914">
        <v>4.7</v>
      </c>
      <c r="Q914" t="s">
        <v>35</v>
      </c>
      <c r="R914" t="s">
        <v>35</v>
      </c>
      <c r="U914">
        <v>6.5</v>
      </c>
      <c r="V914">
        <v>6</v>
      </c>
      <c r="W914">
        <v>4.4000000000000004</v>
      </c>
      <c r="X914">
        <v>6</v>
      </c>
      <c r="Y914">
        <v>4.9000000000000004</v>
      </c>
      <c r="Z914">
        <v>7.6</v>
      </c>
      <c r="AA914">
        <v>5.0999999999999996</v>
      </c>
      <c r="AB914">
        <v>0.7</v>
      </c>
      <c r="AC914">
        <v>5.2</v>
      </c>
      <c r="AD914" t="s">
        <v>43</v>
      </c>
      <c r="AE914" t="str">
        <f>IF(AND(data[[#This Row],[Age]]&gt;=18,data[[#This Row],[Age]]&lt;=24),"18-24",IF(AND(data[[#This Row],[Age]]&gt;=25,data[[#This Row],[Age]]&lt;=34),"25-34",IF(AND(data[[#This Row],[Age]]&gt;35,data[[#This Row],[Age]]&lt;=44),"35-44",IF(data[[#This Row],[Age]]&gt;44,"45+",IF(data[[#This Row],[Age]]&lt;18,"below 18 ")))))</f>
        <v>18-24</v>
      </c>
    </row>
    <row r="915" spans="1:31" x14ac:dyDescent="0.25">
      <c r="A915" t="s">
        <v>968</v>
      </c>
      <c r="B915">
        <v>15</v>
      </c>
      <c r="C915" t="s">
        <v>47</v>
      </c>
      <c r="D915" t="s">
        <v>57</v>
      </c>
      <c r="E915" t="s">
        <v>33</v>
      </c>
      <c r="F915" t="s">
        <v>51</v>
      </c>
      <c r="G915">
        <v>1.3</v>
      </c>
      <c r="H915">
        <v>4</v>
      </c>
      <c r="I915">
        <v>2</v>
      </c>
      <c r="J915" t="s">
        <v>35</v>
      </c>
      <c r="K915" t="s">
        <v>62</v>
      </c>
      <c r="L915">
        <v>5</v>
      </c>
      <c r="M915">
        <v>6.7</v>
      </c>
      <c r="N915">
        <v>3.4</v>
      </c>
      <c r="O915">
        <v>3.1</v>
      </c>
      <c r="P915">
        <v>4.5</v>
      </c>
      <c r="Q915" t="s">
        <v>42</v>
      </c>
      <c r="R915" t="s">
        <v>42</v>
      </c>
      <c r="S915">
        <v>5.6</v>
      </c>
      <c r="T915">
        <v>2.9</v>
      </c>
      <c r="U915">
        <v>7.3</v>
      </c>
      <c r="V915">
        <v>6.9</v>
      </c>
      <c r="W915">
        <v>6.3</v>
      </c>
      <c r="X915">
        <v>6.9</v>
      </c>
      <c r="Y915">
        <v>1</v>
      </c>
      <c r="Z915">
        <v>3.1</v>
      </c>
      <c r="AA915">
        <v>3.6</v>
      </c>
      <c r="AB915">
        <v>2</v>
      </c>
      <c r="AC915">
        <v>8.6</v>
      </c>
      <c r="AD915" t="s">
        <v>37</v>
      </c>
      <c r="AE915" t="str">
        <f>IF(AND(data[[#This Row],[Age]]&gt;=18,data[[#This Row],[Age]]&lt;=24),"18-24",IF(AND(data[[#This Row],[Age]]&gt;=25,data[[#This Row],[Age]]&lt;=34),"25-34",IF(AND(data[[#This Row],[Age]]&gt;35,data[[#This Row],[Age]]&lt;=44),"35-44",IF(data[[#This Row],[Age]]&gt;44,"45+",IF(data[[#This Row],[Age]]&lt;18,"below 18 ")))))</f>
        <v xml:space="preserve">below 18 </v>
      </c>
    </row>
    <row r="916" spans="1:31" x14ac:dyDescent="0.25">
      <c r="A916" t="s">
        <v>969</v>
      </c>
      <c r="B916">
        <v>33</v>
      </c>
      <c r="C916" t="s">
        <v>47</v>
      </c>
      <c r="D916" t="s">
        <v>39</v>
      </c>
      <c r="E916" t="s">
        <v>40</v>
      </c>
      <c r="F916" t="s">
        <v>41</v>
      </c>
      <c r="G916">
        <v>3.3</v>
      </c>
      <c r="H916">
        <v>3</v>
      </c>
      <c r="I916">
        <v>2</v>
      </c>
      <c r="J916" t="s">
        <v>35</v>
      </c>
      <c r="K916" t="s">
        <v>36</v>
      </c>
      <c r="L916">
        <v>54</v>
      </c>
      <c r="M916">
        <v>4.9000000000000004</v>
      </c>
      <c r="N916">
        <v>8.1</v>
      </c>
      <c r="O916">
        <v>4.5999999999999996</v>
      </c>
      <c r="P916">
        <v>6</v>
      </c>
      <c r="Q916" t="s">
        <v>35</v>
      </c>
      <c r="R916" t="s">
        <v>35</v>
      </c>
      <c r="S916">
        <v>5.6</v>
      </c>
      <c r="T916">
        <v>6</v>
      </c>
      <c r="U916">
        <v>4.4000000000000004</v>
      </c>
      <c r="V916">
        <v>2.4</v>
      </c>
      <c r="W916">
        <v>5.5</v>
      </c>
      <c r="X916">
        <v>6.2</v>
      </c>
      <c r="Y916">
        <v>4.0999999999999996</v>
      </c>
      <c r="Z916">
        <v>8.6999999999999993</v>
      </c>
      <c r="AA916">
        <v>3.5</v>
      </c>
      <c r="AB916">
        <v>0</v>
      </c>
      <c r="AC916">
        <v>6.7</v>
      </c>
      <c r="AD916" t="s">
        <v>53</v>
      </c>
      <c r="AE916" t="str">
        <f>IF(AND(data[[#This Row],[Age]]&gt;=18,data[[#This Row],[Age]]&lt;=24),"18-24",IF(AND(data[[#This Row],[Age]]&gt;=25,data[[#This Row],[Age]]&lt;=34),"25-34",IF(AND(data[[#This Row],[Age]]&gt;35,data[[#This Row],[Age]]&lt;=44),"35-44",IF(data[[#This Row],[Age]]&gt;44,"45+",IF(data[[#This Row],[Age]]&lt;18,"below 18 ")))))</f>
        <v>25-34</v>
      </c>
    </row>
    <row r="917" spans="1:31" x14ac:dyDescent="0.25">
      <c r="A917" t="s">
        <v>970</v>
      </c>
      <c r="B917">
        <v>40</v>
      </c>
      <c r="C917" t="s">
        <v>47</v>
      </c>
      <c r="D917" t="s">
        <v>39</v>
      </c>
      <c r="E917" t="s">
        <v>33</v>
      </c>
      <c r="F917" t="s">
        <v>34</v>
      </c>
      <c r="G917">
        <v>7.4</v>
      </c>
      <c r="H917">
        <v>5</v>
      </c>
      <c r="I917">
        <v>3</v>
      </c>
      <c r="J917" t="s">
        <v>42</v>
      </c>
      <c r="K917" t="s">
        <v>52</v>
      </c>
      <c r="L917">
        <v>59</v>
      </c>
      <c r="M917">
        <v>1.1000000000000001</v>
      </c>
      <c r="N917">
        <v>5.6</v>
      </c>
      <c r="O917">
        <v>0</v>
      </c>
      <c r="P917">
        <v>0</v>
      </c>
      <c r="Q917" t="s">
        <v>42</v>
      </c>
      <c r="R917" t="s">
        <v>42</v>
      </c>
      <c r="S917">
        <v>4.7</v>
      </c>
      <c r="T917">
        <v>3.5</v>
      </c>
      <c r="U917">
        <v>6.1</v>
      </c>
      <c r="V917">
        <v>3</v>
      </c>
      <c r="W917">
        <v>4.5999999999999996</v>
      </c>
      <c r="X917">
        <v>5.8</v>
      </c>
      <c r="Y917">
        <v>7.5</v>
      </c>
      <c r="Z917">
        <v>4.4000000000000004</v>
      </c>
      <c r="AA917">
        <v>3.9</v>
      </c>
      <c r="AB917">
        <v>0.3</v>
      </c>
      <c r="AC917">
        <v>6.6</v>
      </c>
      <c r="AD917" t="s">
        <v>53</v>
      </c>
      <c r="AE917" t="str">
        <f>IF(AND(data[[#This Row],[Age]]&gt;=18,data[[#This Row],[Age]]&lt;=24),"18-24",IF(AND(data[[#This Row],[Age]]&gt;=25,data[[#This Row],[Age]]&lt;=34),"25-34",IF(AND(data[[#This Row],[Age]]&gt;35,data[[#This Row],[Age]]&lt;=44),"35-44",IF(data[[#This Row],[Age]]&gt;44,"45+",IF(data[[#This Row],[Age]]&lt;18,"below 18 ")))))</f>
        <v>35-44</v>
      </c>
    </row>
    <row r="918" spans="1:31" x14ac:dyDescent="0.25">
      <c r="A918" t="s">
        <v>971</v>
      </c>
      <c r="B918">
        <v>24</v>
      </c>
      <c r="C918" t="s">
        <v>47</v>
      </c>
      <c r="D918" t="s">
        <v>39</v>
      </c>
      <c r="E918" t="s">
        <v>58</v>
      </c>
      <c r="F918" t="s">
        <v>34</v>
      </c>
      <c r="G918">
        <v>2.9</v>
      </c>
      <c r="H918">
        <v>7</v>
      </c>
      <c r="I918">
        <v>9</v>
      </c>
      <c r="J918" t="s">
        <v>42</v>
      </c>
      <c r="K918" t="s">
        <v>62</v>
      </c>
      <c r="L918">
        <v>52</v>
      </c>
      <c r="M918">
        <v>7.1</v>
      </c>
      <c r="N918">
        <v>1.5</v>
      </c>
      <c r="O918">
        <v>2.1</v>
      </c>
      <c r="P918">
        <v>6</v>
      </c>
      <c r="Q918" t="s">
        <v>35</v>
      </c>
      <c r="R918" t="s">
        <v>42</v>
      </c>
      <c r="S918">
        <v>4.3</v>
      </c>
      <c r="T918">
        <v>4.3</v>
      </c>
      <c r="U918">
        <v>0</v>
      </c>
      <c r="V918">
        <v>5.8</v>
      </c>
      <c r="X918">
        <v>7.9</v>
      </c>
      <c r="Y918">
        <v>6.7</v>
      </c>
      <c r="Z918">
        <v>5.2</v>
      </c>
      <c r="AA918">
        <v>0.3</v>
      </c>
      <c r="AB918">
        <v>3</v>
      </c>
      <c r="AC918">
        <v>9</v>
      </c>
      <c r="AD918" t="s">
        <v>37</v>
      </c>
      <c r="AE918" t="str">
        <f>IF(AND(data[[#This Row],[Age]]&gt;=18,data[[#This Row],[Age]]&lt;=24),"18-24",IF(AND(data[[#This Row],[Age]]&gt;=25,data[[#This Row],[Age]]&lt;=34),"25-34",IF(AND(data[[#This Row],[Age]]&gt;35,data[[#This Row],[Age]]&lt;=44),"35-44",IF(data[[#This Row],[Age]]&gt;44,"45+",IF(data[[#This Row],[Age]]&lt;18,"below 18 ")))))</f>
        <v>18-24</v>
      </c>
    </row>
    <row r="919" spans="1:31" x14ac:dyDescent="0.25">
      <c r="A919" t="s">
        <v>972</v>
      </c>
      <c r="B919">
        <v>35</v>
      </c>
      <c r="C919" t="s">
        <v>47</v>
      </c>
      <c r="D919" t="s">
        <v>32</v>
      </c>
      <c r="E919" t="s">
        <v>40</v>
      </c>
      <c r="F919" t="s">
        <v>51</v>
      </c>
      <c r="G919">
        <v>5.3</v>
      </c>
      <c r="H919">
        <v>2</v>
      </c>
      <c r="I919">
        <v>1</v>
      </c>
      <c r="J919" t="s">
        <v>35</v>
      </c>
      <c r="K919" t="s">
        <v>52</v>
      </c>
      <c r="L919">
        <v>5</v>
      </c>
      <c r="M919">
        <v>0.1</v>
      </c>
      <c r="N919">
        <v>5.4</v>
      </c>
      <c r="O919">
        <v>7.8</v>
      </c>
      <c r="P919">
        <v>7.9</v>
      </c>
      <c r="Q919" t="s">
        <v>42</v>
      </c>
      <c r="R919" t="s">
        <v>42</v>
      </c>
      <c r="S919">
        <v>4.9000000000000004</v>
      </c>
      <c r="T919">
        <v>6.3</v>
      </c>
      <c r="U919">
        <v>3</v>
      </c>
      <c r="V919">
        <v>4.4000000000000004</v>
      </c>
      <c r="W919">
        <v>6.1</v>
      </c>
      <c r="X919">
        <v>5.4</v>
      </c>
      <c r="Y919">
        <v>7.2</v>
      </c>
      <c r="Z919">
        <v>0.8</v>
      </c>
      <c r="AA919">
        <v>2.7</v>
      </c>
      <c r="AB919">
        <v>5</v>
      </c>
      <c r="AC919">
        <v>6.6</v>
      </c>
      <c r="AD919" t="s">
        <v>53</v>
      </c>
      <c r="AE919" t="b">
        <f>IF(AND(data[[#This Row],[Age]]&gt;=18,data[[#This Row],[Age]]&lt;=24),"18-24",IF(AND(data[[#This Row],[Age]]&gt;=25,data[[#This Row],[Age]]&lt;=34),"25-34",IF(AND(data[[#This Row],[Age]]&gt;35,data[[#This Row],[Age]]&lt;=44),"35-44",IF(data[[#This Row],[Age]]&gt;44,"45+",IF(data[[#This Row],[Age]]&lt;18,"below 18 ")))))</f>
        <v>0</v>
      </c>
    </row>
    <row r="920" spans="1:31" x14ac:dyDescent="0.25">
      <c r="A920" t="s">
        <v>973</v>
      </c>
      <c r="B920">
        <v>41</v>
      </c>
      <c r="C920" t="s">
        <v>31</v>
      </c>
      <c r="D920" t="s">
        <v>39</v>
      </c>
      <c r="E920" t="s">
        <v>33</v>
      </c>
      <c r="F920" t="s">
        <v>59</v>
      </c>
      <c r="G920">
        <v>5.9</v>
      </c>
      <c r="H920">
        <v>2</v>
      </c>
      <c r="I920">
        <v>6</v>
      </c>
      <c r="J920" t="s">
        <v>35</v>
      </c>
      <c r="K920" t="s">
        <v>52</v>
      </c>
      <c r="L920">
        <v>77</v>
      </c>
      <c r="N920">
        <v>7.7</v>
      </c>
      <c r="O920">
        <v>2.2000000000000002</v>
      </c>
      <c r="P920">
        <v>5.8</v>
      </c>
      <c r="Q920" t="s">
        <v>42</v>
      </c>
      <c r="R920" t="s">
        <v>42</v>
      </c>
      <c r="S920">
        <v>4.0999999999999996</v>
      </c>
      <c r="T920">
        <v>10</v>
      </c>
      <c r="U920">
        <v>2.7</v>
      </c>
      <c r="V920">
        <v>7.7</v>
      </c>
      <c r="W920">
        <v>4.8</v>
      </c>
      <c r="X920">
        <v>6.5</v>
      </c>
      <c r="Y920">
        <v>3.5</v>
      </c>
      <c r="Z920">
        <v>7.4</v>
      </c>
      <c r="AA920">
        <v>3.6</v>
      </c>
      <c r="AB920">
        <v>2.7</v>
      </c>
      <c r="AC920">
        <v>8.3000000000000007</v>
      </c>
      <c r="AD920" t="s">
        <v>37</v>
      </c>
      <c r="AE920" t="str">
        <f>IF(AND(data[[#This Row],[Age]]&gt;=18,data[[#This Row],[Age]]&lt;=24),"18-24",IF(AND(data[[#This Row],[Age]]&gt;=25,data[[#This Row],[Age]]&lt;=34),"25-34",IF(AND(data[[#This Row],[Age]]&gt;35,data[[#This Row],[Age]]&lt;=44),"35-44",IF(data[[#This Row],[Age]]&gt;44,"45+",IF(data[[#This Row],[Age]]&lt;18,"below 18 ")))))</f>
        <v>35-44</v>
      </c>
    </row>
    <row r="921" spans="1:31" x14ac:dyDescent="0.25">
      <c r="A921" t="s">
        <v>974</v>
      </c>
      <c r="B921">
        <v>34</v>
      </c>
      <c r="C921" t="s">
        <v>47</v>
      </c>
      <c r="D921" t="s">
        <v>39</v>
      </c>
      <c r="E921" t="s">
        <v>40</v>
      </c>
      <c r="F921" t="s">
        <v>41</v>
      </c>
      <c r="G921">
        <v>3.1</v>
      </c>
      <c r="H921">
        <v>3</v>
      </c>
      <c r="I921">
        <v>4</v>
      </c>
      <c r="J921" t="s">
        <v>42</v>
      </c>
      <c r="K921" t="s">
        <v>36</v>
      </c>
      <c r="L921">
        <v>21</v>
      </c>
      <c r="N921">
        <v>3.5</v>
      </c>
      <c r="O921">
        <v>4</v>
      </c>
      <c r="P921">
        <v>5.9</v>
      </c>
      <c r="Q921" t="s">
        <v>35</v>
      </c>
      <c r="R921" t="s">
        <v>35</v>
      </c>
      <c r="S921">
        <v>3</v>
      </c>
      <c r="T921">
        <v>8.1</v>
      </c>
      <c r="U921">
        <v>7.1</v>
      </c>
      <c r="V921">
        <v>7</v>
      </c>
      <c r="W921">
        <v>9.6999999999999993</v>
      </c>
      <c r="X921">
        <v>5.9</v>
      </c>
      <c r="Y921">
        <v>2</v>
      </c>
      <c r="Z921">
        <v>2.9</v>
      </c>
      <c r="AA921">
        <v>2.1</v>
      </c>
      <c r="AB921">
        <v>5.6</v>
      </c>
      <c r="AC921">
        <v>7</v>
      </c>
      <c r="AD921" t="s">
        <v>37</v>
      </c>
      <c r="AE921" t="str">
        <f>IF(AND(data[[#This Row],[Age]]&gt;=18,data[[#This Row],[Age]]&lt;=24),"18-24",IF(AND(data[[#This Row],[Age]]&gt;=25,data[[#This Row],[Age]]&lt;=34),"25-34",IF(AND(data[[#This Row],[Age]]&gt;35,data[[#This Row],[Age]]&lt;=44),"35-44",IF(data[[#This Row],[Age]]&gt;44,"45+",IF(data[[#This Row],[Age]]&lt;18,"below 18 ")))))</f>
        <v>25-34</v>
      </c>
    </row>
    <row r="922" spans="1:31" x14ac:dyDescent="0.25">
      <c r="A922" t="s">
        <v>975</v>
      </c>
      <c r="B922">
        <v>20</v>
      </c>
      <c r="C922" t="s">
        <v>47</v>
      </c>
      <c r="D922" t="s">
        <v>32</v>
      </c>
      <c r="E922" t="s">
        <v>33</v>
      </c>
      <c r="F922" t="s">
        <v>51</v>
      </c>
      <c r="G922">
        <v>6.6</v>
      </c>
      <c r="H922">
        <v>1</v>
      </c>
      <c r="I922">
        <v>7</v>
      </c>
      <c r="J922" t="s">
        <v>42</v>
      </c>
      <c r="K922" t="s">
        <v>36</v>
      </c>
      <c r="L922">
        <v>60</v>
      </c>
      <c r="M922">
        <v>4.3</v>
      </c>
      <c r="N922">
        <v>3</v>
      </c>
      <c r="O922">
        <v>4.0999999999999996</v>
      </c>
      <c r="P922">
        <v>5.3</v>
      </c>
      <c r="Q922" t="s">
        <v>42</v>
      </c>
      <c r="R922" t="s">
        <v>35</v>
      </c>
      <c r="S922">
        <v>3.4</v>
      </c>
      <c r="T922">
        <v>7.8</v>
      </c>
      <c r="U922">
        <v>3.3</v>
      </c>
      <c r="V922">
        <v>7.6</v>
      </c>
      <c r="W922">
        <v>3.5</v>
      </c>
      <c r="Y922">
        <v>5.6</v>
      </c>
      <c r="Z922">
        <v>8.6999999999999993</v>
      </c>
      <c r="AA922">
        <v>3.8</v>
      </c>
      <c r="AB922">
        <v>3.3</v>
      </c>
      <c r="AC922">
        <v>6.8</v>
      </c>
      <c r="AD922" t="s">
        <v>53</v>
      </c>
      <c r="AE922" t="str">
        <f>IF(AND(data[[#This Row],[Age]]&gt;=18,data[[#This Row],[Age]]&lt;=24),"18-24",IF(AND(data[[#This Row],[Age]]&gt;=25,data[[#This Row],[Age]]&lt;=34),"25-34",IF(AND(data[[#This Row],[Age]]&gt;35,data[[#This Row],[Age]]&lt;=44),"35-44",IF(data[[#This Row],[Age]]&gt;44,"45+",IF(data[[#This Row],[Age]]&lt;18,"below 18 ")))))</f>
        <v>18-24</v>
      </c>
    </row>
    <row r="923" spans="1:31" x14ac:dyDescent="0.25">
      <c r="A923" t="s">
        <v>976</v>
      </c>
      <c r="B923">
        <v>37</v>
      </c>
      <c r="C923" t="s">
        <v>31</v>
      </c>
      <c r="D923" t="s">
        <v>39</v>
      </c>
      <c r="F923" t="s">
        <v>51</v>
      </c>
      <c r="G923">
        <v>7.4</v>
      </c>
      <c r="H923">
        <v>3</v>
      </c>
      <c r="I923">
        <v>5</v>
      </c>
      <c r="J923" t="s">
        <v>35</v>
      </c>
      <c r="K923" t="s">
        <v>62</v>
      </c>
      <c r="L923">
        <v>47</v>
      </c>
      <c r="M923">
        <v>5</v>
      </c>
      <c r="N923">
        <v>6.8</v>
      </c>
      <c r="O923">
        <v>8.9</v>
      </c>
      <c r="P923">
        <v>3.6</v>
      </c>
      <c r="Q923" t="s">
        <v>42</v>
      </c>
      <c r="R923" t="s">
        <v>35</v>
      </c>
      <c r="S923">
        <v>7.8</v>
      </c>
      <c r="T923">
        <v>3.9</v>
      </c>
      <c r="U923">
        <v>1.9</v>
      </c>
      <c r="V923">
        <v>8</v>
      </c>
      <c r="W923">
        <v>6.5</v>
      </c>
      <c r="X923">
        <v>5.2</v>
      </c>
      <c r="Y923">
        <v>7.6</v>
      </c>
      <c r="Z923">
        <v>5.6</v>
      </c>
      <c r="AA923">
        <v>4.4000000000000004</v>
      </c>
      <c r="AB923">
        <v>4.4000000000000004</v>
      </c>
      <c r="AC923">
        <v>7.1</v>
      </c>
      <c r="AD923" t="s">
        <v>53</v>
      </c>
      <c r="AE923" t="str">
        <f>IF(AND(data[[#This Row],[Age]]&gt;=18,data[[#This Row],[Age]]&lt;=24),"18-24",IF(AND(data[[#This Row],[Age]]&gt;=25,data[[#This Row],[Age]]&lt;=34),"25-34",IF(AND(data[[#This Row],[Age]]&gt;35,data[[#This Row],[Age]]&lt;=44),"35-44",IF(data[[#This Row],[Age]]&gt;44,"45+",IF(data[[#This Row],[Age]]&lt;18,"below 18 ")))))</f>
        <v>35-44</v>
      </c>
    </row>
    <row r="924" spans="1:31" x14ac:dyDescent="0.25">
      <c r="A924" t="s">
        <v>977</v>
      </c>
      <c r="B924">
        <v>43</v>
      </c>
      <c r="C924" t="s">
        <v>31</v>
      </c>
      <c r="D924" t="s">
        <v>64</v>
      </c>
      <c r="E924" t="s">
        <v>58</v>
      </c>
      <c r="F924" t="s">
        <v>41</v>
      </c>
      <c r="H924">
        <v>4</v>
      </c>
      <c r="I924">
        <v>5</v>
      </c>
      <c r="J924" t="s">
        <v>35</v>
      </c>
      <c r="K924" t="s">
        <v>62</v>
      </c>
      <c r="L924">
        <v>65</v>
      </c>
      <c r="M924">
        <v>9.4</v>
      </c>
      <c r="N924">
        <v>6.2</v>
      </c>
      <c r="O924">
        <v>3.3</v>
      </c>
      <c r="P924">
        <v>2.7</v>
      </c>
      <c r="Q924" t="s">
        <v>35</v>
      </c>
      <c r="R924" t="s">
        <v>35</v>
      </c>
      <c r="S924">
        <v>4.5</v>
      </c>
      <c r="T924">
        <v>5.6</v>
      </c>
      <c r="U924">
        <v>2.2999999999999998</v>
      </c>
      <c r="V924">
        <v>4.0999999999999996</v>
      </c>
      <c r="W924">
        <v>6.9</v>
      </c>
      <c r="X924">
        <v>7.9</v>
      </c>
      <c r="Y924">
        <v>3.2</v>
      </c>
      <c r="Z924">
        <v>4.5</v>
      </c>
      <c r="AA924">
        <v>0.9</v>
      </c>
      <c r="AB924">
        <v>1.2</v>
      </c>
      <c r="AC924">
        <v>7.4</v>
      </c>
      <c r="AD924" t="s">
        <v>37</v>
      </c>
      <c r="AE924" t="str">
        <f>IF(AND(data[[#This Row],[Age]]&gt;=18,data[[#This Row],[Age]]&lt;=24),"18-24",IF(AND(data[[#This Row],[Age]]&gt;=25,data[[#This Row],[Age]]&lt;=34),"25-34",IF(AND(data[[#This Row],[Age]]&gt;35,data[[#This Row],[Age]]&lt;=44),"35-44",IF(data[[#This Row],[Age]]&gt;44,"45+",IF(data[[#This Row],[Age]]&lt;18,"below 18 ")))))</f>
        <v>35-44</v>
      </c>
    </row>
    <row r="925" spans="1:31" x14ac:dyDescent="0.25">
      <c r="A925" t="s">
        <v>978</v>
      </c>
      <c r="B925">
        <v>18</v>
      </c>
      <c r="C925" t="s">
        <v>31</v>
      </c>
      <c r="D925" t="s">
        <v>32</v>
      </c>
      <c r="E925" t="s">
        <v>33</v>
      </c>
      <c r="F925" t="s">
        <v>48</v>
      </c>
      <c r="G925">
        <v>0.5</v>
      </c>
      <c r="H925">
        <v>4</v>
      </c>
      <c r="I925">
        <v>3</v>
      </c>
      <c r="J925" t="s">
        <v>35</v>
      </c>
      <c r="K925" t="s">
        <v>52</v>
      </c>
      <c r="L925">
        <v>41</v>
      </c>
      <c r="N925">
        <v>1.6</v>
      </c>
      <c r="O925">
        <v>6.3</v>
      </c>
      <c r="P925">
        <v>6.6</v>
      </c>
      <c r="Q925" t="s">
        <v>35</v>
      </c>
      <c r="R925" t="s">
        <v>42</v>
      </c>
      <c r="S925">
        <v>6.6</v>
      </c>
      <c r="T925">
        <v>6.3</v>
      </c>
      <c r="U925">
        <v>5</v>
      </c>
      <c r="V925">
        <v>7.3</v>
      </c>
      <c r="W925">
        <v>6.6</v>
      </c>
      <c r="X925">
        <v>6.7</v>
      </c>
      <c r="Y925">
        <v>3.9</v>
      </c>
      <c r="Z925">
        <v>4.8</v>
      </c>
      <c r="AA925">
        <v>5.4</v>
      </c>
      <c r="AB925">
        <v>0</v>
      </c>
      <c r="AC925">
        <v>8.4</v>
      </c>
      <c r="AD925" t="s">
        <v>37</v>
      </c>
      <c r="AE925" t="str">
        <f>IF(AND(data[[#This Row],[Age]]&gt;=18,data[[#This Row],[Age]]&lt;=24),"18-24",IF(AND(data[[#This Row],[Age]]&gt;=25,data[[#This Row],[Age]]&lt;=34),"25-34",IF(AND(data[[#This Row],[Age]]&gt;35,data[[#This Row],[Age]]&lt;=44),"35-44",IF(data[[#This Row],[Age]]&gt;44,"45+",IF(data[[#This Row],[Age]]&lt;18,"below 18 ")))))</f>
        <v>18-24</v>
      </c>
    </row>
    <row r="926" spans="1:31" x14ac:dyDescent="0.25">
      <c r="A926" t="s">
        <v>979</v>
      </c>
      <c r="B926">
        <v>30</v>
      </c>
      <c r="C926" t="s">
        <v>47</v>
      </c>
      <c r="D926" t="s">
        <v>57</v>
      </c>
      <c r="E926" t="s">
        <v>33</v>
      </c>
      <c r="F926" t="s">
        <v>34</v>
      </c>
      <c r="G926">
        <v>5</v>
      </c>
      <c r="H926">
        <v>4</v>
      </c>
      <c r="I926">
        <v>1</v>
      </c>
      <c r="J926" t="s">
        <v>35</v>
      </c>
      <c r="K926" t="s">
        <v>36</v>
      </c>
      <c r="L926">
        <v>109</v>
      </c>
      <c r="M926">
        <v>0.3</v>
      </c>
      <c r="N926">
        <v>5.9</v>
      </c>
      <c r="O926">
        <v>10</v>
      </c>
      <c r="P926">
        <v>8.1</v>
      </c>
      <c r="Q926" t="s">
        <v>35</v>
      </c>
      <c r="R926" t="s">
        <v>35</v>
      </c>
      <c r="S926">
        <v>0.7</v>
      </c>
      <c r="T926">
        <v>5.6</v>
      </c>
      <c r="U926">
        <v>9.1</v>
      </c>
      <c r="V926">
        <v>5</v>
      </c>
      <c r="X926">
        <v>4</v>
      </c>
      <c r="Y926">
        <v>4.7</v>
      </c>
      <c r="Z926">
        <v>2.9</v>
      </c>
      <c r="AA926">
        <v>1.2</v>
      </c>
      <c r="AB926">
        <v>1.9</v>
      </c>
      <c r="AC926">
        <v>5.3</v>
      </c>
      <c r="AD926" t="s">
        <v>45</v>
      </c>
      <c r="AE926" t="str">
        <f>IF(AND(data[[#This Row],[Age]]&gt;=18,data[[#This Row],[Age]]&lt;=24),"18-24",IF(AND(data[[#This Row],[Age]]&gt;=25,data[[#This Row],[Age]]&lt;=34),"25-34",IF(AND(data[[#This Row],[Age]]&gt;35,data[[#This Row],[Age]]&lt;=44),"35-44",IF(data[[#This Row],[Age]]&gt;44,"45+",IF(data[[#This Row],[Age]]&lt;18,"below 18 ")))))</f>
        <v>25-34</v>
      </c>
    </row>
    <row r="927" spans="1:31" x14ac:dyDescent="0.25">
      <c r="A927" t="s">
        <v>980</v>
      </c>
      <c r="B927">
        <v>23</v>
      </c>
      <c r="C927" t="s">
        <v>31</v>
      </c>
      <c r="D927" t="s">
        <v>64</v>
      </c>
      <c r="E927" t="s">
        <v>58</v>
      </c>
      <c r="F927" t="s">
        <v>41</v>
      </c>
      <c r="G927">
        <v>5.9</v>
      </c>
      <c r="H927">
        <v>4</v>
      </c>
      <c r="I927">
        <v>5</v>
      </c>
      <c r="J927" t="s">
        <v>35</v>
      </c>
      <c r="K927" t="s">
        <v>62</v>
      </c>
      <c r="L927">
        <v>37</v>
      </c>
      <c r="M927">
        <v>4.5999999999999996</v>
      </c>
      <c r="N927">
        <v>8.5</v>
      </c>
      <c r="O927">
        <v>4.3</v>
      </c>
      <c r="P927">
        <v>2.5</v>
      </c>
      <c r="Q927" t="s">
        <v>35</v>
      </c>
      <c r="R927" t="s">
        <v>42</v>
      </c>
      <c r="S927">
        <v>6.7</v>
      </c>
      <c r="T927">
        <v>2.7</v>
      </c>
      <c r="U927">
        <v>3.5</v>
      </c>
      <c r="V927">
        <v>4.5999999999999996</v>
      </c>
      <c r="W927">
        <v>6.9</v>
      </c>
      <c r="X927">
        <v>5.2</v>
      </c>
      <c r="Y927">
        <v>1.9</v>
      </c>
      <c r="Z927">
        <v>7.2</v>
      </c>
      <c r="AA927">
        <v>4.5999999999999996</v>
      </c>
      <c r="AB927">
        <v>2.2000000000000002</v>
      </c>
      <c r="AC927">
        <v>8.1999999999999993</v>
      </c>
      <c r="AD927" t="s">
        <v>37</v>
      </c>
      <c r="AE927" t="str">
        <f>IF(AND(data[[#This Row],[Age]]&gt;=18,data[[#This Row],[Age]]&lt;=24),"18-24",IF(AND(data[[#This Row],[Age]]&gt;=25,data[[#This Row],[Age]]&lt;=34),"25-34",IF(AND(data[[#This Row],[Age]]&gt;35,data[[#This Row],[Age]]&lt;=44),"35-44",IF(data[[#This Row],[Age]]&gt;44,"45+",IF(data[[#This Row],[Age]]&lt;18,"below 18 ")))))</f>
        <v>18-24</v>
      </c>
    </row>
    <row r="928" spans="1:31" x14ac:dyDescent="0.25">
      <c r="A928" t="s">
        <v>981</v>
      </c>
      <c r="B928">
        <v>19</v>
      </c>
      <c r="C928" t="s">
        <v>47</v>
      </c>
      <c r="D928" t="s">
        <v>64</v>
      </c>
      <c r="E928" t="s">
        <v>33</v>
      </c>
      <c r="F928" t="s">
        <v>41</v>
      </c>
      <c r="G928">
        <v>6.3</v>
      </c>
      <c r="H928">
        <v>3</v>
      </c>
      <c r="I928">
        <v>7</v>
      </c>
      <c r="J928" t="s">
        <v>35</v>
      </c>
      <c r="K928" t="s">
        <v>52</v>
      </c>
      <c r="L928">
        <v>44</v>
      </c>
      <c r="M928">
        <v>0</v>
      </c>
      <c r="N928">
        <v>3.3</v>
      </c>
      <c r="O928">
        <v>5.0999999999999996</v>
      </c>
      <c r="P928">
        <v>8.1</v>
      </c>
      <c r="Q928" t="s">
        <v>35</v>
      </c>
      <c r="R928" t="s">
        <v>35</v>
      </c>
      <c r="S928">
        <v>9.1</v>
      </c>
      <c r="T928">
        <v>5.5</v>
      </c>
      <c r="U928">
        <v>4</v>
      </c>
      <c r="V928">
        <v>10</v>
      </c>
      <c r="W928">
        <v>3.4</v>
      </c>
      <c r="X928">
        <v>7.5</v>
      </c>
      <c r="Y928">
        <v>1.1000000000000001</v>
      </c>
      <c r="Z928">
        <v>5</v>
      </c>
      <c r="AA928">
        <v>5.0999999999999996</v>
      </c>
      <c r="AB928">
        <v>2.2999999999999998</v>
      </c>
      <c r="AC928">
        <v>8.8000000000000007</v>
      </c>
      <c r="AD928" t="s">
        <v>37</v>
      </c>
      <c r="AE928" t="str">
        <f>IF(AND(data[[#This Row],[Age]]&gt;=18,data[[#This Row],[Age]]&lt;=24),"18-24",IF(AND(data[[#This Row],[Age]]&gt;=25,data[[#This Row],[Age]]&lt;=34),"25-34",IF(AND(data[[#This Row],[Age]]&gt;35,data[[#This Row],[Age]]&lt;=44),"35-44",IF(data[[#This Row],[Age]]&gt;44,"45+",IF(data[[#This Row],[Age]]&lt;18,"below 18 ")))))</f>
        <v>18-24</v>
      </c>
    </row>
    <row r="929" spans="1:31" x14ac:dyDescent="0.25">
      <c r="A929" t="s">
        <v>982</v>
      </c>
      <c r="B929">
        <v>42</v>
      </c>
      <c r="C929" t="s">
        <v>47</v>
      </c>
      <c r="D929" t="s">
        <v>39</v>
      </c>
      <c r="E929" t="s">
        <v>40</v>
      </c>
      <c r="F929" t="s">
        <v>48</v>
      </c>
      <c r="G929">
        <v>8.3000000000000007</v>
      </c>
      <c r="H929">
        <v>5</v>
      </c>
      <c r="I929">
        <v>3</v>
      </c>
      <c r="J929" t="s">
        <v>35</v>
      </c>
      <c r="K929" t="s">
        <v>36</v>
      </c>
      <c r="L929">
        <v>5</v>
      </c>
      <c r="M929">
        <v>3.4</v>
      </c>
      <c r="N929">
        <v>4</v>
      </c>
      <c r="O929">
        <v>1.6</v>
      </c>
      <c r="P929">
        <v>3.9</v>
      </c>
      <c r="Q929" t="s">
        <v>42</v>
      </c>
      <c r="R929" t="s">
        <v>42</v>
      </c>
      <c r="S929">
        <v>3.8</v>
      </c>
      <c r="T929">
        <v>6.3</v>
      </c>
      <c r="U929">
        <v>2.2000000000000002</v>
      </c>
      <c r="V929">
        <v>6.5</v>
      </c>
      <c r="W929">
        <v>4.0999999999999996</v>
      </c>
      <c r="X929">
        <v>7.6</v>
      </c>
      <c r="Y929">
        <v>6</v>
      </c>
      <c r="Z929">
        <v>4</v>
      </c>
      <c r="AA929">
        <v>2.4</v>
      </c>
      <c r="AB929">
        <v>2.2999999999999998</v>
      </c>
      <c r="AC929">
        <v>6.9</v>
      </c>
      <c r="AD929" t="s">
        <v>53</v>
      </c>
      <c r="AE929" t="str">
        <f>IF(AND(data[[#This Row],[Age]]&gt;=18,data[[#This Row],[Age]]&lt;=24),"18-24",IF(AND(data[[#This Row],[Age]]&gt;=25,data[[#This Row],[Age]]&lt;=34),"25-34",IF(AND(data[[#This Row],[Age]]&gt;35,data[[#This Row],[Age]]&lt;=44),"35-44",IF(data[[#This Row],[Age]]&gt;44,"45+",IF(data[[#This Row],[Age]]&lt;18,"below 18 ")))))</f>
        <v>35-44</v>
      </c>
    </row>
    <row r="930" spans="1:31" x14ac:dyDescent="0.25">
      <c r="A930" t="s">
        <v>983</v>
      </c>
      <c r="B930">
        <v>23</v>
      </c>
      <c r="D930" t="s">
        <v>64</v>
      </c>
      <c r="F930" t="s">
        <v>59</v>
      </c>
      <c r="H930">
        <v>1</v>
      </c>
      <c r="I930">
        <v>2</v>
      </c>
      <c r="J930" t="s">
        <v>42</v>
      </c>
      <c r="K930" t="s">
        <v>62</v>
      </c>
      <c r="L930">
        <v>56</v>
      </c>
      <c r="M930">
        <v>7.5</v>
      </c>
      <c r="N930">
        <v>6.6</v>
      </c>
      <c r="O930">
        <v>2.5</v>
      </c>
      <c r="P930">
        <v>4.7</v>
      </c>
      <c r="Q930" t="s">
        <v>42</v>
      </c>
      <c r="R930" t="s">
        <v>42</v>
      </c>
      <c r="S930">
        <v>5.8</v>
      </c>
      <c r="T930">
        <v>3.9</v>
      </c>
      <c r="U930">
        <v>5.3</v>
      </c>
      <c r="V930">
        <v>0.2</v>
      </c>
      <c r="W930">
        <v>2.1</v>
      </c>
      <c r="X930">
        <v>7.7</v>
      </c>
      <c r="Y930">
        <v>6.4</v>
      </c>
      <c r="Z930">
        <v>4</v>
      </c>
      <c r="AA930">
        <v>2.1</v>
      </c>
      <c r="AB930">
        <v>3.5</v>
      </c>
      <c r="AC930">
        <v>4.9000000000000004</v>
      </c>
      <c r="AD930" t="s">
        <v>45</v>
      </c>
      <c r="AE930" t="str">
        <f>IF(AND(data[[#This Row],[Age]]&gt;=18,data[[#This Row],[Age]]&lt;=24),"18-24",IF(AND(data[[#This Row],[Age]]&gt;=25,data[[#This Row],[Age]]&lt;=34),"25-34",IF(AND(data[[#This Row],[Age]]&gt;35,data[[#This Row],[Age]]&lt;=44),"35-44",IF(data[[#This Row],[Age]]&gt;44,"45+",IF(data[[#This Row],[Age]]&lt;18,"below 18 ")))))</f>
        <v>18-24</v>
      </c>
    </row>
    <row r="931" spans="1:31" x14ac:dyDescent="0.25">
      <c r="A931" t="s">
        <v>984</v>
      </c>
      <c r="B931">
        <v>16</v>
      </c>
      <c r="C931" t="s">
        <v>31</v>
      </c>
      <c r="D931" t="s">
        <v>32</v>
      </c>
      <c r="E931" t="s">
        <v>58</v>
      </c>
      <c r="F931" t="s">
        <v>41</v>
      </c>
      <c r="G931">
        <v>4.4000000000000004</v>
      </c>
      <c r="H931">
        <v>5</v>
      </c>
      <c r="I931">
        <v>5</v>
      </c>
      <c r="J931" t="s">
        <v>42</v>
      </c>
      <c r="K931" t="s">
        <v>36</v>
      </c>
      <c r="L931">
        <v>16</v>
      </c>
      <c r="M931">
        <v>4</v>
      </c>
      <c r="N931">
        <v>3.9</v>
      </c>
      <c r="O931">
        <v>3.5</v>
      </c>
      <c r="P931">
        <v>7.6</v>
      </c>
      <c r="Q931" t="s">
        <v>35</v>
      </c>
      <c r="R931" t="s">
        <v>35</v>
      </c>
      <c r="S931">
        <v>7.2</v>
      </c>
      <c r="T931">
        <v>5.0999999999999996</v>
      </c>
      <c r="U931">
        <v>4.5999999999999996</v>
      </c>
      <c r="V931">
        <v>4.3</v>
      </c>
      <c r="W931">
        <v>5.5</v>
      </c>
      <c r="X931">
        <v>4.4000000000000004</v>
      </c>
      <c r="Y931">
        <v>6.5</v>
      </c>
      <c r="Z931">
        <v>2.7</v>
      </c>
      <c r="AA931">
        <v>5.9</v>
      </c>
      <c r="AB931">
        <v>3</v>
      </c>
      <c r="AC931">
        <v>6</v>
      </c>
      <c r="AD931" t="s">
        <v>45</v>
      </c>
      <c r="AE931" t="str">
        <f>IF(AND(data[[#This Row],[Age]]&gt;=18,data[[#This Row],[Age]]&lt;=24),"18-24",IF(AND(data[[#This Row],[Age]]&gt;=25,data[[#This Row],[Age]]&lt;=34),"25-34",IF(AND(data[[#This Row],[Age]]&gt;35,data[[#This Row],[Age]]&lt;=44),"35-44",IF(data[[#This Row],[Age]]&gt;44,"45+",IF(data[[#This Row],[Age]]&lt;18,"below 18 ")))))</f>
        <v xml:space="preserve">below 18 </v>
      </c>
    </row>
    <row r="932" spans="1:31" x14ac:dyDescent="0.25">
      <c r="A932" t="s">
        <v>985</v>
      </c>
      <c r="B932">
        <v>35</v>
      </c>
      <c r="C932" t="s">
        <v>31</v>
      </c>
      <c r="D932" t="s">
        <v>39</v>
      </c>
      <c r="E932" t="s">
        <v>40</v>
      </c>
      <c r="F932" t="s">
        <v>51</v>
      </c>
      <c r="G932">
        <v>0.5</v>
      </c>
      <c r="H932">
        <v>2</v>
      </c>
      <c r="I932">
        <v>5</v>
      </c>
      <c r="J932" t="s">
        <v>42</v>
      </c>
      <c r="K932" t="s">
        <v>36</v>
      </c>
      <c r="L932">
        <v>12</v>
      </c>
      <c r="M932">
        <v>6.7</v>
      </c>
      <c r="N932">
        <v>1.7</v>
      </c>
      <c r="O932">
        <v>2.4</v>
      </c>
      <c r="P932">
        <v>5.2</v>
      </c>
      <c r="Q932" t="s">
        <v>42</v>
      </c>
      <c r="R932" t="s">
        <v>42</v>
      </c>
      <c r="S932">
        <v>2.9</v>
      </c>
      <c r="T932">
        <v>7.3</v>
      </c>
      <c r="U932">
        <v>4.2</v>
      </c>
      <c r="V932">
        <v>6.8</v>
      </c>
      <c r="W932">
        <v>7.8</v>
      </c>
      <c r="X932">
        <v>6.7</v>
      </c>
      <c r="Y932">
        <v>2.9</v>
      </c>
      <c r="Z932">
        <v>4.7</v>
      </c>
      <c r="AA932">
        <v>2.6</v>
      </c>
      <c r="AB932">
        <v>5.9</v>
      </c>
      <c r="AC932">
        <v>7.8</v>
      </c>
      <c r="AD932" t="s">
        <v>37</v>
      </c>
      <c r="AE932" t="b">
        <f>IF(AND(data[[#This Row],[Age]]&gt;=18,data[[#This Row],[Age]]&lt;=24),"18-24",IF(AND(data[[#This Row],[Age]]&gt;=25,data[[#This Row],[Age]]&lt;=34),"25-34",IF(AND(data[[#This Row],[Age]]&gt;35,data[[#This Row],[Age]]&lt;=44),"35-44",IF(data[[#This Row],[Age]]&gt;44,"45+",IF(data[[#This Row],[Age]]&lt;18,"below 18 ")))))</f>
        <v>0</v>
      </c>
    </row>
    <row r="933" spans="1:31" x14ac:dyDescent="0.25">
      <c r="A933" t="s">
        <v>986</v>
      </c>
      <c r="B933">
        <v>17</v>
      </c>
      <c r="C933" t="s">
        <v>31</v>
      </c>
      <c r="D933" t="s">
        <v>64</v>
      </c>
      <c r="E933" t="s">
        <v>58</v>
      </c>
      <c r="F933" t="s">
        <v>41</v>
      </c>
      <c r="G933">
        <v>1.8</v>
      </c>
      <c r="H933">
        <v>4</v>
      </c>
      <c r="I933">
        <v>4</v>
      </c>
      <c r="J933" t="s">
        <v>35</v>
      </c>
      <c r="K933" t="s">
        <v>36</v>
      </c>
      <c r="L933">
        <v>53</v>
      </c>
      <c r="M933">
        <v>4</v>
      </c>
      <c r="N933">
        <v>7.7</v>
      </c>
      <c r="O933">
        <v>8.6999999999999993</v>
      </c>
      <c r="P933">
        <v>8.3000000000000007</v>
      </c>
      <c r="Q933" t="s">
        <v>42</v>
      </c>
      <c r="R933" t="s">
        <v>35</v>
      </c>
      <c r="S933">
        <v>4.5999999999999996</v>
      </c>
      <c r="T933">
        <v>2.8</v>
      </c>
      <c r="U933">
        <v>0</v>
      </c>
      <c r="V933">
        <v>5.9</v>
      </c>
      <c r="W933">
        <v>2.2999999999999998</v>
      </c>
      <c r="X933">
        <v>5.0999999999999996</v>
      </c>
      <c r="Y933">
        <v>4.2</v>
      </c>
      <c r="Z933">
        <v>6.1</v>
      </c>
      <c r="AA933">
        <v>0.8</v>
      </c>
      <c r="AB933">
        <v>1.7</v>
      </c>
      <c r="AC933">
        <v>6.1</v>
      </c>
      <c r="AD933" t="s">
        <v>45</v>
      </c>
      <c r="AE933" t="str">
        <f>IF(AND(data[[#This Row],[Age]]&gt;=18,data[[#This Row],[Age]]&lt;=24),"18-24",IF(AND(data[[#This Row],[Age]]&gt;=25,data[[#This Row],[Age]]&lt;=34),"25-34",IF(AND(data[[#This Row],[Age]]&gt;35,data[[#This Row],[Age]]&lt;=44),"35-44",IF(data[[#This Row],[Age]]&gt;44,"45+",IF(data[[#This Row],[Age]]&lt;18,"below 18 ")))))</f>
        <v xml:space="preserve">below 18 </v>
      </c>
    </row>
    <row r="934" spans="1:31" x14ac:dyDescent="0.25">
      <c r="A934" t="s">
        <v>987</v>
      </c>
      <c r="B934">
        <v>29</v>
      </c>
      <c r="C934" t="s">
        <v>50</v>
      </c>
      <c r="D934" t="s">
        <v>32</v>
      </c>
      <c r="E934" t="s">
        <v>58</v>
      </c>
      <c r="F934" t="s">
        <v>41</v>
      </c>
      <c r="G934">
        <v>6.8</v>
      </c>
      <c r="H934">
        <v>2</v>
      </c>
      <c r="I934">
        <v>2</v>
      </c>
      <c r="J934" t="s">
        <v>35</v>
      </c>
      <c r="K934" t="s">
        <v>36</v>
      </c>
      <c r="L934">
        <v>5</v>
      </c>
      <c r="M934">
        <v>3.5</v>
      </c>
      <c r="N934">
        <v>5.4</v>
      </c>
      <c r="O934">
        <v>7.8</v>
      </c>
      <c r="P934">
        <v>4</v>
      </c>
      <c r="Q934" t="s">
        <v>42</v>
      </c>
      <c r="R934" t="s">
        <v>35</v>
      </c>
      <c r="S934">
        <v>7.1</v>
      </c>
      <c r="T934">
        <v>6.2</v>
      </c>
      <c r="U934">
        <v>3.9</v>
      </c>
      <c r="V934">
        <v>4.5999999999999996</v>
      </c>
      <c r="W934">
        <v>6.7</v>
      </c>
      <c r="X934">
        <v>6.1</v>
      </c>
      <c r="Y934">
        <v>6.1</v>
      </c>
      <c r="Z934">
        <v>8.6999999999999993</v>
      </c>
      <c r="AA934">
        <v>3.8</v>
      </c>
      <c r="AB934">
        <v>3.8</v>
      </c>
      <c r="AC934">
        <v>8.1999999999999993</v>
      </c>
      <c r="AD934" t="s">
        <v>37</v>
      </c>
      <c r="AE934" t="str">
        <f>IF(AND(data[[#This Row],[Age]]&gt;=18,data[[#This Row],[Age]]&lt;=24),"18-24",IF(AND(data[[#This Row],[Age]]&gt;=25,data[[#This Row],[Age]]&lt;=34),"25-34",IF(AND(data[[#This Row],[Age]]&gt;35,data[[#This Row],[Age]]&lt;=44),"35-44",IF(data[[#This Row],[Age]]&gt;44,"45+",IF(data[[#This Row],[Age]]&lt;18,"below 18 ")))))</f>
        <v>25-34</v>
      </c>
    </row>
    <row r="935" spans="1:31" x14ac:dyDescent="0.25">
      <c r="A935" t="s">
        <v>988</v>
      </c>
      <c r="B935">
        <v>26</v>
      </c>
      <c r="C935" t="s">
        <v>31</v>
      </c>
      <c r="D935" t="s">
        <v>57</v>
      </c>
      <c r="E935" t="s">
        <v>58</v>
      </c>
      <c r="F935" t="s">
        <v>59</v>
      </c>
      <c r="G935">
        <v>1.8</v>
      </c>
      <c r="H935">
        <v>4</v>
      </c>
      <c r="I935">
        <v>4</v>
      </c>
      <c r="J935" t="s">
        <v>35</v>
      </c>
      <c r="K935" t="s">
        <v>36</v>
      </c>
      <c r="L935">
        <v>16</v>
      </c>
      <c r="M935">
        <v>6.3</v>
      </c>
      <c r="N935">
        <v>5.4</v>
      </c>
      <c r="O935">
        <v>2.2999999999999998</v>
      </c>
      <c r="P935">
        <v>3.5</v>
      </c>
      <c r="Q935" t="s">
        <v>35</v>
      </c>
      <c r="R935" t="s">
        <v>35</v>
      </c>
      <c r="S935">
        <v>4.2</v>
      </c>
      <c r="T935">
        <v>4.8</v>
      </c>
      <c r="U935">
        <v>5.4</v>
      </c>
      <c r="V935">
        <v>1.9</v>
      </c>
      <c r="W935">
        <v>4.5</v>
      </c>
      <c r="X935">
        <v>5.2</v>
      </c>
      <c r="Y935">
        <v>6.2</v>
      </c>
      <c r="Z935">
        <v>5.3</v>
      </c>
      <c r="AA935">
        <v>6.6</v>
      </c>
      <c r="AB935">
        <v>2.5</v>
      </c>
      <c r="AC935">
        <v>7.1</v>
      </c>
      <c r="AD935" t="s">
        <v>37</v>
      </c>
      <c r="AE935" t="str">
        <f>IF(AND(data[[#This Row],[Age]]&gt;=18,data[[#This Row],[Age]]&lt;=24),"18-24",IF(AND(data[[#This Row],[Age]]&gt;=25,data[[#This Row],[Age]]&lt;=34),"25-34",IF(AND(data[[#This Row],[Age]]&gt;35,data[[#This Row],[Age]]&lt;=44),"35-44",IF(data[[#This Row],[Age]]&gt;44,"45+",IF(data[[#This Row],[Age]]&lt;18,"below 18 ")))))</f>
        <v>25-34</v>
      </c>
    </row>
    <row r="936" spans="1:31" x14ac:dyDescent="0.25">
      <c r="A936" t="s">
        <v>989</v>
      </c>
      <c r="B936">
        <v>28</v>
      </c>
      <c r="C936" t="s">
        <v>50</v>
      </c>
      <c r="E936" t="s">
        <v>33</v>
      </c>
      <c r="F936" t="s">
        <v>51</v>
      </c>
      <c r="G936">
        <v>3.8</v>
      </c>
      <c r="H936">
        <v>2</v>
      </c>
      <c r="I936">
        <v>4</v>
      </c>
      <c r="J936" t="s">
        <v>42</v>
      </c>
      <c r="K936" t="s">
        <v>36</v>
      </c>
      <c r="L936">
        <v>53</v>
      </c>
      <c r="M936">
        <v>6.3</v>
      </c>
      <c r="N936">
        <v>5.3</v>
      </c>
      <c r="O936">
        <v>3.7</v>
      </c>
      <c r="P936">
        <v>6.9</v>
      </c>
      <c r="Q936" t="s">
        <v>42</v>
      </c>
      <c r="R936" t="s">
        <v>42</v>
      </c>
      <c r="T936">
        <v>5.5</v>
      </c>
      <c r="U936">
        <v>3.7</v>
      </c>
      <c r="V936">
        <v>4.5999999999999996</v>
      </c>
      <c r="W936">
        <v>5.4</v>
      </c>
      <c r="X936">
        <v>7.2</v>
      </c>
      <c r="Y936">
        <v>2.9</v>
      </c>
      <c r="Z936">
        <v>6.2</v>
      </c>
      <c r="AA936">
        <v>0.8</v>
      </c>
      <c r="AB936">
        <v>2.4</v>
      </c>
      <c r="AC936">
        <v>4.8</v>
      </c>
      <c r="AD936" t="s">
        <v>43</v>
      </c>
      <c r="AE936" t="str">
        <f>IF(AND(data[[#This Row],[Age]]&gt;=18,data[[#This Row],[Age]]&lt;=24),"18-24",IF(AND(data[[#This Row],[Age]]&gt;=25,data[[#This Row],[Age]]&lt;=34),"25-34",IF(AND(data[[#This Row],[Age]]&gt;35,data[[#This Row],[Age]]&lt;=44),"35-44",IF(data[[#This Row],[Age]]&gt;44,"45+",IF(data[[#This Row],[Age]]&lt;18,"below 18 ")))))</f>
        <v>25-34</v>
      </c>
    </row>
    <row r="937" spans="1:31" x14ac:dyDescent="0.25">
      <c r="A937" t="s">
        <v>990</v>
      </c>
      <c r="B937">
        <v>23</v>
      </c>
      <c r="C937" t="s">
        <v>31</v>
      </c>
      <c r="D937" t="s">
        <v>64</v>
      </c>
      <c r="E937" t="s">
        <v>58</v>
      </c>
      <c r="F937" t="s">
        <v>70</v>
      </c>
      <c r="G937">
        <v>0.6</v>
      </c>
      <c r="H937">
        <v>6</v>
      </c>
      <c r="I937">
        <v>6</v>
      </c>
      <c r="J937" t="s">
        <v>42</v>
      </c>
      <c r="K937" t="s">
        <v>62</v>
      </c>
      <c r="L937">
        <v>138</v>
      </c>
      <c r="M937">
        <v>6.3</v>
      </c>
      <c r="N937">
        <v>7.8</v>
      </c>
      <c r="O937">
        <v>4.2</v>
      </c>
      <c r="P937">
        <v>0.7</v>
      </c>
      <c r="Q937" t="s">
        <v>42</v>
      </c>
      <c r="R937" t="s">
        <v>42</v>
      </c>
      <c r="S937">
        <v>5.6</v>
      </c>
      <c r="T937">
        <v>0.8</v>
      </c>
      <c r="U937">
        <v>1</v>
      </c>
      <c r="V937">
        <v>6.7</v>
      </c>
      <c r="W937">
        <v>8</v>
      </c>
      <c r="X937">
        <v>7.1</v>
      </c>
      <c r="Y937">
        <v>3.9</v>
      </c>
      <c r="Z937">
        <v>5.5</v>
      </c>
      <c r="AA937">
        <v>3.9</v>
      </c>
      <c r="AB937">
        <v>2.5</v>
      </c>
      <c r="AC937">
        <v>8</v>
      </c>
      <c r="AD937" t="s">
        <v>37</v>
      </c>
      <c r="AE937" t="str">
        <f>IF(AND(data[[#This Row],[Age]]&gt;=18,data[[#This Row],[Age]]&lt;=24),"18-24",IF(AND(data[[#This Row],[Age]]&gt;=25,data[[#This Row],[Age]]&lt;=34),"25-34",IF(AND(data[[#This Row],[Age]]&gt;35,data[[#This Row],[Age]]&lt;=44),"35-44",IF(data[[#This Row],[Age]]&gt;44,"45+",IF(data[[#This Row],[Age]]&lt;18,"below 18 ")))))</f>
        <v>18-24</v>
      </c>
    </row>
    <row r="938" spans="1:31" x14ac:dyDescent="0.25">
      <c r="A938" t="s">
        <v>991</v>
      </c>
      <c r="B938">
        <v>36</v>
      </c>
      <c r="C938" t="s">
        <v>31</v>
      </c>
      <c r="D938" t="s">
        <v>64</v>
      </c>
      <c r="E938" t="s">
        <v>33</v>
      </c>
      <c r="F938" t="s">
        <v>41</v>
      </c>
      <c r="G938">
        <v>3.7</v>
      </c>
      <c r="H938">
        <v>7</v>
      </c>
      <c r="I938">
        <v>5</v>
      </c>
      <c r="J938" t="s">
        <v>42</v>
      </c>
      <c r="K938" t="s">
        <v>36</v>
      </c>
      <c r="L938">
        <v>111</v>
      </c>
      <c r="M938">
        <v>6.4</v>
      </c>
      <c r="N938">
        <v>10</v>
      </c>
      <c r="O938">
        <v>4.8</v>
      </c>
      <c r="P938">
        <v>7.7</v>
      </c>
      <c r="Q938" t="s">
        <v>42</v>
      </c>
      <c r="R938" t="s">
        <v>35</v>
      </c>
      <c r="S938">
        <v>6.1</v>
      </c>
      <c r="T938">
        <v>8.8000000000000007</v>
      </c>
      <c r="U938">
        <v>3.2</v>
      </c>
      <c r="V938">
        <v>4.9000000000000004</v>
      </c>
      <c r="W938">
        <v>6.1</v>
      </c>
      <c r="X938">
        <v>6.4</v>
      </c>
      <c r="Y938">
        <v>1.2</v>
      </c>
      <c r="Z938">
        <v>3.9</v>
      </c>
      <c r="AA938">
        <v>1.3</v>
      </c>
      <c r="AB938">
        <v>0</v>
      </c>
      <c r="AC938">
        <v>5.3</v>
      </c>
      <c r="AD938" t="s">
        <v>43</v>
      </c>
      <c r="AE938" t="str">
        <f>IF(AND(data[[#This Row],[Age]]&gt;=18,data[[#This Row],[Age]]&lt;=24),"18-24",IF(AND(data[[#This Row],[Age]]&gt;=25,data[[#This Row],[Age]]&lt;=34),"25-34",IF(AND(data[[#This Row],[Age]]&gt;35,data[[#This Row],[Age]]&lt;=44),"35-44",IF(data[[#This Row],[Age]]&gt;44,"45+",IF(data[[#This Row],[Age]]&lt;18,"below 18 ")))))</f>
        <v>35-44</v>
      </c>
    </row>
    <row r="939" spans="1:31" x14ac:dyDescent="0.25">
      <c r="A939" t="s">
        <v>992</v>
      </c>
      <c r="B939">
        <v>26</v>
      </c>
      <c r="C939" t="s">
        <v>47</v>
      </c>
      <c r="D939" t="s">
        <v>32</v>
      </c>
      <c r="E939" t="s">
        <v>33</v>
      </c>
      <c r="F939" t="s">
        <v>48</v>
      </c>
      <c r="G939">
        <v>1.6</v>
      </c>
      <c r="H939">
        <v>7</v>
      </c>
      <c r="I939">
        <v>4</v>
      </c>
      <c r="J939" t="s">
        <v>42</v>
      </c>
      <c r="K939" t="s">
        <v>36</v>
      </c>
      <c r="L939">
        <v>72</v>
      </c>
      <c r="M939">
        <v>5.7</v>
      </c>
      <c r="N939">
        <v>4.5</v>
      </c>
      <c r="O939">
        <v>9.3000000000000007</v>
      </c>
      <c r="P939">
        <v>7.9</v>
      </c>
      <c r="Q939" t="s">
        <v>42</v>
      </c>
      <c r="R939" t="s">
        <v>35</v>
      </c>
      <c r="S939">
        <v>4.9000000000000004</v>
      </c>
      <c r="T939">
        <v>10</v>
      </c>
      <c r="U939">
        <v>5.6</v>
      </c>
      <c r="V939">
        <v>3.6</v>
      </c>
      <c r="W939">
        <v>3.2</v>
      </c>
      <c r="X939">
        <v>6.2</v>
      </c>
      <c r="Y939">
        <v>3</v>
      </c>
      <c r="Z939">
        <v>6</v>
      </c>
      <c r="AA939">
        <v>3.9</v>
      </c>
      <c r="AB939">
        <v>5.4</v>
      </c>
      <c r="AC939">
        <v>6.1</v>
      </c>
      <c r="AD939" t="s">
        <v>53</v>
      </c>
      <c r="AE939" t="str">
        <f>IF(AND(data[[#This Row],[Age]]&gt;=18,data[[#This Row],[Age]]&lt;=24),"18-24",IF(AND(data[[#This Row],[Age]]&gt;=25,data[[#This Row],[Age]]&lt;=34),"25-34",IF(AND(data[[#This Row],[Age]]&gt;35,data[[#This Row],[Age]]&lt;=44),"35-44",IF(data[[#This Row],[Age]]&gt;44,"45+",IF(data[[#This Row],[Age]]&lt;18,"below 18 ")))))</f>
        <v>25-34</v>
      </c>
    </row>
    <row r="940" spans="1:31" x14ac:dyDescent="0.25">
      <c r="A940" t="s">
        <v>993</v>
      </c>
      <c r="B940">
        <v>15</v>
      </c>
      <c r="C940" t="s">
        <v>31</v>
      </c>
      <c r="E940" t="s">
        <v>40</v>
      </c>
      <c r="F940" t="s">
        <v>41</v>
      </c>
      <c r="G940">
        <v>5.3</v>
      </c>
      <c r="H940">
        <v>4</v>
      </c>
      <c r="I940">
        <v>4</v>
      </c>
      <c r="J940" t="s">
        <v>42</v>
      </c>
      <c r="K940" t="s">
        <v>62</v>
      </c>
      <c r="L940">
        <v>55</v>
      </c>
      <c r="M940">
        <v>5.5</v>
      </c>
      <c r="N940">
        <v>5.5</v>
      </c>
      <c r="O940">
        <v>10</v>
      </c>
      <c r="P940">
        <v>6.9</v>
      </c>
      <c r="Q940" t="s">
        <v>35</v>
      </c>
      <c r="R940" t="s">
        <v>42</v>
      </c>
      <c r="S940">
        <v>3.2</v>
      </c>
      <c r="T940">
        <v>3.8</v>
      </c>
      <c r="U940">
        <v>5.5</v>
      </c>
      <c r="V940">
        <v>3.8</v>
      </c>
      <c r="W940">
        <v>6</v>
      </c>
      <c r="X940">
        <v>4.3</v>
      </c>
      <c r="Y940">
        <v>8.4</v>
      </c>
      <c r="Z940">
        <v>4.7</v>
      </c>
      <c r="AA940">
        <v>2.2999999999999998</v>
      </c>
      <c r="AB940">
        <v>4</v>
      </c>
      <c r="AC940">
        <v>3.7</v>
      </c>
      <c r="AD940" t="s">
        <v>43</v>
      </c>
      <c r="AE940" t="str">
        <f>IF(AND(data[[#This Row],[Age]]&gt;=18,data[[#This Row],[Age]]&lt;=24),"18-24",IF(AND(data[[#This Row],[Age]]&gt;=25,data[[#This Row],[Age]]&lt;=34),"25-34",IF(AND(data[[#This Row],[Age]]&gt;35,data[[#This Row],[Age]]&lt;=44),"35-44",IF(data[[#This Row],[Age]]&gt;44,"45+",IF(data[[#This Row],[Age]]&lt;18,"below 18 ")))))</f>
        <v xml:space="preserve">below 18 </v>
      </c>
    </row>
    <row r="941" spans="1:31" x14ac:dyDescent="0.25">
      <c r="A941" t="s">
        <v>994</v>
      </c>
      <c r="B941">
        <v>25</v>
      </c>
      <c r="C941" t="s">
        <v>31</v>
      </c>
      <c r="D941" t="s">
        <v>32</v>
      </c>
      <c r="F941" t="s">
        <v>34</v>
      </c>
      <c r="G941">
        <v>4.0999999999999996</v>
      </c>
      <c r="H941">
        <v>3</v>
      </c>
      <c r="I941">
        <v>4</v>
      </c>
      <c r="J941" t="s">
        <v>35</v>
      </c>
      <c r="K941" t="s">
        <v>52</v>
      </c>
      <c r="L941">
        <v>104</v>
      </c>
      <c r="M941">
        <v>9.1999999999999993</v>
      </c>
      <c r="N941">
        <v>4.4000000000000004</v>
      </c>
      <c r="O941">
        <v>6.6</v>
      </c>
      <c r="P941">
        <v>5.7</v>
      </c>
      <c r="Q941" t="s">
        <v>42</v>
      </c>
      <c r="R941" t="s">
        <v>35</v>
      </c>
      <c r="S941">
        <v>7.5</v>
      </c>
      <c r="T941">
        <v>7.4</v>
      </c>
      <c r="U941">
        <v>5.2</v>
      </c>
      <c r="V941">
        <v>3.3</v>
      </c>
      <c r="W941">
        <v>6.9</v>
      </c>
      <c r="X941">
        <v>8.5</v>
      </c>
      <c r="Y941">
        <v>4.9000000000000004</v>
      </c>
      <c r="Z941">
        <v>8.3000000000000007</v>
      </c>
      <c r="AA941">
        <v>2.2000000000000002</v>
      </c>
      <c r="AB941">
        <v>6</v>
      </c>
      <c r="AC941">
        <v>6.5</v>
      </c>
      <c r="AD941" t="s">
        <v>45</v>
      </c>
      <c r="AE941" t="str">
        <f>IF(AND(data[[#This Row],[Age]]&gt;=18,data[[#This Row],[Age]]&lt;=24),"18-24",IF(AND(data[[#This Row],[Age]]&gt;=25,data[[#This Row],[Age]]&lt;=34),"25-34",IF(AND(data[[#This Row],[Age]]&gt;35,data[[#This Row],[Age]]&lt;=44),"35-44",IF(data[[#This Row],[Age]]&gt;44,"45+",IF(data[[#This Row],[Age]]&lt;18,"below 18 ")))))</f>
        <v>25-34</v>
      </c>
    </row>
    <row r="942" spans="1:31" x14ac:dyDescent="0.25">
      <c r="A942" t="s">
        <v>995</v>
      </c>
      <c r="B942">
        <v>24</v>
      </c>
      <c r="C942" t="s">
        <v>47</v>
      </c>
      <c r="D942" t="s">
        <v>32</v>
      </c>
      <c r="E942" t="s">
        <v>40</v>
      </c>
      <c r="F942" t="s">
        <v>59</v>
      </c>
      <c r="G942">
        <v>5.0999999999999996</v>
      </c>
      <c r="H942">
        <v>3</v>
      </c>
      <c r="I942">
        <v>3</v>
      </c>
      <c r="J942" t="s">
        <v>42</v>
      </c>
      <c r="K942" t="s">
        <v>52</v>
      </c>
      <c r="L942">
        <v>81</v>
      </c>
      <c r="M942">
        <v>4.9000000000000004</v>
      </c>
      <c r="N942">
        <v>7.3</v>
      </c>
      <c r="O942">
        <v>4.5</v>
      </c>
      <c r="P942">
        <v>3.3</v>
      </c>
      <c r="Q942" t="s">
        <v>35</v>
      </c>
      <c r="R942" t="s">
        <v>42</v>
      </c>
      <c r="S942">
        <v>7.7</v>
      </c>
      <c r="T942">
        <v>3.3</v>
      </c>
      <c r="U942">
        <v>6.8</v>
      </c>
      <c r="V942">
        <v>4.2</v>
      </c>
      <c r="W942">
        <v>6.3</v>
      </c>
      <c r="X942">
        <v>7</v>
      </c>
      <c r="Y942">
        <v>6.7</v>
      </c>
      <c r="Z942">
        <v>4.4000000000000004</v>
      </c>
      <c r="AA942">
        <v>0.8</v>
      </c>
      <c r="AB942">
        <v>2</v>
      </c>
      <c r="AC942">
        <v>6</v>
      </c>
      <c r="AD942" t="s">
        <v>45</v>
      </c>
      <c r="AE942" t="str">
        <f>IF(AND(data[[#This Row],[Age]]&gt;=18,data[[#This Row],[Age]]&lt;=24),"18-24",IF(AND(data[[#This Row],[Age]]&gt;=25,data[[#This Row],[Age]]&lt;=34),"25-34",IF(AND(data[[#This Row],[Age]]&gt;35,data[[#This Row],[Age]]&lt;=44),"35-44",IF(data[[#This Row],[Age]]&gt;44,"45+",IF(data[[#This Row],[Age]]&lt;18,"below 18 ")))))</f>
        <v>18-24</v>
      </c>
    </row>
    <row r="943" spans="1:31" x14ac:dyDescent="0.25">
      <c r="A943" t="s">
        <v>996</v>
      </c>
      <c r="B943">
        <v>39</v>
      </c>
      <c r="C943" t="s">
        <v>31</v>
      </c>
      <c r="D943" t="s">
        <v>57</v>
      </c>
      <c r="E943" t="s">
        <v>58</v>
      </c>
      <c r="F943" t="s">
        <v>59</v>
      </c>
      <c r="G943">
        <v>1</v>
      </c>
      <c r="H943">
        <v>3</v>
      </c>
      <c r="I943">
        <v>1</v>
      </c>
      <c r="J943" t="s">
        <v>42</v>
      </c>
      <c r="K943" t="s">
        <v>36</v>
      </c>
      <c r="L943">
        <v>66</v>
      </c>
      <c r="N943">
        <v>5.6</v>
      </c>
      <c r="O943">
        <v>6.3</v>
      </c>
      <c r="P943">
        <v>5.8</v>
      </c>
      <c r="Q943" t="s">
        <v>35</v>
      </c>
      <c r="R943" t="s">
        <v>35</v>
      </c>
      <c r="S943">
        <v>5</v>
      </c>
      <c r="T943">
        <v>4.0999999999999996</v>
      </c>
      <c r="U943">
        <v>6.3</v>
      </c>
      <c r="V943">
        <v>6.1</v>
      </c>
      <c r="W943">
        <v>2.2999999999999998</v>
      </c>
      <c r="X943">
        <v>6.8</v>
      </c>
      <c r="Y943">
        <v>2.4</v>
      </c>
      <c r="Z943">
        <v>1.7</v>
      </c>
      <c r="AA943">
        <v>1.8</v>
      </c>
      <c r="AB943">
        <v>2.1</v>
      </c>
      <c r="AC943">
        <v>5.4</v>
      </c>
      <c r="AD943" t="s">
        <v>43</v>
      </c>
      <c r="AE943" t="str">
        <f>IF(AND(data[[#This Row],[Age]]&gt;=18,data[[#This Row],[Age]]&lt;=24),"18-24",IF(AND(data[[#This Row],[Age]]&gt;=25,data[[#This Row],[Age]]&lt;=34),"25-34",IF(AND(data[[#This Row],[Age]]&gt;35,data[[#This Row],[Age]]&lt;=44),"35-44",IF(data[[#This Row],[Age]]&gt;44,"45+",IF(data[[#This Row],[Age]]&lt;18,"below 18 ")))))</f>
        <v>35-44</v>
      </c>
    </row>
    <row r="944" spans="1:31" x14ac:dyDescent="0.25">
      <c r="A944" t="s">
        <v>997</v>
      </c>
      <c r="B944">
        <v>32</v>
      </c>
      <c r="C944" t="s">
        <v>47</v>
      </c>
      <c r="D944" t="s">
        <v>32</v>
      </c>
      <c r="E944" t="s">
        <v>40</v>
      </c>
      <c r="F944" t="s">
        <v>41</v>
      </c>
      <c r="G944">
        <v>3.9</v>
      </c>
      <c r="H944">
        <v>6</v>
      </c>
      <c r="I944">
        <v>3</v>
      </c>
      <c r="J944" t="s">
        <v>35</v>
      </c>
      <c r="K944" t="s">
        <v>36</v>
      </c>
      <c r="L944">
        <v>114</v>
      </c>
      <c r="M944">
        <v>3.7</v>
      </c>
      <c r="N944">
        <v>4.8</v>
      </c>
      <c r="O944">
        <v>6.8</v>
      </c>
      <c r="P944">
        <v>4.8</v>
      </c>
      <c r="R944" t="s">
        <v>42</v>
      </c>
      <c r="S944">
        <v>2.6</v>
      </c>
      <c r="T944">
        <v>0.4</v>
      </c>
      <c r="U944">
        <v>4.5</v>
      </c>
      <c r="V944">
        <v>7.5</v>
      </c>
      <c r="W944">
        <v>5.5</v>
      </c>
      <c r="X944">
        <v>5.6</v>
      </c>
      <c r="Y944">
        <v>4.5</v>
      </c>
      <c r="Z944">
        <v>0.8</v>
      </c>
      <c r="AA944">
        <v>2.5</v>
      </c>
      <c r="AB944">
        <v>5.5</v>
      </c>
      <c r="AC944">
        <v>5.6</v>
      </c>
      <c r="AD944" t="s">
        <v>45</v>
      </c>
      <c r="AE944" t="str">
        <f>IF(AND(data[[#This Row],[Age]]&gt;=18,data[[#This Row],[Age]]&lt;=24),"18-24",IF(AND(data[[#This Row],[Age]]&gt;=25,data[[#This Row],[Age]]&lt;=34),"25-34",IF(AND(data[[#This Row],[Age]]&gt;35,data[[#This Row],[Age]]&lt;=44),"35-44",IF(data[[#This Row],[Age]]&gt;44,"45+",IF(data[[#This Row],[Age]]&lt;18,"below 18 ")))))</f>
        <v>25-34</v>
      </c>
    </row>
    <row r="945" spans="1:31" x14ac:dyDescent="0.25">
      <c r="A945" t="s">
        <v>998</v>
      </c>
      <c r="B945">
        <v>16</v>
      </c>
      <c r="C945" t="s">
        <v>31</v>
      </c>
      <c r="D945" t="s">
        <v>32</v>
      </c>
      <c r="E945" t="s">
        <v>33</v>
      </c>
      <c r="F945" t="s">
        <v>41</v>
      </c>
      <c r="G945">
        <v>6.2</v>
      </c>
      <c r="H945">
        <v>5</v>
      </c>
      <c r="I945">
        <v>2</v>
      </c>
      <c r="J945" t="s">
        <v>35</v>
      </c>
      <c r="K945" t="s">
        <v>36</v>
      </c>
      <c r="L945">
        <v>57</v>
      </c>
      <c r="M945">
        <v>1.4</v>
      </c>
      <c r="N945">
        <v>0.6</v>
      </c>
      <c r="O945">
        <v>8.1999999999999993</v>
      </c>
      <c r="P945">
        <v>4.0999999999999996</v>
      </c>
      <c r="Q945" t="s">
        <v>42</v>
      </c>
      <c r="R945" t="s">
        <v>42</v>
      </c>
      <c r="S945">
        <v>6.5</v>
      </c>
      <c r="T945">
        <v>5.2</v>
      </c>
      <c r="U945">
        <v>2.1</v>
      </c>
      <c r="V945">
        <v>4.5999999999999996</v>
      </c>
      <c r="W945">
        <v>7.2</v>
      </c>
      <c r="X945">
        <v>7.2</v>
      </c>
      <c r="Y945">
        <v>4.8</v>
      </c>
      <c r="Z945">
        <v>6.3</v>
      </c>
      <c r="AA945">
        <v>0</v>
      </c>
      <c r="AB945">
        <v>2.6</v>
      </c>
      <c r="AC945">
        <v>7.1</v>
      </c>
      <c r="AD945" t="s">
        <v>37</v>
      </c>
      <c r="AE945" t="str">
        <f>IF(AND(data[[#This Row],[Age]]&gt;=18,data[[#This Row],[Age]]&lt;=24),"18-24",IF(AND(data[[#This Row],[Age]]&gt;=25,data[[#This Row],[Age]]&lt;=34),"25-34",IF(AND(data[[#This Row],[Age]]&gt;35,data[[#This Row],[Age]]&lt;=44),"35-44",IF(data[[#This Row],[Age]]&gt;44,"45+",IF(data[[#This Row],[Age]]&lt;18,"below 18 ")))))</f>
        <v xml:space="preserve">below 18 </v>
      </c>
    </row>
    <row r="946" spans="1:31" x14ac:dyDescent="0.25">
      <c r="A946" t="s">
        <v>999</v>
      </c>
      <c r="B946">
        <v>42</v>
      </c>
      <c r="C946" t="s">
        <v>31</v>
      </c>
      <c r="D946" t="s">
        <v>57</v>
      </c>
      <c r="E946" t="s">
        <v>33</v>
      </c>
      <c r="F946" t="s">
        <v>51</v>
      </c>
      <c r="H946">
        <v>2</v>
      </c>
      <c r="I946">
        <v>6</v>
      </c>
      <c r="J946" t="s">
        <v>35</v>
      </c>
      <c r="K946" t="s">
        <v>36</v>
      </c>
      <c r="L946">
        <v>49</v>
      </c>
      <c r="M946">
        <v>7</v>
      </c>
      <c r="N946">
        <v>5.3</v>
      </c>
      <c r="O946">
        <v>5.4</v>
      </c>
      <c r="P946">
        <v>9.1999999999999993</v>
      </c>
      <c r="Q946" t="s">
        <v>35</v>
      </c>
      <c r="R946" t="s">
        <v>35</v>
      </c>
      <c r="S946">
        <v>3.3</v>
      </c>
      <c r="T946">
        <v>4.7</v>
      </c>
      <c r="U946">
        <v>6.8</v>
      </c>
      <c r="V946">
        <v>5.0999999999999996</v>
      </c>
      <c r="W946">
        <v>4.3</v>
      </c>
      <c r="X946">
        <v>5.5</v>
      </c>
      <c r="Y946">
        <v>4.5999999999999996</v>
      </c>
      <c r="Z946">
        <v>3.9</v>
      </c>
      <c r="AA946">
        <v>0</v>
      </c>
      <c r="AB946">
        <v>6.1</v>
      </c>
      <c r="AC946">
        <v>5.8</v>
      </c>
      <c r="AD946" t="s">
        <v>45</v>
      </c>
      <c r="AE946" t="str">
        <f>IF(AND(data[[#This Row],[Age]]&gt;=18,data[[#This Row],[Age]]&lt;=24),"18-24",IF(AND(data[[#This Row],[Age]]&gt;=25,data[[#This Row],[Age]]&lt;=34),"25-34",IF(AND(data[[#This Row],[Age]]&gt;35,data[[#This Row],[Age]]&lt;=44),"35-44",IF(data[[#This Row],[Age]]&gt;44,"45+",IF(data[[#This Row],[Age]]&lt;18,"below 18 ")))))</f>
        <v>35-44</v>
      </c>
    </row>
    <row r="947" spans="1:31" x14ac:dyDescent="0.25">
      <c r="A947" t="s">
        <v>1000</v>
      </c>
      <c r="B947">
        <v>26</v>
      </c>
      <c r="C947" t="s">
        <v>50</v>
      </c>
      <c r="D947" t="s">
        <v>32</v>
      </c>
      <c r="E947" t="s">
        <v>58</v>
      </c>
      <c r="F947" t="s">
        <v>34</v>
      </c>
      <c r="G947">
        <v>3</v>
      </c>
      <c r="H947">
        <v>3</v>
      </c>
      <c r="I947">
        <v>0</v>
      </c>
      <c r="J947" t="s">
        <v>42</v>
      </c>
      <c r="K947" t="s">
        <v>62</v>
      </c>
      <c r="L947">
        <v>108</v>
      </c>
      <c r="N947">
        <v>7.2</v>
      </c>
      <c r="O947">
        <v>7.1</v>
      </c>
      <c r="P947">
        <v>4.9000000000000004</v>
      </c>
      <c r="Q947" t="s">
        <v>35</v>
      </c>
      <c r="R947" t="s">
        <v>42</v>
      </c>
      <c r="S947">
        <v>5</v>
      </c>
      <c r="T947">
        <v>4.8</v>
      </c>
      <c r="U947">
        <v>8.6</v>
      </c>
      <c r="V947">
        <v>3.7</v>
      </c>
      <c r="W947">
        <v>5.0999999999999996</v>
      </c>
      <c r="X947">
        <v>5.7</v>
      </c>
      <c r="Y947">
        <v>6.2</v>
      </c>
      <c r="Z947">
        <v>8.6</v>
      </c>
      <c r="AA947">
        <v>3.4</v>
      </c>
      <c r="AB947">
        <v>4</v>
      </c>
      <c r="AC947">
        <v>5.3</v>
      </c>
      <c r="AD947" t="s">
        <v>45</v>
      </c>
      <c r="AE947" t="str">
        <f>IF(AND(data[[#This Row],[Age]]&gt;=18,data[[#This Row],[Age]]&lt;=24),"18-24",IF(AND(data[[#This Row],[Age]]&gt;=25,data[[#This Row],[Age]]&lt;=34),"25-34",IF(AND(data[[#This Row],[Age]]&gt;35,data[[#This Row],[Age]]&lt;=44),"35-44",IF(data[[#This Row],[Age]]&gt;44,"45+",IF(data[[#This Row],[Age]]&lt;18,"below 18 ")))))</f>
        <v>25-34</v>
      </c>
    </row>
    <row r="948" spans="1:31" x14ac:dyDescent="0.25">
      <c r="A948" t="s">
        <v>1001</v>
      </c>
      <c r="B948">
        <v>19</v>
      </c>
      <c r="C948" t="s">
        <v>47</v>
      </c>
      <c r="D948" t="s">
        <v>39</v>
      </c>
      <c r="E948" t="s">
        <v>58</v>
      </c>
      <c r="F948" t="s">
        <v>48</v>
      </c>
      <c r="G948">
        <v>4.0999999999999996</v>
      </c>
      <c r="H948">
        <v>1</v>
      </c>
      <c r="I948">
        <v>4</v>
      </c>
      <c r="J948" t="s">
        <v>42</v>
      </c>
      <c r="K948" t="s">
        <v>36</v>
      </c>
      <c r="L948">
        <v>118</v>
      </c>
      <c r="M948">
        <v>4.5999999999999996</v>
      </c>
      <c r="N948">
        <v>5.4</v>
      </c>
      <c r="O948">
        <v>4.2</v>
      </c>
      <c r="P948">
        <v>5.0999999999999996</v>
      </c>
      <c r="Q948" t="s">
        <v>42</v>
      </c>
      <c r="R948" t="s">
        <v>35</v>
      </c>
      <c r="S948">
        <v>3.1</v>
      </c>
      <c r="T948">
        <v>7.7</v>
      </c>
      <c r="U948">
        <v>4.0999999999999996</v>
      </c>
      <c r="V948">
        <v>3.1</v>
      </c>
      <c r="W948">
        <v>10</v>
      </c>
      <c r="X948">
        <v>6</v>
      </c>
      <c r="Y948">
        <v>4.4000000000000004</v>
      </c>
      <c r="Z948">
        <v>7.9</v>
      </c>
      <c r="AA948">
        <v>2</v>
      </c>
      <c r="AB948">
        <v>4</v>
      </c>
      <c r="AC948">
        <v>7</v>
      </c>
      <c r="AD948" t="s">
        <v>37</v>
      </c>
      <c r="AE948" t="str">
        <f>IF(AND(data[[#This Row],[Age]]&gt;=18,data[[#This Row],[Age]]&lt;=24),"18-24",IF(AND(data[[#This Row],[Age]]&gt;=25,data[[#This Row],[Age]]&lt;=34),"25-34",IF(AND(data[[#This Row],[Age]]&gt;35,data[[#This Row],[Age]]&lt;=44),"35-44",IF(data[[#This Row],[Age]]&gt;44,"45+",IF(data[[#This Row],[Age]]&lt;18,"below 18 ")))))</f>
        <v>18-24</v>
      </c>
    </row>
    <row r="949" spans="1:31" x14ac:dyDescent="0.25">
      <c r="A949" t="s">
        <v>1002</v>
      </c>
      <c r="B949">
        <v>16</v>
      </c>
      <c r="C949" t="s">
        <v>31</v>
      </c>
      <c r="D949" t="s">
        <v>32</v>
      </c>
      <c r="E949" t="s">
        <v>33</v>
      </c>
      <c r="F949" t="s">
        <v>34</v>
      </c>
      <c r="G949">
        <v>6.1</v>
      </c>
      <c r="H949">
        <v>4</v>
      </c>
      <c r="I949">
        <v>5</v>
      </c>
      <c r="J949" t="s">
        <v>42</v>
      </c>
      <c r="K949" t="s">
        <v>36</v>
      </c>
      <c r="L949">
        <v>49</v>
      </c>
      <c r="M949">
        <v>8.5</v>
      </c>
      <c r="N949">
        <v>6</v>
      </c>
      <c r="O949">
        <v>3.3</v>
      </c>
      <c r="P949">
        <v>3.9</v>
      </c>
      <c r="Q949" t="s">
        <v>35</v>
      </c>
      <c r="R949" t="s">
        <v>35</v>
      </c>
      <c r="S949">
        <v>2.1</v>
      </c>
      <c r="T949">
        <v>5.0999999999999996</v>
      </c>
      <c r="U949">
        <v>2.2000000000000002</v>
      </c>
      <c r="V949">
        <v>5.8</v>
      </c>
      <c r="W949">
        <v>6.4</v>
      </c>
      <c r="X949">
        <v>6.5</v>
      </c>
      <c r="Z949">
        <v>7.4</v>
      </c>
      <c r="AA949">
        <v>1.3</v>
      </c>
      <c r="AB949">
        <v>5</v>
      </c>
      <c r="AC949">
        <v>6.6</v>
      </c>
      <c r="AD949" t="s">
        <v>45</v>
      </c>
      <c r="AE949" t="str">
        <f>IF(AND(data[[#This Row],[Age]]&gt;=18,data[[#This Row],[Age]]&lt;=24),"18-24",IF(AND(data[[#This Row],[Age]]&gt;=25,data[[#This Row],[Age]]&lt;=34),"25-34",IF(AND(data[[#This Row],[Age]]&gt;35,data[[#This Row],[Age]]&lt;=44),"35-44",IF(data[[#This Row],[Age]]&gt;44,"45+",IF(data[[#This Row],[Age]]&lt;18,"below 18 ")))))</f>
        <v xml:space="preserve">below 18 </v>
      </c>
    </row>
    <row r="950" spans="1:31" x14ac:dyDescent="0.25">
      <c r="A950" t="s">
        <v>1003</v>
      </c>
      <c r="B950">
        <v>24</v>
      </c>
      <c r="D950" t="s">
        <v>32</v>
      </c>
      <c r="E950" t="s">
        <v>33</v>
      </c>
      <c r="F950" t="s">
        <v>51</v>
      </c>
      <c r="G950">
        <v>5.6</v>
      </c>
      <c r="H950">
        <v>3</v>
      </c>
      <c r="I950">
        <v>5</v>
      </c>
      <c r="J950" t="s">
        <v>42</v>
      </c>
      <c r="K950" t="s">
        <v>62</v>
      </c>
      <c r="L950">
        <v>40</v>
      </c>
      <c r="M950">
        <v>5.2</v>
      </c>
      <c r="N950">
        <v>3.6</v>
      </c>
      <c r="O950">
        <v>5.3</v>
      </c>
      <c r="P950">
        <v>3.1</v>
      </c>
      <c r="R950" t="s">
        <v>35</v>
      </c>
      <c r="S950">
        <v>1.6</v>
      </c>
      <c r="T950">
        <v>7.5</v>
      </c>
      <c r="U950">
        <v>6.5</v>
      </c>
      <c r="V950">
        <v>7.2</v>
      </c>
      <c r="W950">
        <v>3.7</v>
      </c>
      <c r="X950">
        <v>9.1</v>
      </c>
      <c r="Y950">
        <v>4.5</v>
      </c>
      <c r="Z950">
        <v>5.0999999999999996</v>
      </c>
      <c r="AA950">
        <v>2.2000000000000002</v>
      </c>
      <c r="AB950">
        <v>1.7</v>
      </c>
      <c r="AC950">
        <v>7.4</v>
      </c>
      <c r="AD950" t="s">
        <v>37</v>
      </c>
      <c r="AE950" t="str">
        <f>IF(AND(data[[#This Row],[Age]]&gt;=18,data[[#This Row],[Age]]&lt;=24),"18-24",IF(AND(data[[#This Row],[Age]]&gt;=25,data[[#This Row],[Age]]&lt;=34),"25-34",IF(AND(data[[#This Row],[Age]]&gt;35,data[[#This Row],[Age]]&lt;=44),"35-44",IF(data[[#This Row],[Age]]&gt;44,"45+",IF(data[[#This Row],[Age]]&lt;18,"below 18 ")))))</f>
        <v>18-24</v>
      </c>
    </row>
    <row r="951" spans="1:31" x14ac:dyDescent="0.25">
      <c r="A951" t="s">
        <v>1004</v>
      </c>
      <c r="B951">
        <v>44</v>
      </c>
      <c r="C951" t="s">
        <v>31</v>
      </c>
      <c r="D951" t="s">
        <v>32</v>
      </c>
      <c r="E951" t="s">
        <v>33</v>
      </c>
      <c r="F951" t="s">
        <v>51</v>
      </c>
      <c r="G951">
        <v>5.7</v>
      </c>
      <c r="H951">
        <v>2</v>
      </c>
      <c r="I951">
        <v>7</v>
      </c>
      <c r="J951" t="s">
        <v>35</v>
      </c>
      <c r="K951" t="s">
        <v>52</v>
      </c>
      <c r="L951">
        <v>23</v>
      </c>
      <c r="M951">
        <v>2.7</v>
      </c>
      <c r="N951">
        <v>2.8</v>
      </c>
      <c r="O951">
        <v>7.3</v>
      </c>
      <c r="P951">
        <v>1.5</v>
      </c>
      <c r="Q951" t="s">
        <v>42</v>
      </c>
      <c r="R951" t="s">
        <v>35</v>
      </c>
      <c r="S951">
        <v>6.9</v>
      </c>
      <c r="T951">
        <v>7.9</v>
      </c>
      <c r="U951">
        <v>2.4</v>
      </c>
      <c r="V951">
        <v>5.5</v>
      </c>
      <c r="W951">
        <v>3.9</v>
      </c>
      <c r="X951">
        <v>4.5</v>
      </c>
      <c r="Y951">
        <v>3.3</v>
      </c>
      <c r="Z951">
        <v>3.2</v>
      </c>
      <c r="AA951">
        <v>3</v>
      </c>
      <c r="AB951">
        <v>1.3</v>
      </c>
      <c r="AC951">
        <v>7.6</v>
      </c>
      <c r="AD951" t="s">
        <v>37</v>
      </c>
      <c r="AE951" t="str">
        <f>IF(AND(data[[#This Row],[Age]]&gt;=18,data[[#This Row],[Age]]&lt;=24),"18-24",IF(AND(data[[#This Row],[Age]]&gt;=25,data[[#This Row],[Age]]&lt;=34),"25-34",IF(AND(data[[#This Row],[Age]]&gt;35,data[[#This Row],[Age]]&lt;=44),"35-44",IF(data[[#This Row],[Age]]&gt;44,"45+",IF(data[[#This Row],[Age]]&lt;18,"below 18 ")))))</f>
        <v>35-44</v>
      </c>
    </row>
    <row r="952" spans="1:31" x14ac:dyDescent="0.25">
      <c r="A952" t="s">
        <v>1005</v>
      </c>
      <c r="B952">
        <v>29</v>
      </c>
      <c r="C952" t="s">
        <v>31</v>
      </c>
      <c r="D952" t="s">
        <v>57</v>
      </c>
      <c r="F952" t="s">
        <v>48</v>
      </c>
      <c r="G952">
        <v>5</v>
      </c>
      <c r="H952">
        <v>1</v>
      </c>
      <c r="I952">
        <v>5</v>
      </c>
      <c r="J952" t="s">
        <v>35</v>
      </c>
      <c r="K952" t="s">
        <v>62</v>
      </c>
      <c r="L952">
        <v>27</v>
      </c>
      <c r="M952">
        <v>7</v>
      </c>
      <c r="N952">
        <v>7.6</v>
      </c>
      <c r="O952">
        <v>2.8</v>
      </c>
      <c r="P952">
        <v>6.2</v>
      </c>
      <c r="Q952" t="s">
        <v>35</v>
      </c>
      <c r="R952" t="s">
        <v>35</v>
      </c>
      <c r="S952">
        <v>8</v>
      </c>
      <c r="T952">
        <v>2</v>
      </c>
      <c r="U952">
        <v>5.0999999999999996</v>
      </c>
      <c r="V952">
        <v>7.9</v>
      </c>
      <c r="W952">
        <v>4.3</v>
      </c>
      <c r="X952">
        <v>7.7</v>
      </c>
      <c r="Y952">
        <v>2.5</v>
      </c>
      <c r="Z952">
        <v>6.4</v>
      </c>
      <c r="AA952">
        <v>4.7</v>
      </c>
      <c r="AB952">
        <v>3.5</v>
      </c>
      <c r="AC952">
        <v>8.6999999999999993</v>
      </c>
      <c r="AD952" t="s">
        <v>37</v>
      </c>
      <c r="AE952" t="str">
        <f>IF(AND(data[[#This Row],[Age]]&gt;=18,data[[#This Row],[Age]]&lt;=24),"18-24",IF(AND(data[[#This Row],[Age]]&gt;=25,data[[#This Row],[Age]]&lt;=34),"25-34",IF(AND(data[[#This Row],[Age]]&gt;35,data[[#This Row],[Age]]&lt;=44),"35-44",IF(data[[#This Row],[Age]]&gt;44,"45+",IF(data[[#This Row],[Age]]&lt;18,"below 18 ")))))</f>
        <v>25-34</v>
      </c>
    </row>
    <row r="953" spans="1:31" x14ac:dyDescent="0.25">
      <c r="A953" t="s">
        <v>1006</v>
      </c>
      <c r="B953">
        <v>17</v>
      </c>
      <c r="C953" t="s">
        <v>47</v>
      </c>
      <c r="D953" t="s">
        <v>32</v>
      </c>
      <c r="E953" t="s">
        <v>33</v>
      </c>
      <c r="F953" t="s">
        <v>51</v>
      </c>
      <c r="G953">
        <v>6</v>
      </c>
      <c r="H953">
        <v>4</v>
      </c>
      <c r="I953">
        <v>4</v>
      </c>
      <c r="J953" t="s">
        <v>35</v>
      </c>
      <c r="K953" t="s">
        <v>36</v>
      </c>
      <c r="L953">
        <v>50</v>
      </c>
      <c r="M953">
        <v>6.9</v>
      </c>
      <c r="N953">
        <v>5.4</v>
      </c>
      <c r="O953">
        <v>4.9000000000000004</v>
      </c>
      <c r="P953">
        <v>5.9</v>
      </c>
      <c r="Q953" t="s">
        <v>42</v>
      </c>
      <c r="R953" t="s">
        <v>42</v>
      </c>
      <c r="T953">
        <v>1</v>
      </c>
      <c r="U953">
        <v>4.8</v>
      </c>
      <c r="V953">
        <v>3</v>
      </c>
      <c r="W953">
        <v>7.1</v>
      </c>
      <c r="X953">
        <v>5</v>
      </c>
      <c r="Y953">
        <v>4.7</v>
      </c>
      <c r="Z953">
        <v>2</v>
      </c>
      <c r="AA953">
        <v>1</v>
      </c>
      <c r="AB953">
        <v>0.6</v>
      </c>
      <c r="AC953">
        <v>4.8</v>
      </c>
      <c r="AD953" t="s">
        <v>43</v>
      </c>
      <c r="AE953" t="str">
        <f>IF(AND(data[[#This Row],[Age]]&gt;=18,data[[#This Row],[Age]]&lt;=24),"18-24",IF(AND(data[[#This Row],[Age]]&gt;=25,data[[#This Row],[Age]]&lt;=34),"25-34",IF(AND(data[[#This Row],[Age]]&gt;35,data[[#This Row],[Age]]&lt;=44),"35-44",IF(data[[#This Row],[Age]]&gt;44,"45+",IF(data[[#This Row],[Age]]&lt;18,"below 18 ")))))</f>
        <v xml:space="preserve">below 18 </v>
      </c>
    </row>
    <row r="954" spans="1:31" x14ac:dyDescent="0.25">
      <c r="A954" t="s">
        <v>1007</v>
      </c>
      <c r="B954">
        <v>24</v>
      </c>
      <c r="C954" t="s">
        <v>31</v>
      </c>
      <c r="D954" t="s">
        <v>57</v>
      </c>
      <c r="F954" t="s">
        <v>34</v>
      </c>
      <c r="G954">
        <v>3.9</v>
      </c>
      <c r="H954">
        <v>5</v>
      </c>
      <c r="I954">
        <v>0</v>
      </c>
      <c r="J954" t="s">
        <v>42</v>
      </c>
      <c r="K954" t="s">
        <v>62</v>
      </c>
      <c r="L954">
        <v>71</v>
      </c>
      <c r="M954">
        <v>6.3</v>
      </c>
      <c r="N954">
        <v>8.5</v>
      </c>
      <c r="O954">
        <v>10</v>
      </c>
      <c r="P954">
        <v>5.3</v>
      </c>
      <c r="Q954" t="s">
        <v>35</v>
      </c>
      <c r="R954" t="s">
        <v>35</v>
      </c>
      <c r="S954">
        <v>3.8</v>
      </c>
      <c r="T954">
        <v>1.2</v>
      </c>
      <c r="U954">
        <v>4.5999999999999996</v>
      </c>
      <c r="V954">
        <v>5.3</v>
      </c>
      <c r="W954">
        <v>7</v>
      </c>
      <c r="X954">
        <v>3</v>
      </c>
      <c r="Y954">
        <v>6.8</v>
      </c>
      <c r="Z954">
        <v>3.7</v>
      </c>
      <c r="AA954">
        <v>0.8</v>
      </c>
      <c r="AB954">
        <v>3</v>
      </c>
      <c r="AC954">
        <v>5.2</v>
      </c>
      <c r="AD954" t="s">
        <v>45</v>
      </c>
      <c r="AE954" t="str">
        <f>IF(AND(data[[#This Row],[Age]]&gt;=18,data[[#This Row],[Age]]&lt;=24),"18-24",IF(AND(data[[#This Row],[Age]]&gt;=25,data[[#This Row],[Age]]&lt;=34),"25-34",IF(AND(data[[#This Row],[Age]]&gt;35,data[[#This Row],[Age]]&lt;=44),"35-44",IF(data[[#This Row],[Age]]&gt;44,"45+",IF(data[[#This Row],[Age]]&lt;18,"below 18 ")))))</f>
        <v>18-24</v>
      </c>
    </row>
    <row r="955" spans="1:31" x14ac:dyDescent="0.25">
      <c r="A955" t="s">
        <v>1008</v>
      </c>
      <c r="B955">
        <v>26</v>
      </c>
      <c r="C955" t="s">
        <v>31</v>
      </c>
      <c r="D955" t="s">
        <v>64</v>
      </c>
      <c r="E955" t="s">
        <v>40</v>
      </c>
      <c r="F955" t="s">
        <v>41</v>
      </c>
      <c r="G955">
        <v>4</v>
      </c>
      <c r="H955">
        <v>6</v>
      </c>
      <c r="I955">
        <v>1</v>
      </c>
      <c r="J955" t="s">
        <v>42</v>
      </c>
      <c r="K955" t="s">
        <v>36</v>
      </c>
      <c r="L955">
        <v>5</v>
      </c>
      <c r="M955">
        <v>1.4</v>
      </c>
      <c r="N955">
        <v>2.6</v>
      </c>
      <c r="O955">
        <v>3.8</v>
      </c>
      <c r="P955">
        <v>4.8</v>
      </c>
      <c r="Q955" t="s">
        <v>35</v>
      </c>
      <c r="R955" t="s">
        <v>42</v>
      </c>
      <c r="S955">
        <v>6.6</v>
      </c>
      <c r="T955">
        <v>5.8</v>
      </c>
      <c r="U955">
        <v>6</v>
      </c>
      <c r="V955">
        <v>6.6</v>
      </c>
      <c r="W955">
        <v>6.2</v>
      </c>
      <c r="X955">
        <v>6.2</v>
      </c>
      <c r="Y955">
        <v>2.9</v>
      </c>
      <c r="Z955">
        <v>10</v>
      </c>
      <c r="AA955">
        <v>0.9</v>
      </c>
      <c r="AB955">
        <v>0</v>
      </c>
      <c r="AC955">
        <v>6.7</v>
      </c>
      <c r="AD955" t="s">
        <v>53</v>
      </c>
      <c r="AE955" t="str">
        <f>IF(AND(data[[#This Row],[Age]]&gt;=18,data[[#This Row],[Age]]&lt;=24),"18-24",IF(AND(data[[#This Row],[Age]]&gt;=25,data[[#This Row],[Age]]&lt;=34),"25-34",IF(AND(data[[#This Row],[Age]]&gt;35,data[[#This Row],[Age]]&lt;=44),"35-44",IF(data[[#This Row],[Age]]&gt;44,"45+",IF(data[[#This Row],[Age]]&lt;18,"below 18 ")))))</f>
        <v>25-34</v>
      </c>
    </row>
    <row r="956" spans="1:31" x14ac:dyDescent="0.25">
      <c r="A956" t="s">
        <v>1009</v>
      </c>
      <c r="B956">
        <v>37</v>
      </c>
      <c r="C956" t="s">
        <v>31</v>
      </c>
      <c r="D956" t="s">
        <v>57</v>
      </c>
      <c r="E956" t="s">
        <v>33</v>
      </c>
      <c r="F956" t="s">
        <v>51</v>
      </c>
      <c r="G956">
        <v>1.7</v>
      </c>
      <c r="H956">
        <v>2</v>
      </c>
      <c r="I956">
        <v>4</v>
      </c>
      <c r="J956" t="s">
        <v>42</v>
      </c>
      <c r="K956" t="s">
        <v>62</v>
      </c>
      <c r="L956">
        <v>122</v>
      </c>
      <c r="M956">
        <v>5.8</v>
      </c>
      <c r="N956">
        <v>9.4</v>
      </c>
      <c r="O956">
        <v>3</v>
      </c>
      <c r="P956">
        <v>4.9000000000000004</v>
      </c>
      <c r="Q956" t="s">
        <v>42</v>
      </c>
      <c r="R956" t="s">
        <v>35</v>
      </c>
      <c r="S956">
        <v>6.3</v>
      </c>
      <c r="T956">
        <v>5.5</v>
      </c>
      <c r="U956">
        <v>6.7</v>
      </c>
      <c r="V956">
        <v>8.1</v>
      </c>
      <c r="W956">
        <v>4.7</v>
      </c>
      <c r="X956">
        <v>8.1</v>
      </c>
      <c r="Y956">
        <v>6.1</v>
      </c>
      <c r="Z956">
        <v>3.5</v>
      </c>
      <c r="AA956">
        <v>5.5</v>
      </c>
      <c r="AB956">
        <v>2.4</v>
      </c>
      <c r="AC956">
        <v>5.0999999999999996</v>
      </c>
      <c r="AD956" t="s">
        <v>45</v>
      </c>
      <c r="AE956" t="str">
        <f>IF(AND(data[[#This Row],[Age]]&gt;=18,data[[#This Row],[Age]]&lt;=24),"18-24",IF(AND(data[[#This Row],[Age]]&gt;=25,data[[#This Row],[Age]]&lt;=34),"25-34",IF(AND(data[[#This Row],[Age]]&gt;35,data[[#This Row],[Age]]&lt;=44),"35-44",IF(data[[#This Row],[Age]]&gt;44,"45+",IF(data[[#This Row],[Age]]&lt;18,"below 18 ")))))</f>
        <v>35-44</v>
      </c>
    </row>
    <row r="957" spans="1:31" x14ac:dyDescent="0.25">
      <c r="A957" t="s">
        <v>1010</v>
      </c>
      <c r="B957">
        <v>40</v>
      </c>
      <c r="C957" t="s">
        <v>31</v>
      </c>
      <c r="E957" t="s">
        <v>33</v>
      </c>
      <c r="F957" t="s">
        <v>41</v>
      </c>
      <c r="G957">
        <v>3.8</v>
      </c>
      <c r="H957">
        <v>2</v>
      </c>
      <c r="I957">
        <v>6</v>
      </c>
      <c r="J957" t="s">
        <v>42</v>
      </c>
      <c r="K957" t="s">
        <v>36</v>
      </c>
      <c r="L957">
        <v>21</v>
      </c>
      <c r="M957">
        <v>7.8</v>
      </c>
      <c r="N957">
        <v>7.4</v>
      </c>
      <c r="O957">
        <v>0.9</v>
      </c>
      <c r="P957">
        <v>4.2</v>
      </c>
      <c r="Q957" t="s">
        <v>35</v>
      </c>
      <c r="R957" t="s">
        <v>35</v>
      </c>
      <c r="S957">
        <v>7.1</v>
      </c>
      <c r="T957">
        <v>4.0999999999999996</v>
      </c>
      <c r="U957">
        <v>0</v>
      </c>
      <c r="V957">
        <v>5</v>
      </c>
      <c r="W957">
        <v>7.4</v>
      </c>
      <c r="X957">
        <v>4.4000000000000004</v>
      </c>
      <c r="Z957">
        <v>4.4000000000000004</v>
      </c>
      <c r="AA957">
        <v>0.8</v>
      </c>
      <c r="AB957">
        <v>3.8</v>
      </c>
      <c r="AC957">
        <v>5.8</v>
      </c>
      <c r="AD957" t="s">
        <v>45</v>
      </c>
      <c r="AE957" t="str">
        <f>IF(AND(data[[#This Row],[Age]]&gt;=18,data[[#This Row],[Age]]&lt;=24),"18-24",IF(AND(data[[#This Row],[Age]]&gt;=25,data[[#This Row],[Age]]&lt;=34),"25-34",IF(AND(data[[#This Row],[Age]]&gt;35,data[[#This Row],[Age]]&lt;=44),"35-44",IF(data[[#This Row],[Age]]&gt;44,"45+",IF(data[[#This Row],[Age]]&lt;18,"below 18 ")))))</f>
        <v>35-44</v>
      </c>
    </row>
    <row r="958" spans="1:31" x14ac:dyDescent="0.25">
      <c r="A958" t="s">
        <v>1011</v>
      </c>
      <c r="B958">
        <v>40</v>
      </c>
      <c r="C958" t="s">
        <v>47</v>
      </c>
      <c r="D958" t="s">
        <v>39</v>
      </c>
      <c r="E958" t="s">
        <v>40</v>
      </c>
      <c r="F958" t="s">
        <v>70</v>
      </c>
      <c r="G958">
        <v>3.7</v>
      </c>
      <c r="H958">
        <v>4</v>
      </c>
      <c r="I958">
        <v>2</v>
      </c>
      <c r="J958" t="s">
        <v>35</v>
      </c>
      <c r="K958" t="s">
        <v>36</v>
      </c>
      <c r="L958">
        <v>65</v>
      </c>
      <c r="M958">
        <v>3.6</v>
      </c>
      <c r="N958">
        <v>9.6</v>
      </c>
      <c r="P958">
        <v>3</v>
      </c>
      <c r="Q958" t="s">
        <v>35</v>
      </c>
      <c r="R958" t="s">
        <v>42</v>
      </c>
      <c r="S958">
        <v>6.8</v>
      </c>
      <c r="T958">
        <v>6.5</v>
      </c>
      <c r="U958">
        <v>2.6</v>
      </c>
      <c r="V958">
        <v>5.9</v>
      </c>
      <c r="W958">
        <v>2.8</v>
      </c>
      <c r="X958">
        <v>7.1</v>
      </c>
      <c r="Y958">
        <v>4</v>
      </c>
      <c r="Z958">
        <v>2.6</v>
      </c>
      <c r="AA958">
        <v>3.4</v>
      </c>
      <c r="AB958">
        <v>2.5</v>
      </c>
      <c r="AC958">
        <v>4.7</v>
      </c>
      <c r="AD958" t="s">
        <v>43</v>
      </c>
      <c r="AE958" t="str">
        <f>IF(AND(data[[#This Row],[Age]]&gt;=18,data[[#This Row],[Age]]&lt;=24),"18-24",IF(AND(data[[#This Row],[Age]]&gt;=25,data[[#This Row],[Age]]&lt;=34),"25-34",IF(AND(data[[#This Row],[Age]]&gt;35,data[[#This Row],[Age]]&lt;=44),"35-44",IF(data[[#This Row],[Age]]&gt;44,"45+",IF(data[[#This Row],[Age]]&lt;18,"below 18 ")))))</f>
        <v>35-44</v>
      </c>
    </row>
    <row r="959" spans="1:31" x14ac:dyDescent="0.25">
      <c r="A959" t="s">
        <v>1012</v>
      </c>
      <c r="B959">
        <v>16</v>
      </c>
      <c r="C959" t="s">
        <v>31</v>
      </c>
      <c r="D959" t="s">
        <v>32</v>
      </c>
      <c r="E959" t="s">
        <v>40</v>
      </c>
      <c r="F959" t="s">
        <v>41</v>
      </c>
      <c r="G959">
        <v>7.7</v>
      </c>
      <c r="H959">
        <v>3</v>
      </c>
      <c r="I959">
        <v>0</v>
      </c>
      <c r="J959" t="s">
        <v>35</v>
      </c>
      <c r="K959" t="s">
        <v>36</v>
      </c>
      <c r="L959">
        <v>52</v>
      </c>
      <c r="M959">
        <v>4.7</v>
      </c>
      <c r="N959">
        <v>0.4</v>
      </c>
      <c r="O959">
        <v>6.8</v>
      </c>
      <c r="P959">
        <v>3.9</v>
      </c>
      <c r="Q959" t="s">
        <v>35</v>
      </c>
      <c r="R959" t="s">
        <v>42</v>
      </c>
      <c r="S959">
        <v>4</v>
      </c>
      <c r="T959">
        <v>5.6</v>
      </c>
      <c r="U959">
        <v>2.8</v>
      </c>
      <c r="V959">
        <v>3.5</v>
      </c>
      <c r="W959">
        <v>4.9000000000000004</v>
      </c>
      <c r="X959">
        <v>9</v>
      </c>
      <c r="Y959">
        <v>5.2</v>
      </c>
      <c r="Z959">
        <v>6.2</v>
      </c>
      <c r="AA959">
        <v>5.3</v>
      </c>
      <c r="AB959">
        <v>2.5</v>
      </c>
      <c r="AC959">
        <v>6.4</v>
      </c>
      <c r="AD959" t="s">
        <v>53</v>
      </c>
      <c r="AE959" t="str">
        <f>IF(AND(data[[#This Row],[Age]]&gt;=18,data[[#This Row],[Age]]&lt;=24),"18-24",IF(AND(data[[#This Row],[Age]]&gt;=25,data[[#This Row],[Age]]&lt;=34),"25-34",IF(AND(data[[#This Row],[Age]]&gt;35,data[[#This Row],[Age]]&lt;=44),"35-44",IF(data[[#This Row],[Age]]&gt;44,"45+",IF(data[[#This Row],[Age]]&lt;18,"below 18 ")))))</f>
        <v xml:space="preserve">below 18 </v>
      </c>
    </row>
    <row r="960" spans="1:31" x14ac:dyDescent="0.25">
      <c r="A960" t="s">
        <v>1013</v>
      </c>
      <c r="B960">
        <v>17</v>
      </c>
      <c r="C960" t="s">
        <v>31</v>
      </c>
      <c r="D960" t="s">
        <v>64</v>
      </c>
      <c r="E960" t="s">
        <v>58</v>
      </c>
      <c r="F960" t="s">
        <v>41</v>
      </c>
      <c r="G960">
        <v>1.9</v>
      </c>
      <c r="H960">
        <v>7</v>
      </c>
      <c r="I960">
        <v>6</v>
      </c>
      <c r="J960" t="s">
        <v>42</v>
      </c>
      <c r="K960" t="s">
        <v>52</v>
      </c>
      <c r="L960">
        <v>88</v>
      </c>
      <c r="M960">
        <v>5.0999999999999996</v>
      </c>
      <c r="N960">
        <v>5.3</v>
      </c>
      <c r="O960">
        <v>5.8</v>
      </c>
      <c r="P960">
        <v>5.5</v>
      </c>
      <c r="Q960" t="s">
        <v>35</v>
      </c>
      <c r="R960" t="s">
        <v>42</v>
      </c>
      <c r="S960">
        <v>5.0999999999999996</v>
      </c>
      <c r="T960">
        <v>2.7</v>
      </c>
      <c r="U960">
        <v>5.2</v>
      </c>
      <c r="V960">
        <v>4.7</v>
      </c>
      <c r="W960">
        <v>5.8</v>
      </c>
      <c r="X960">
        <v>4</v>
      </c>
      <c r="Y960">
        <v>6</v>
      </c>
      <c r="Z960">
        <v>10</v>
      </c>
      <c r="AA960">
        <v>0.1</v>
      </c>
      <c r="AB960">
        <v>3.8</v>
      </c>
      <c r="AC960">
        <v>5.0999999999999996</v>
      </c>
      <c r="AD960" t="s">
        <v>45</v>
      </c>
      <c r="AE960" t="str">
        <f>IF(AND(data[[#This Row],[Age]]&gt;=18,data[[#This Row],[Age]]&lt;=24),"18-24",IF(AND(data[[#This Row],[Age]]&gt;=25,data[[#This Row],[Age]]&lt;=34),"25-34",IF(AND(data[[#This Row],[Age]]&gt;35,data[[#This Row],[Age]]&lt;=44),"35-44",IF(data[[#This Row],[Age]]&gt;44,"45+",IF(data[[#This Row],[Age]]&lt;18,"below 18 ")))))</f>
        <v xml:space="preserve">below 18 </v>
      </c>
    </row>
    <row r="961" spans="1:31" x14ac:dyDescent="0.25">
      <c r="A961" t="s">
        <v>1014</v>
      </c>
      <c r="B961">
        <v>32</v>
      </c>
      <c r="D961" t="s">
        <v>64</v>
      </c>
      <c r="E961" t="s">
        <v>33</v>
      </c>
      <c r="F961" t="s">
        <v>41</v>
      </c>
      <c r="G961">
        <v>4.9000000000000004</v>
      </c>
      <c r="H961">
        <v>6</v>
      </c>
      <c r="I961">
        <v>2</v>
      </c>
      <c r="J961" t="s">
        <v>42</v>
      </c>
      <c r="K961" t="s">
        <v>36</v>
      </c>
      <c r="L961">
        <v>73</v>
      </c>
      <c r="M961">
        <v>9.3000000000000007</v>
      </c>
      <c r="N961">
        <v>3.7</v>
      </c>
      <c r="O961">
        <v>8.8000000000000007</v>
      </c>
      <c r="P961">
        <v>4.5999999999999996</v>
      </c>
      <c r="Q961" t="s">
        <v>35</v>
      </c>
      <c r="R961" t="s">
        <v>42</v>
      </c>
      <c r="S961">
        <v>8.1999999999999993</v>
      </c>
      <c r="T961">
        <v>0.7</v>
      </c>
      <c r="U961">
        <v>3.8</v>
      </c>
      <c r="V961">
        <v>7.7</v>
      </c>
      <c r="W961">
        <v>3.1</v>
      </c>
      <c r="X961">
        <v>6.1</v>
      </c>
      <c r="Y961">
        <v>0.3</v>
      </c>
      <c r="Z961">
        <v>9</v>
      </c>
      <c r="AA961">
        <v>1.5</v>
      </c>
      <c r="AB961">
        <v>4.2</v>
      </c>
      <c r="AC961">
        <v>5.2</v>
      </c>
      <c r="AD961" t="s">
        <v>43</v>
      </c>
      <c r="AE961" t="str">
        <f>IF(AND(data[[#This Row],[Age]]&gt;=18,data[[#This Row],[Age]]&lt;=24),"18-24",IF(AND(data[[#This Row],[Age]]&gt;=25,data[[#This Row],[Age]]&lt;=34),"25-34",IF(AND(data[[#This Row],[Age]]&gt;35,data[[#This Row],[Age]]&lt;=44),"35-44",IF(data[[#This Row],[Age]]&gt;44,"45+",IF(data[[#This Row],[Age]]&lt;18,"below 18 ")))))</f>
        <v>25-34</v>
      </c>
    </row>
    <row r="962" spans="1:31" x14ac:dyDescent="0.25">
      <c r="A962" t="s">
        <v>1015</v>
      </c>
      <c r="B962">
        <v>20</v>
      </c>
      <c r="C962" t="s">
        <v>31</v>
      </c>
      <c r="D962" t="s">
        <v>32</v>
      </c>
      <c r="E962" t="s">
        <v>33</v>
      </c>
      <c r="F962" t="s">
        <v>41</v>
      </c>
      <c r="G962">
        <v>3.7</v>
      </c>
      <c r="H962">
        <v>2</v>
      </c>
      <c r="I962">
        <v>6</v>
      </c>
      <c r="J962" t="s">
        <v>42</v>
      </c>
      <c r="K962" t="s">
        <v>52</v>
      </c>
      <c r="L962">
        <v>74</v>
      </c>
      <c r="M962">
        <v>5.5</v>
      </c>
      <c r="N962">
        <v>4.9000000000000004</v>
      </c>
      <c r="O962">
        <v>3.8</v>
      </c>
      <c r="P962">
        <v>3.8</v>
      </c>
      <c r="Q962" t="s">
        <v>35</v>
      </c>
      <c r="R962" t="s">
        <v>35</v>
      </c>
      <c r="S962">
        <v>2.4</v>
      </c>
      <c r="T962">
        <v>5.3</v>
      </c>
      <c r="U962">
        <v>5.2</v>
      </c>
      <c r="V962">
        <v>6.4</v>
      </c>
      <c r="W962">
        <v>4.5999999999999996</v>
      </c>
      <c r="X962">
        <v>6.6</v>
      </c>
      <c r="Y962">
        <v>5.4</v>
      </c>
      <c r="Z962">
        <v>5.5</v>
      </c>
      <c r="AA962">
        <v>6.1</v>
      </c>
      <c r="AB962">
        <v>4.3</v>
      </c>
      <c r="AC962">
        <v>8.6</v>
      </c>
      <c r="AD962" t="s">
        <v>37</v>
      </c>
      <c r="AE962" t="str">
        <f>IF(AND(data[[#This Row],[Age]]&gt;=18,data[[#This Row],[Age]]&lt;=24),"18-24",IF(AND(data[[#This Row],[Age]]&gt;=25,data[[#This Row],[Age]]&lt;=34),"25-34",IF(AND(data[[#This Row],[Age]]&gt;35,data[[#This Row],[Age]]&lt;=44),"35-44",IF(data[[#This Row],[Age]]&gt;44,"45+",IF(data[[#This Row],[Age]]&lt;18,"below 18 ")))))</f>
        <v>18-24</v>
      </c>
    </row>
    <row r="963" spans="1:31" x14ac:dyDescent="0.25">
      <c r="A963" t="s">
        <v>1016</v>
      </c>
      <c r="B963">
        <v>30</v>
      </c>
      <c r="C963" t="s">
        <v>31</v>
      </c>
      <c r="D963" t="s">
        <v>32</v>
      </c>
      <c r="E963" t="s">
        <v>33</v>
      </c>
      <c r="F963" t="s">
        <v>48</v>
      </c>
      <c r="G963">
        <v>4.4000000000000004</v>
      </c>
      <c r="H963">
        <v>4</v>
      </c>
      <c r="I963">
        <v>3</v>
      </c>
      <c r="J963" t="s">
        <v>35</v>
      </c>
      <c r="K963" t="s">
        <v>36</v>
      </c>
      <c r="L963">
        <v>139</v>
      </c>
      <c r="M963">
        <v>7.9</v>
      </c>
      <c r="N963">
        <v>9.3000000000000007</v>
      </c>
      <c r="O963">
        <v>4.2</v>
      </c>
      <c r="P963">
        <v>3.9</v>
      </c>
      <c r="Q963" t="s">
        <v>35</v>
      </c>
      <c r="R963" t="s">
        <v>35</v>
      </c>
      <c r="S963">
        <v>6.2</v>
      </c>
      <c r="T963">
        <v>4</v>
      </c>
      <c r="V963">
        <v>4.2</v>
      </c>
      <c r="W963">
        <v>6.7</v>
      </c>
      <c r="X963">
        <v>7.4</v>
      </c>
      <c r="Y963">
        <v>6.6</v>
      </c>
      <c r="Z963">
        <v>7.6</v>
      </c>
      <c r="AA963">
        <v>4.5</v>
      </c>
      <c r="AB963">
        <v>2.9</v>
      </c>
      <c r="AC963">
        <v>6</v>
      </c>
      <c r="AD963" t="s">
        <v>45</v>
      </c>
      <c r="AE963" t="str">
        <f>IF(AND(data[[#This Row],[Age]]&gt;=18,data[[#This Row],[Age]]&lt;=24),"18-24",IF(AND(data[[#This Row],[Age]]&gt;=25,data[[#This Row],[Age]]&lt;=34),"25-34",IF(AND(data[[#This Row],[Age]]&gt;35,data[[#This Row],[Age]]&lt;=44),"35-44",IF(data[[#This Row],[Age]]&gt;44,"45+",IF(data[[#This Row],[Age]]&lt;18,"below 18 ")))))</f>
        <v>25-34</v>
      </c>
    </row>
    <row r="964" spans="1:31" x14ac:dyDescent="0.25">
      <c r="A964" t="s">
        <v>1017</v>
      </c>
      <c r="B964">
        <v>42</v>
      </c>
      <c r="C964" t="s">
        <v>31</v>
      </c>
      <c r="D964" t="s">
        <v>39</v>
      </c>
      <c r="E964" t="s">
        <v>58</v>
      </c>
      <c r="F964" t="s">
        <v>34</v>
      </c>
      <c r="G964">
        <v>6.7</v>
      </c>
      <c r="H964">
        <v>1</v>
      </c>
      <c r="I964">
        <v>3</v>
      </c>
      <c r="J964" t="s">
        <v>35</v>
      </c>
      <c r="K964" t="s">
        <v>62</v>
      </c>
      <c r="L964">
        <v>36</v>
      </c>
      <c r="M964">
        <v>6.9</v>
      </c>
      <c r="N964">
        <v>6.9</v>
      </c>
      <c r="P964">
        <v>6.6</v>
      </c>
      <c r="Q964" t="s">
        <v>35</v>
      </c>
      <c r="R964" t="s">
        <v>42</v>
      </c>
      <c r="S964">
        <v>4.7</v>
      </c>
      <c r="T964">
        <v>4.2</v>
      </c>
      <c r="U964">
        <v>7.2</v>
      </c>
      <c r="V964">
        <v>8.4</v>
      </c>
      <c r="W964">
        <v>9.3000000000000007</v>
      </c>
      <c r="X964">
        <v>7</v>
      </c>
      <c r="Y964">
        <v>5.4</v>
      </c>
      <c r="Z964">
        <v>4.3</v>
      </c>
      <c r="AA964">
        <v>1.7</v>
      </c>
      <c r="AB964">
        <v>4.2</v>
      </c>
      <c r="AC964">
        <v>7.1</v>
      </c>
      <c r="AD964" t="s">
        <v>53</v>
      </c>
      <c r="AE964" t="str">
        <f>IF(AND(data[[#This Row],[Age]]&gt;=18,data[[#This Row],[Age]]&lt;=24),"18-24",IF(AND(data[[#This Row],[Age]]&gt;=25,data[[#This Row],[Age]]&lt;=34),"25-34",IF(AND(data[[#This Row],[Age]]&gt;35,data[[#This Row],[Age]]&lt;=44),"35-44",IF(data[[#This Row],[Age]]&gt;44,"45+",IF(data[[#This Row],[Age]]&lt;18,"below 18 ")))))</f>
        <v>35-44</v>
      </c>
    </row>
    <row r="965" spans="1:31" x14ac:dyDescent="0.25">
      <c r="A965" t="s">
        <v>1018</v>
      </c>
      <c r="B965">
        <v>21</v>
      </c>
      <c r="C965" t="s">
        <v>50</v>
      </c>
      <c r="D965" t="s">
        <v>39</v>
      </c>
      <c r="E965" t="s">
        <v>33</v>
      </c>
      <c r="F965" t="s">
        <v>41</v>
      </c>
      <c r="G965">
        <v>4.2</v>
      </c>
      <c r="H965">
        <v>3</v>
      </c>
      <c r="I965">
        <v>0</v>
      </c>
      <c r="J965" t="s">
        <v>35</v>
      </c>
      <c r="K965" t="s">
        <v>52</v>
      </c>
      <c r="L965">
        <v>47</v>
      </c>
      <c r="M965">
        <v>7.4</v>
      </c>
      <c r="N965">
        <v>1.1000000000000001</v>
      </c>
      <c r="O965">
        <v>6.2</v>
      </c>
      <c r="P965">
        <v>3.2</v>
      </c>
      <c r="Q965" t="s">
        <v>35</v>
      </c>
      <c r="R965" t="s">
        <v>35</v>
      </c>
      <c r="S965">
        <v>0</v>
      </c>
      <c r="T965">
        <v>5.7</v>
      </c>
      <c r="V965">
        <v>7.5</v>
      </c>
      <c r="W965">
        <v>9.8000000000000007</v>
      </c>
      <c r="X965">
        <v>5.4</v>
      </c>
      <c r="Y965">
        <v>4.7</v>
      </c>
      <c r="Z965">
        <v>6</v>
      </c>
      <c r="AA965">
        <v>4.8</v>
      </c>
      <c r="AB965">
        <v>2.7</v>
      </c>
      <c r="AC965">
        <v>9.3000000000000007</v>
      </c>
      <c r="AD965" t="s">
        <v>37</v>
      </c>
      <c r="AE965" t="str">
        <f>IF(AND(data[[#This Row],[Age]]&gt;=18,data[[#This Row],[Age]]&lt;=24),"18-24",IF(AND(data[[#This Row],[Age]]&gt;=25,data[[#This Row],[Age]]&lt;=34),"25-34",IF(AND(data[[#This Row],[Age]]&gt;35,data[[#This Row],[Age]]&lt;=44),"35-44",IF(data[[#This Row],[Age]]&gt;44,"45+",IF(data[[#This Row],[Age]]&lt;18,"below 18 ")))))</f>
        <v>18-24</v>
      </c>
    </row>
    <row r="966" spans="1:31" x14ac:dyDescent="0.25">
      <c r="A966" t="s">
        <v>1019</v>
      </c>
      <c r="B966">
        <v>33</v>
      </c>
      <c r="C966" t="s">
        <v>31</v>
      </c>
      <c r="D966" t="s">
        <v>32</v>
      </c>
      <c r="F966" t="s">
        <v>34</v>
      </c>
      <c r="G966">
        <v>2.2999999999999998</v>
      </c>
      <c r="H966">
        <v>3</v>
      </c>
      <c r="I966">
        <v>2</v>
      </c>
      <c r="J966" t="s">
        <v>35</v>
      </c>
      <c r="K966" t="s">
        <v>36</v>
      </c>
      <c r="L966">
        <v>77</v>
      </c>
      <c r="M966">
        <v>0.1</v>
      </c>
      <c r="N966">
        <v>1.8</v>
      </c>
      <c r="O966">
        <v>5.6</v>
      </c>
      <c r="P966">
        <v>2.2000000000000002</v>
      </c>
      <c r="Q966" t="s">
        <v>35</v>
      </c>
      <c r="R966" t="s">
        <v>42</v>
      </c>
      <c r="T966">
        <v>4.4000000000000004</v>
      </c>
      <c r="U966">
        <v>5.8</v>
      </c>
      <c r="V966">
        <v>5.8</v>
      </c>
      <c r="W966">
        <v>5.3</v>
      </c>
      <c r="Y966">
        <v>5.8</v>
      </c>
      <c r="Z966">
        <v>6.8</v>
      </c>
      <c r="AA966">
        <v>2.8</v>
      </c>
      <c r="AB966">
        <v>1.8</v>
      </c>
      <c r="AC966">
        <v>7.8</v>
      </c>
      <c r="AD966" t="s">
        <v>37</v>
      </c>
      <c r="AE966" t="str">
        <f>IF(AND(data[[#This Row],[Age]]&gt;=18,data[[#This Row],[Age]]&lt;=24),"18-24",IF(AND(data[[#This Row],[Age]]&gt;=25,data[[#This Row],[Age]]&lt;=34),"25-34",IF(AND(data[[#This Row],[Age]]&gt;35,data[[#This Row],[Age]]&lt;=44),"35-44",IF(data[[#This Row],[Age]]&gt;44,"45+",IF(data[[#This Row],[Age]]&lt;18,"below 18 ")))))</f>
        <v>25-34</v>
      </c>
    </row>
    <row r="967" spans="1:31" x14ac:dyDescent="0.25">
      <c r="A967" t="s">
        <v>1020</v>
      </c>
      <c r="B967">
        <v>29</v>
      </c>
      <c r="C967" t="s">
        <v>47</v>
      </c>
      <c r="D967" t="s">
        <v>32</v>
      </c>
      <c r="E967" t="s">
        <v>33</v>
      </c>
      <c r="F967" t="s">
        <v>59</v>
      </c>
      <c r="G967">
        <v>4.5999999999999996</v>
      </c>
      <c r="H967">
        <v>4</v>
      </c>
      <c r="I967">
        <v>3</v>
      </c>
      <c r="J967" t="s">
        <v>42</v>
      </c>
      <c r="K967" t="s">
        <v>52</v>
      </c>
      <c r="L967">
        <v>53</v>
      </c>
      <c r="M967">
        <v>6.4</v>
      </c>
      <c r="N967">
        <v>5.6</v>
      </c>
      <c r="O967">
        <v>5.6</v>
      </c>
      <c r="P967">
        <v>6.2</v>
      </c>
      <c r="Q967" t="s">
        <v>35</v>
      </c>
      <c r="R967" t="s">
        <v>35</v>
      </c>
      <c r="S967">
        <v>6.4</v>
      </c>
      <c r="T967">
        <v>3.5</v>
      </c>
      <c r="U967">
        <v>6.9</v>
      </c>
      <c r="V967">
        <v>7.5</v>
      </c>
      <c r="W967">
        <v>4.9000000000000004</v>
      </c>
      <c r="X967">
        <v>4.4000000000000004</v>
      </c>
      <c r="Y967">
        <v>4.9000000000000004</v>
      </c>
      <c r="Z967">
        <v>4.0999999999999996</v>
      </c>
      <c r="AA967">
        <v>2.6</v>
      </c>
      <c r="AB967">
        <v>0.4</v>
      </c>
      <c r="AC967">
        <v>5.5</v>
      </c>
      <c r="AD967" t="s">
        <v>53</v>
      </c>
      <c r="AE967" t="str">
        <f>IF(AND(data[[#This Row],[Age]]&gt;=18,data[[#This Row],[Age]]&lt;=24),"18-24",IF(AND(data[[#This Row],[Age]]&gt;=25,data[[#This Row],[Age]]&lt;=34),"25-34",IF(AND(data[[#This Row],[Age]]&gt;35,data[[#This Row],[Age]]&lt;=44),"35-44",IF(data[[#This Row],[Age]]&gt;44,"45+",IF(data[[#This Row],[Age]]&lt;18,"below 18 ")))))</f>
        <v>25-34</v>
      </c>
    </row>
    <row r="968" spans="1:31" x14ac:dyDescent="0.25">
      <c r="A968" t="s">
        <v>1021</v>
      </c>
      <c r="B968">
        <v>37</v>
      </c>
      <c r="C968" t="s">
        <v>47</v>
      </c>
      <c r="D968" t="s">
        <v>57</v>
      </c>
      <c r="E968" t="s">
        <v>58</v>
      </c>
      <c r="F968" t="s">
        <v>41</v>
      </c>
      <c r="G968">
        <v>6.5</v>
      </c>
      <c r="H968">
        <v>3</v>
      </c>
      <c r="I968">
        <v>3</v>
      </c>
      <c r="J968" t="s">
        <v>42</v>
      </c>
      <c r="K968" t="s">
        <v>62</v>
      </c>
      <c r="L968">
        <v>64</v>
      </c>
      <c r="M968">
        <v>6.2</v>
      </c>
      <c r="N968">
        <v>7.4</v>
      </c>
      <c r="O968">
        <v>6.8</v>
      </c>
      <c r="P968">
        <v>8.9</v>
      </c>
      <c r="Q968" t="s">
        <v>35</v>
      </c>
      <c r="R968" t="s">
        <v>42</v>
      </c>
      <c r="S968">
        <v>2.6</v>
      </c>
      <c r="T968">
        <v>0.8</v>
      </c>
      <c r="U968">
        <v>2.1</v>
      </c>
      <c r="V968">
        <v>8.6999999999999993</v>
      </c>
      <c r="W968">
        <v>5.7</v>
      </c>
      <c r="X968">
        <v>8.5</v>
      </c>
      <c r="Y968">
        <v>6.5</v>
      </c>
      <c r="Z968">
        <v>9</v>
      </c>
      <c r="AA968">
        <v>2.4</v>
      </c>
      <c r="AC968">
        <v>5.6</v>
      </c>
      <c r="AD968" t="s">
        <v>45</v>
      </c>
      <c r="AE968" t="str">
        <f>IF(AND(data[[#This Row],[Age]]&gt;=18,data[[#This Row],[Age]]&lt;=24),"18-24",IF(AND(data[[#This Row],[Age]]&gt;=25,data[[#This Row],[Age]]&lt;=34),"25-34",IF(AND(data[[#This Row],[Age]]&gt;35,data[[#This Row],[Age]]&lt;=44),"35-44",IF(data[[#This Row],[Age]]&gt;44,"45+",IF(data[[#This Row],[Age]]&lt;18,"below 18 ")))))</f>
        <v>35-44</v>
      </c>
    </row>
    <row r="969" spans="1:31" x14ac:dyDescent="0.25">
      <c r="A969" t="s">
        <v>1022</v>
      </c>
      <c r="B969">
        <v>39</v>
      </c>
      <c r="C969" t="s">
        <v>47</v>
      </c>
      <c r="D969" t="s">
        <v>32</v>
      </c>
      <c r="E969" t="s">
        <v>40</v>
      </c>
      <c r="F969" t="s">
        <v>34</v>
      </c>
      <c r="H969">
        <v>3</v>
      </c>
      <c r="I969">
        <v>4</v>
      </c>
      <c r="J969" t="s">
        <v>35</v>
      </c>
      <c r="K969" t="s">
        <v>36</v>
      </c>
      <c r="L969">
        <v>17</v>
      </c>
      <c r="M969">
        <v>3.1</v>
      </c>
      <c r="N969">
        <v>4.8</v>
      </c>
      <c r="O969">
        <v>9</v>
      </c>
      <c r="P969">
        <v>3.2</v>
      </c>
      <c r="Q969" t="s">
        <v>42</v>
      </c>
      <c r="R969" t="s">
        <v>35</v>
      </c>
      <c r="S969">
        <v>5</v>
      </c>
      <c r="T969">
        <v>6.4</v>
      </c>
      <c r="U969">
        <v>3.8</v>
      </c>
      <c r="V969">
        <v>3</v>
      </c>
      <c r="W969">
        <v>5.7</v>
      </c>
      <c r="Y969">
        <v>8.6</v>
      </c>
      <c r="Z969">
        <v>5.2</v>
      </c>
      <c r="AA969">
        <v>5.9</v>
      </c>
      <c r="AB969">
        <v>3.2</v>
      </c>
      <c r="AC969">
        <v>7.3</v>
      </c>
      <c r="AD969" t="s">
        <v>53</v>
      </c>
      <c r="AE969" t="str">
        <f>IF(AND(data[[#This Row],[Age]]&gt;=18,data[[#This Row],[Age]]&lt;=24),"18-24",IF(AND(data[[#This Row],[Age]]&gt;=25,data[[#This Row],[Age]]&lt;=34),"25-34",IF(AND(data[[#This Row],[Age]]&gt;35,data[[#This Row],[Age]]&lt;=44),"35-44",IF(data[[#This Row],[Age]]&gt;44,"45+",IF(data[[#This Row],[Age]]&lt;18,"below 18 ")))))</f>
        <v>35-44</v>
      </c>
    </row>
    <row r="970" spans="1:31" x14ac:dyDescent="0.25">
      <c r="A970" t="s">
        <v>1023</v>
      </c>
      <c r="B970">
        <v>32</v>
      </c>
      <c r="C970" t="s">
        <v>47</v>
      </c>
      <c r="D970" t="s">
        <v>32</v>
      </c>
      <c r="E970" t="s">
        <v>58</v>
      </c>
      <c r="F970" t="s">
        <v>41</v>
      </c>
      <c r="G970">
        <v>5.9</v>
      </c>
      <c r="H970">
        <v>1</v>
      </c>
      <c r="I970">
        <v>1</v>
      </c>
      <c r="J970" t="s">
        <v>42</v>
      </c>
      <c r="K970" t="s">
        <v>52</v>
      </c>
      <c r="L970">
        <v>87</v>
      </c>
      <c r="M970">
        <v>7.5</v>
      </c>
      <c r="N970">
        <v>9.4</v>
      </c>
      <c r="O970">
        <v>6.9</v>
      </c>
      <c r="P970">
        <v>7.7</v>
      </c>
      <c r="Q970" t="s">
        <v>42</v>
      </c>
      <c r="R970" t="s">
        <v>42</v>
      </c>
      <c r="S970">
        <v>3.2</v>
      </c>
      <c r="T970">
        <v>4.7</v>
      </c>
      <c r="U970">
        <v>8</v>
      </c>
      <c r="V970">
        <v>8.8000000000000007</v>
      </c>
      <c r="W970">
        <v>3.3</v>
      </c>
      <c r="X970">
        <v>6.1</v>
      </c>
      <c r="Y970">
        <v>7.4</v>
      </c>
      <c r="Z970">
        <v>3.9</v>
      </c>
      <c r="AA970">
        <v>1.9</v>
      </c>
      <c r="AB970">
        <v>1.4</v>
      </c>
      <c r="AC970">
        <v>3.5</v>
      </c>
      <c r="AD970" t="s">
        <v>43</v>
      </c>
      <c r="AE970" t="str">
        <f>IF(AND(data[[#This Row],[Age]]&gt;=18,data[[#This Row],[Age]]&lt;=24),"18-24",IF(AND(data[[#This Row],[Age]]&gt;=25,data[[#This Row],[Age]]&lt;=34),"25-34",IF(AND(data[[#This Row],[Age]]&gt;35,data[[#This Row],[Age]]&lt;=44),"35-44",IF(data[[#This Row],[Age]]&gt;44,"45+",IF(data[[#This Row],[Age]]&lt;18,"below 18 ")))))</f>
        <v>25-34</v>
      </c>
    </row>
    <row r="971" spans="1:31" x14ac:dyDescent="0.25">
      <c r="A971" t="s">
        <v>1024</v>
      </c>
      <c r="B971">
        <v>37</v>
      </c>
      <c r="C971" t="s">
        <v>50</v>
      </c>
      <c r="E971" t="s">
        <v>33</v>
      </c>
      <c r="F971" t="s">
        <v>51</v>
      </c>
      <c r="G971">
        <v>1.4</v>
      </c>
      <c r="H971">
        <v>1</v>
      </c>
      <c r="I971">
        <v>8</v>
      </c>
      <c r="J971" t="s">
        <v>42</v>
      </c>
      <c r="K971" t="s">
        <v>62</v>
      </c>
      <c r="L971">
        <v>88</v>
      </c>
      <c r="M971">
        <v>9.4</v>
      </c>
      <c r="N971">
        <v>2.8</v>
      </c>
      <c r="O971">
        <v>7.1</v>
      </c>
      <c r="P971">
        <v>2.5</v>
      </c>
      <c r="Q971" t="s">
        <v>35</v>
      </c>
      <c r="R971" t="s">
        <v>42</v>
      </c>
      <c r="S971">
        <v>4.8</v>
      </c>
      <c r="T971">
        <v>2.2999999999999998</v>
      </c>
      <c r="U971">
        <v>2.2000000000000002</v>
      </c>
      <c r="V971">
        <v>4.8</v>
      </c>
      <c r="W971">
        <v>7.3</v>
      </c>
      <c r="Y971">
        <v>5.9</v>
      </c>
      <c r="Z971">
        <v>3.4</v>
      </c>
      <c r="AA971">
        <v>1.1000000000000001</v>
      </c>
      <c r="AB971">
        <v>3.5</v>
      </c>
      <c r="AC971">
        <v>6.2</v>
      </c>
      <c r="AD971" t="s">
        <v>53</v>
      </c>
      <c r="AE971" t="str">
        <f>IF(AND(data[[#This Row],[Age]]&gt;=18,data[[#This Row],[Age]]&lt;=24),"18-24",IF(AND(data[[#This Row],[Age]]&gt;=25,data[[#This Row],[Age]]&lt;=34),"25-34",IF(AND(data[[#This Row],[Age]]&gt;35,data[[#This Row],[Age]]&lt;=44),"35-44",IF(data[[#This Row],[Age]]&gt;44,"45+",IF(data[[#This Row],[Age]]&lt;18,"below 18 ")))))</f>
        <v>35-44</v>
      </c>
    </row>
    <row r="972" spans="1:31" x14ac:dyDescent="0.25">
      <c r="A972" t="s">
        <v>1025</v>
      </c>
      <c r="B972">
        <v>31</v>
      </c>
      <c r="C972" t="s">
        <v>47</v>
      </c>
      <c r="D972" t="s">
        <v>39</v>
      </c>
      <c r="E972" t="s">
        <v>33</v>
      </c>
      <c r="F972" t="s">
        <v>70</v>
      </c>
      <c r="G972">
        <v>6.4</v>
      </c>
      <c r="H972">
        <v>4</v>
      </c>
      <c r="I972">
        <v>4</v>
      </c>
      <c r="J972" t="s">
        <v>35</v>
      </c>
      <c r="K972" t="s">
        <v>52</v>
      </c>
      <c r="L972">
        <v>29</v>
      </c>
      <c r="M972">
        <v>7</v>
      </c>
      <c r="N972">
        <v>8.6</v>
      </c>
      <c r="O972">
        <v>6</v>
      </c>
      <c r="P972">
        <v>5.4</v>
      </c>
      <c r="Q972" t="s">
        <v>42</v>
      </c>
      <c r="R972" t="s">
        <v>35</v>
      </c>
      <c r="S972">
        <v>0.9</v>
      </c>
      <c r="T972">
        <v>2.5</v>
      </c>
      <c r="U972">
        <v>4.2</v>
      </c>
      <c r="V972">
        <v>9</v>
      </c>
      <c r="W972">
        <v>5</v>
      </c>
      <c r="X972">
        <v>5</v>
      </c>
      <c r="Y972">
        <v>4.3</v>
      </c>
      <c r="Z972">
        <v>3</v>
      </c>
      <c r="AB972">
        <v>4.9000000000000004</v>
      </c>
      <c r="AC972">
        <v>7.8</v>
      </c>
      <c r="AD972" t="s">
        <v>37</v>
      </c>
      <c r="AE972" t="str">
        <f>IF(AND(data[[#This Row],[Age]]&gt;=18,data[[#This Row],[Age]]&lt;=24),"18-24",IF(AND(data[[#This Row],[Age]]&gt;=25,data[[#This Row],[Age]]&lt;=34),"25-34",IF(AND(data[[#This Row],[Age]]&gt;35,data[[#This Row],[Age]]&lt;=44),"35-44",IF(data[[#This Row],[Age]]&gt;44,"45+",IF(data[[#This Row],[Age]]&lt;18,"below 18 ")))))</f>
        <v>25-34</v>
      </c>
    </row>
    <row r="973" spans="1:31" x14ac:dyDescent="0.25">
      <c r="A973" t="s">
        <v>1026</v>
      </c>
      <c r="B973">
        <v>31</v>
      </c>
      <c r="C973" t="s">
        <v>31</v>
      </c>
      <c r="D973" t="s">
        <v>39</v>
      </c>
      <c r="E973" t="s">
        <v>58</v>
      </c>
      <c r="F973" t="s">
        <v>70</v>
      </c>
      <c r="G973">
        <v>3.3</v>
      </c>
      <c r="H973">
        <v>3</v>
      </c>
      <c r="I973">
        <v>6</v>
      </c>
      <c r="J973" t="s">
        <v>35</v>
      </c>
      <c r="K973" t="s">
        <v>62</v>
      </c>
      <c r="L973">
        <v>47</v>
      </c>
      <c r="M973">
        <v>3.3</v>
      </c>
      <c r="N973">
        <v>5.7</v>
      </c>
      <c r="O973">
        <v>7.3</v>
      </c>
      <c r="P973">
        <v>2.7</v>
      </c>
      <c r="Q973" t="s">
        <v>42</v>
      </c>
      <c r="R973" t="s">
        <v>42</v>
      </c>
      <c r="S973">
        <v>5.7</v>
      </c>
      <c r="T973">
        <v>4.9000000000000004</v>
      </c>
      <c r="U973">
        <v>7.7</v>
      </c>
      <c r="V973">
        <v>0</v>
      </c>
      <c r="X973">
        <v>6.4</v>
      </c>
      <c r="Y973">
        <v>5.0999999999999996</v>
      </c>
      <c r="Z973">
        <v>7.8</v>
      </c>
      <c r="AA973">
        <v>2.4</v>
      </c>
      <c r="AB973">
        <v>3.7</v>
      </c>
      <c r="AC973">
        <v>7.2</v>
      </c>
      <c r="AD973" t="s">
        <v>53</v>
      </c>
      <c r="AE973" t="str">
        <f>IF(AND(data[[#This Row],[Age]]&gt;=18,data[[#This Row],[Age]]&lt;=24),"18-24",IF(AND(data[[#This Row],[Age]]&gt;=25,data[[#This Row],[Age]]&lt;=34),"25-34",IF(AND(data[[#This Row],[Age]]&gt;35,data[[#This Row],[Age]]&lt;=44),"35-44",IF(data[[#This Row],[Age]]&gt;44,"45+",IF(data[[#This Row],[Age]]&lt;18,"below 18 ")))))</f>
        <v>25-34</v>
      </c>
    </row>
    <row r="974" spans="1:31" x14ac:dyDescent="0.25">
      <c r="A974" t="s">
        <v>1027</v>
      </c>
      <c r="B974">
        <v>20</v>
      </c>
      <c r="C974" t="s">
        <v>47</v>
      </c>
      <c r="D974" t="s">
        <v>32</v>
      </c>
      <c r="E974" t="s">
        <v>40</v>
      </c>
      <c r="F974" t="s">
        <v>70</v>
      </c>
      <c r="G974">
        <v>1.7</v>
      </c>
      <c r="H974">
        <v>3</v>
      </c>
      <c r="I974">
        <v>2</v>
      </c>
      <c r="J974" t="s">
        <v>42</v>
      </c>
      <c r="K974" t="s">
        <v>36</v>
      </c>
      <c r="L974">
        <v>106</v>
      </c>
      <c r="M974">
        <v>6.2</v>
      </c>
      <c r="N974">
        <v>5.9</v>
      </c>
      <c r="O974">
        <v>2.6</v>
      </c>
      <c r="P974">
        <v>6.4</v>
      </c>
      <c r="Q974" t="s">
        <v>35</v>
      </c>
      <c r="R974" t="s">
        <v>35</v>
      </c>
      <c r="S974">
        <v>4.9000000000000004</v>
      </c>
      <c r="T974">
        <v>9.6</v>
      </c>
      <c r="U974">
        <v>5.6</v>
      </c>
      <c r="V974">
        <v>8.4</v>
      </c>
      <c r="W974">
        <v>4.0999999999999996</v>
      </c>
      <c r="X974">
        <v>5.8</v>
      </c>
      <c r="Y974">
        <v>3.7</v>
      </c>
      <c r="Z974">
        <v>4</v>
      </c>
      <c r="AA974">
        <v>0.4</v>
      </c>
      <c r="AB974">
        <v>9.3000000000000007</v>
      </c>
      <c r="AC974">
        <v>5.4</v>
      </c>
      <c r="AD974" t="s">
        <v>53</v>
      </c>
      <c r="AE974" t="str">
        <f>IF(AND(data[[#This Row],[Age]]&gt;=18,data[[#This Row],[Age]]&lt;=24),"18-24",IF(AND(data[[#This Row],[Age]]&gt;=25,data[[#This Row],[Age]]&lt;=34),"25-34",IF(AND(data[[#This Row],[Age]]&gt;35,data[[#This Row],[Age]]&lt;=44),"35-44",IF(data[[#This Row],[Age]]&gt;44,"45+",IF(data[[#This Row],[Age]]&lt;18,"below 18 ")))))</f>
        <v>18-24</v>
      </c>
    </row>
    <row r="975" spans="1:31" x14ac:dyDescent="0.25">
      <c r="A975" t="s">
        <v>1028</v>
      </c>
      <c r="B975">
        <v>32</v>
      </c>
      <c r="C975" t="s">
        <v>47</v>
      </c>
      <c r="D975" t="s">
        <v>32</v>
      </c>
      <c r="E975" t="s">
        <v>33</v>
      </c>
      <c r="F975" t="s">
        <v>51</v>
      </c>
      <c r="G975">
        <v>5.0999999999999996</v>
      </c>
      <c r="H975">
        <v>5</v>
      </c>
      <c r="I975">
        <v>5</v>
      </c>
      <c r="J975" t="s">
        <v>35</v>
      </c>
      <c r="K975" t="s">
        <v>52</v>
      </c>
      <c r="L975">
        <v>45</v>
      </c>
      <c r="N975">
        <v>6.1</v>
      </c>
      <c r="O975">
        <v>2.9</v>
      </c>
      <c r="P975">
        <v>6.2</v>
      </c>
      <c r="Q975" t="s">
        <v>35</v>
      </c>
      <c r="R975" t="s">
        <v>35</v>
      </c>
      <c r="S975">
        <v>7.5</v>
      </c>
      <c r="T975">
        <v>4.4000000000000004</v>
      </c>
      <c r="U975">
        <v>6.3</v>
      </c>
      <c r="V975">
        <v>4.9000000000000004</v>
      </c>
      <c r="W975">
        <v>2.2000000000000002</v>
      </c>
      <c r="X975">
        <v>6.4</v>
      </c>
      <c r="Y975">
        <v>5</v>
      </c>
      <c r="Z975">
        <v>5.3</v>
      </c>
      <c r="AA975">
        <v>2.9</v>
      </c>
      <c r="AB975">
        <v>4.5999999999999996</v>
      </c>
      <c r="AC975">
        <v>6.4</v>
      </c>
      <c r="AD975" t="s">
        <v>53</v>
      </c>
      <c r="AE975" t="str">
        <f>IF(AND(data[[#This Row],[Age]]&gt;=18,data[[#This Row],[Age]]&lt;=24),"18-24",IF(AND(data[[#This Row],[Age]]&gt;=25,data[[#This Row],[Age]]&lt;=34),"25-34",IF(AND(data[[#This Row],[Age]]&gt;35,data[[#This Row],[Age]]&lt;=44),"35-44",IF(data[[#This Row],[Age]]&gt;44,"45+",IF(data[[#This Row],[Age]]&lt;18,"below 18 ")))))</f>
        <v>25-34</v>
      </c>
    </row>
    <row r="976" spans="1:31" x14ac:dyDescent="0.25">
      <c r="A976" t="s">
        <v>1029</v>
      </c>
      <c r="B976">
        <v>22</v>
      </c>
      <c r="C976" t="s">
        <v>47</v>
      </c>
      <c r="D976" t="s">
        <v>57</v>
      </c>
      <c r="E976" t="s">
        <v>58</v>
      </c>
      <c r="F976" t="s">
        <v>59</v>
      </c>
      <c r="G976">
        <v>1.2</v>
      </c>
      <c r="H976">
        <v>5</v>
      </c>
      <c r="I976">
        <v>3</v>
      </c>
      <c r="J976" t="s">
        <v>42</v>
      </c>
      <c r="K976" t="s">
        <v>52</v>
      </c>
      <c r="L976">
        <v>77</v>
      </c>
      <c r="M976">
        <v>2.2000000000000002</v>
      </c>
      <c r="N976">
        <v>8.8000000000000007</v>
      </c>
      <c r="O976">
        <v>1.2</v>
      </c>
      <c r="P976">
        <v>7.6</v>
      </c>
      <c r="Q976" t="s">
        <v>35</v>
      </c>
      <c r="R976" t="s">
        <v>35</v>
      </c>
      <c r="S976">
        <v>4.9000000000000004</v>
      </c>
      <c r="T976">
        <v>2.6</v>
      </c>
      <c r="U976">
        <v>2.1</v>
      </c>
      <c r="V976">
        <v>3.1</v>
      </c>
      <c r="X976">
        <v>7.4</v>
      </c>
      <c r="Y976">
        <v>2.6</v>
      </c>
      <c r="Z976">
        <v>8.1999999999999993</v>
      </c>
      <c r="AA976">
        <v>2.4</v>
      </c>
      <c r="AB976">
        <v>2.4</v>
      </c>
      <c r="AC976">
        <v>7.9</v>
      </c>
      <c r="AD976" t="s">
        <v>37</v>
      </c>
      <c r="AE976" t="str">
        <f>IF(AND(data[[#This Row],[Age]]&gt;=18,data[[#This Row],[Age]]&lt;=24),"18-24",IF(AND(data[[#This Row],[Age]]&gt;=25,data[[#This Row],[Age]]&lt;=34),"25-34",IF(AND(data[[#This Row],[Age]]&gt;35,data[[#This Row],[Age]]&lt;=44),"35-44",IF(data[[#This Row],[Age]]&gt;44,"45+",IF(data[[#This Row],[Age]]&lt;18,"below 18 ")))))</f>
        <v>18-24</v>
      </c>
    </row>
    <row r="977" spans="1:31" x14ac:dyDescent="0.25">
      <c r="A977" t="s">
        <v>1030</v>
      </c>
      <c r="B977">
        <v>43</v>
      </c>
      <c r="C977" t="s">
        <v>31</v>
      </c>
      <c r="D977" t="s">
        <v>32</v>
      </c>
      <c r="E977" t="s">
        <v>33</v>
      </c>
      <c r="F977" t="s">
        <v>59</v>
      </c>
      <c r="G977">
        <v>5</v>
      </c>
      <c r="H977">
        <v>2</v>
      </c>
      <c r="I977">
        <v>2</v>
      </c>
      <c r="J977" t="s">
        <v>42</v>
      </c>
      <c r="K977" t="s">
        <v>36</v>
      </c>
      <c r="L977">
        <v>87</v>
      </c>
      <c r="M977">
        <v>2.1</v>
      </c>
      <c r="N977">
        <v>5.8</v>
      </c>
      <c r="O977">
        <v>8.3000000000000007</v>
      </c>
      <c r="P977">
        <v>4.2</v>
      </c>
      <c r="Q977" t="s">
        <v>42</v>
      </c>
      <c r="R977" t="s">
        <v>42</v>
      </c>
      <c r="S977">
        <v>6</v>
      </c>
      <c r="T977">
        <v>10</v>
      </c>
      <c r="U977">
        <v>4.5999999999999996</v>
      </c>
      <c r="V977">
        <v>7.5</v>
      </c>
      <c r="W977">
        <v>4.8</v>
      </c>
      <c r="X977">
        <v>7.9</v>
      </c>
      <c r="Y977">
        <v>6.5</v>
      </c>
      <c r="Z977">
        <v>5.2</v>
      </c>
      <c r="AA977">
        <v>5.6</v>
      </c>
      <c r="AC977">
        <v>5</v>
      </c>
      <c r="AD977" t="s">
        <v>45</v>
      </c>
      <c r="AE977" t="str">
        <f>IF(AND(data[[#This Row],[Age]]&gt;=18,data[[#This Row],[Age]]&lt;=24),"18-24",IF(AND(data[[#This Row],[Age]]&gt;=25,data[[#This Row],[Age]]&lt;=34),"25-34",IF(AND(data[[#This Row],[Age]]&gt;35,data[[#This Row],[Age]]&lt;=44),"35-44",IF(data[[#This Row],[Age]]&gt;44,"45+",IF(data[[#This Row],[Age]]&lt;18,"below 18 ")))))</f>
        <v>35-44</v>
      </c>
    </row>
    <row r="978" spans="1:31" x14ac:dyDescent="0.25">
      <c r="A978" t="s">
        <v>1031</v>
      </c>
      <c r="B978">
        <v>35</v>
      </c>
      <c r="C978" t="s">
        <v>47</v>
      </c>
      <c r="D978" t="s">
        <v>32</v>
      </c>
      <c r="E978" t="s">
        <v>58</v>
      </c>
      <c r="F978" t="s">
        <v>48</v>
      </c>
      <c r="G978">
        <v>7.9</v>
      </c>
      <c r="H978">
        <v>3</v>
      </c>
      <c r="I978">
        <v>2</v>
      </c>
      <c r="J978" t="s">
        <v>35</v>
      </c>
      <c r="K978" t="s">
        <v>36</v>
      </c>
      <c r="L978">
        <v>91</v>
      </c>
      <c r="M978">
        <v>3.3</v>
      </c>
      <c r="N978">
        <v>0</v>
      </c>
      <c r="O978">
        <v>8.5</v>
      </c>
      <c r="P978">
        <v>4</v>
      </c>
      <c r="Q978" t="s">
        <v>42</v>
      </c>
      <c r="R978" t="s">
        <v>35</v>
      </c>
      <c r="S978">
        <v>1.6</v>
      </c>
      <c r="T978">
        <v>4.4000000000000004</v>
      </c>
      <c r="U978">
        <v>7.3</v>
      </c>
      <c r="V978">
        <v>7.2</v>
      </c>
      <c r="W978">
        <v>7.3</v>
      </c>
      <c r="X978">
        <v>4.3</v>
      </c>
      <c r="Y978">
        <v>7.8</v>
      </c>
      <c r="Z978">
        <v>9.4</v>
      </c>
      <c r="AA978">
        <v>5.9</v>
      </c>
      <c r="AB978">
        <v>2.9</v>
      </c>
      <c r="AC978">
        <v>8.3000000000000007</v>
      </c>
      <c r="AD978" t="s">
        <v>37</v>
      </c>
      <c r="AE978" t="b">
        <f>IF(AND(data[[#This Row],[Age]]&gt;=18,data[[#This Row],[Age]]&lt;=24),"18-24",IF(AND(data[[#This Row],[Age]]&gt;=25,data[[#This Row],[Age]]&lt;=34),"25-34",IF(AND(data[[#This Row],[Age]]&gt;35,data[[#This Row],[Age]]&lt;=44),"35-44",IF(data[[#This Row],[Age]]&gt;44,"45+",IF(data[[#This Row],[Age]]&lt;18,"below 18 ")))))</f>
        <v>0</v>
      </c>
    </row>
    <row r="979" spans="1:31" x14ac:dyDescent="0.25">
      <c r="A979" t="s">
        <v>1032</v>
      </c>
      <c r="B979">
        <v>43</v>
      </c>
      <c r="D979" t="s">
        <v>64</v>
      </c>
      <c r="E979" t="s">
        <v>40</v>
      </c>
      <c r="F979" t="s">
        <v>34</v>
      </c>
      <c r="G979">
        <v>3.2</v>
      </c>
      <c r="H979">
        <v>3</v>
      </c>
      <c r="I979">
        <v>3</v>
      </c>
      <c r="J979" t="s">
        <v>35</v>
      </c>
      <c r="K979" t="s">
        <v>52</v>
      </c>
      <c r="L979">
        <v>5</v>
      </c>
      <c r="M979">
        <v>1.5</v>
      </c>
      <c r="N979">
        <v>7.2</v>
      </c>
      <c r="O979">
        <v>5.3</v>
      </c>
      <c r="P979">
        <v>1.6</v>
      </c>
      <c r="Q979" t="s">
        <v>35</v>
      </c>
      <c r="R979" t="s">
        <v>42</v>
      </c>
      <c r="S979">
        <v>6.2</v>
      </c>
      <c r="T979">
        <v>6.7</v>
      </c>
      <c r="U979">
        <v>5.9</v>
      </c>
      <c r="V979">
        <v>2.5</v>
      </c>
      <c r="W979">
        <v>7.8</v>
      </c>
      <c r="X979">
        <v>5.7</v>
      </c>
      <c r="Y979">
        <v>7.5</v>
      </c>
      <c r="Z979">
        <v>6.6</v>
      </c>
      <c r="AA979">
        <v>4.5</v>
      </c>
      <c r="AB979">
        <v>1.7</v>
      </c>
      <c r="AC979">
        <v>7.5</v>
      </c>
      <c r="AD979" t="s">
        <v>37</v>
      </c>
      <c r="AE979" t="str">
        <f>IF(AND(data[[#This Row],[Age]]&gt;=18,data[[#This Row],[Age]]&lt;=24),"18-24",IF(AND(data[[#This Row],[Age]]&gt;=25,data[[#This Row],[Age]]&lt;=34),"25-34",IF(AND(data[[#This Row],[Age]]&gt;35,data[[#This Row],[Age]]&lt;=44),"35-44",IF(data[[#This Row],[Age]]&gt;44,"45+",IF(data[[#This Row],[Age]]&lt;18,"below 18 ")))))</f>
        <v>35-44</v>
      </c>
    </row>
    <row r="980" spans="1:31" x14ac:dyDescent="0.25">
      <c r="A980" t="s">
        <v>1033</v>
      </c>
      <c r="B980">
        <v>17</v>
      </c>
      <c r="C980" t="s">
        <v>31</v>
      </c>
      <c r="D980" t="s">
        <v>32</v>
      </c>
      <c r="E980" t="s">
        <v>33</v>
      </c>
      <c r="F980" t="s">
        <v>48</v>
      </c>
      <c r="G980">
        <v>2.4</v>
      </c>
      <c r="H980">
        <v>5</v>
      </c>
      <c r="I980">
        <v>3</v>
      </c>
      <c r="J980" t="s">
        <v>35</v>
      </c>
      <c r="K980" t="s">
        <v>36</v>
      </c>
      <c r="L980">
        <v>103</v>
      </c>
      <c r="M980">
        <v>7.4</v>
      </c>
      <c r="N980">
        <v>5.3</v>
      </c>
      <c r="O980">
        <v>8.1999999999999993</v>
      </c>
      <c r="P980">
        <v>7.3</v>
      </c>
      <c r="Q980" t="s">
        <v>42</v>
      </c>
      <c r="R980" t="s">
        <v>42</v>
      </c>
      <c r="S980">
        <v>2.5</v>
      </c>
      <c r="T980">
        <v>6.9</v>
      </c>
      <c r="U980">
        <v>2.4</v>
      </c>
      <c r="V980">
        <v>4.8</v>
      </c>
      <c r="W980">
        <v>4.2</v>
      </c>
      <c r="X980">
        <v>7.7</v>
      </c>
      <c r="Z980">
        <v>4.0999999999999996</v>
      </c>
      <c r="AA980">
        <v>3.7</v>
      </c>
      <c r="AB980">
        <v>8.3000000000000007</v>
      </c>
      <c r="AC980">
        <v>6</v>
      </c>
      <c r="AD980" t="s">
        <v>45</v>
      </c>
      <c r="AE980" t="str">
        <f>IF(AND(data[[#This Row],[Age]]&gt;=18,data[[#This Row],[Age]]&lt;=24),"18-24",IF(AND(data[[#This Row],[Age]]&gt;=25,data[[#This Row],[Age]]&lt;=34),"25-34",IF(AND(data[[#This Row],[Age]]&gt;35,data[[#This Row],[Age]]&lt;=44),"35-44",IF(data[[#This Row],[Age]]&gt;44,"45+",IF(data[[#This Row],[Age]]&lt;18,"below 18 ")))))</f>
        <v xml:space="preserve">below 18 </v>
      </c>
    </row>
    <row r="981" spans="1:31" x14ac:dyDescent="0.25">
      <c r="A981" t="s">
        <v>1034</v>
      </c>
      <c r="B981">
        <v>37</v>
      </c>
      <c r="C981" t="s">
        <v>31</v>
      </c>
      <c r="D981" t="s">
        <v>39</v>
      </c>
      <c r="E981" t="s">
        <v>58</v>
      </c>
      <c r="F981" t="s">
        <v>70</v>
      </c>
      <c r="G981">
        <v>6.8</v>
      </c>
      <c r="H981">
        <v>3</v>
      </c>
      <c r="I981">
        <v>3</v>
      </c>
      <c r="J981" t="s">
        <v>42</v>
      </c>
      <c r="K981" t="s">
        <v>52</v>
      </c>
      <c r="L981">
        <v>86</v>
      </c>
      <c r="M981">
        <v>1.9</v>
      </c>
      <c r="N981">
        <v>10</v>
      </c>
      <c r="O981">
        <v>5.5</v>
      </c>
      <c r="P981">
        <v>5.6</v>
      </c>
      <c r="Q981" t="s">
        <v>42</v>
      </c>
      <c r="R981" t="s">
        <v>35</v>
      </c>
      <c r="T981">
        <v>4.8</v>
      </c>
      <c r="U981">
        <v>0.3</v>
      </c>
      <c r="V981">
        <v>7.7</v>
      </c>
      <c r="W981">
        <v>7.7</v>
      </c>
      <c r="X981">
        <v>7.1</v>
      </c>
      <c r="Y981">
        <v>4.4000000000000004</v>
      </c>
      <c r="Z981">
        <v>5</v>
      </c>
      <c r="AA981">
        <v>3</v>
      </c>
      <c r="AB981">
        <v>3.4</v>
      </c>
      <c r="AC981">
        <v>6.4</v>
      </c>
      <c r="AD981" t="s">
        <v>53</v>
      </c>
      <c r="AE981" t="str">
        <f>IF(AND(data[[#This Row],[Age]]&gt;=18,data[[#This Row],[Age]]&lt;=24),"18-24",IF(AND(data[[#This Row],[Age]]&gt;=25,data[[#This Row],[Age]]&lt;=34),"25-34",IF(AND(data[[#This Row],[Age]]&gt;35,data[[#This Row],[Age]]&lt;=44),"35-44",IF(data[[#This Row],[Age]]&gt;44,"45+",IF(data[[#This Row],[Age]]&lt;18,"below 18 ")))))</f>
        <v>35-44</v>
      </c>
    </row>
    <row r="982" spans="1:31" x14ac:dyDescent="0.25">
      <c r="A982" t="s">
        <v>1035</v>
      </c>
      <c r="B982">
        <v>19</v>
      </c>
      <c r="C982" t="s">
        <v>31</v>
      </c>
      <c r="D982" t="s">
        <v>64</v>
      </c>
      <c r="E982" t="s">
        <v>40</v>
      </c>
      <c r="F982" t="s">
        <v>41</v>
      </c>
      <c r="G982">
        <v>5.8</v>
      </c>
      <c r="H982">
        <v>3</v>
      </c>
      <c r="I982">
        <v>2</v>
      </c>
      <c r="J982" t="s">
        <v>42</v>
      </c>
      <c r="K982" t="s">
        <v>62</v>
      </c>
      <c r="L982">
        <v>86</v>
      </c>
      <c r="M982">
        <v>4.7</v>
      </c>
      <c r="N982">
        <v>6.5</v>
      </c>
      <c r="O982">
        <v>2</v>
      </c>
      <c r="P982">
        <v>5</v>
      </c>
      <c r="Q982" t="s">
        <v>35</v>
      </c>
      <c r="R982" t="s">
        <v>35</v>
      </c>
      <c r="S982">
        <v>6</v>
      </c>
      <c r="T982">
        <v>3.9</v>
      </c>
      <c r="U982">
        <v>6.4</v>
      </c>
      <c r="V982">
        <v>1</v>
      </c>
      <c r="W982">
        <v>3.4</v>
      </c>
      <c r="X982">
        <v>5.7</v>
      </c>
      <c r="Y982">
        <v>5.0999999999999996</v>
      </c>
      <c r="Z982">
        <v>5.6</v>
      </c>
      <c r="AA982">
        <v>0.6</v>
      </c>
      <c r="AC982">
        <v>5.9</v>
      </c>
      <c r="AD982" t="s">
        <v>53</v>
      </c>
      <c r="AE982" t="str">
        <f>IF(AND(data[[#This Row],[Age]]&gt;=18,data[[#This Row],[Age]]&lt;=24),"18-24",IF(AND(data[[#This Row],[Age]]&gt;=25,data[[#This Row],[Age]]&lt;=34),"25-34",IF(AND(data[[#This Row],[Age]]&gt;35,data[[#This Row],[Age]]&lt;=44),"35-44",IF(data[[#This Row],[Age]]&gt;44,"45+",IF(data[[#This Row],[Age]]&lt;18,"below 18 ")))))</f>
        <v>18-24</v>
      </c>
    </row>
    <row r="983" spans="1:31" x14ac:dyDescent="0.25">
      <c r="A983" t="s">
        <v>1036</v>
      </c>
      <c r="B983">
        <v>29</v>
      </c>
      <c r="C983" t="s">
        <v>47</v>
      </c>
      <c r="D983" t="s">
        <v>32</v>
      </c>
      <c r="F983" t="s">
        <v>41</v>
      </c>
      <c r="G983">
        <v>6.3</v>
      </c>
      <c r="H983">
        <v>6</v>
      </c>
      <c r="I983">
        <v>4</v>
      </c>
      <c r="J983" t="s">
        <v>35</v>
      </c>
      <c r="K983" t="s">
        <v>62</v>
      </c>
      <c r="L983">
        <v>5</v>
      </c>
      <c r="M983">
        <v>6.7</v>
      </c>
      <c r="N983">
        <v>7.1</v>
      </c>
      <c r="O983">
        <v>6.5</v>
      </c>
      <c r="P983">
        <v>5</v>
      </c>
      <c r="Q983" t="s">
        <v>42</v>
      </c>
      <c r="R983" t="s">
        <v>35</v>
      </c>
      <c r="S983">
        <v>3.4</v>
      </c>
      <c r="T983">
        <v>5.5</v>
      </c>
      <c r="U983">
        <v>4.5999999999999996</v>
      </c>
      <c r="V983">
        <v>4.8</v>
      </c>
      <c r="W983">
        <v>5.5</v>
      </c>
      <c r="X983">
        <v>4.5999999999999996</v>
      </c>
      <c r="Y983">
        <v>2.2000000000000002</v>
      </c>
      <c r="Z983">
        <v>6.8</v>
      </c>
      <c r="AA983">
        <v>2.6</v>
      </c>
      <c r="AB983">
        <v>1.7</v>
      </c>
      <c r="AC983">
        <v>7.7</v>
      </c>
      <c r="AD983" t="s">
        <v>37</v>
      </c>
      <c r="AE983" t="str">
        <f>IF(AND(data[[#This Row],[Age]]&gt;=18,data[[#This Row],[Age]]&lt;=24),"18-24",IF(AND(data[[#This Row],[Age]]&gt;=25,data[[#This Row],[Age]]&lt;=34),"25-34",IF(AND(data[[#This Row],[Age]]&gt;35,data[[#This Row],[Age]]&lt;=44),"35-44",IF(data[[#This Row],[Age]]&gt;44,"45+",IF(data[[#This Row],[Age]]&lt;18,"below 18 ")))))</f>
        <v>25-34</v>
      </c>
    </row>
    <row r="984" spans="1:31" x14ac:dyDescent="0.25">
      <c r="A984" t="s">
        <v>1037</v>
      </c>
      <c r="B984">
        <v>16</v>
      </c>
      <c r="C984" t="s">
        <v>47</v>
      </c>
      <c r="D984" t="s">
        <v>32</v>
      </c>
      <c r="E984" t="s">
        <v>58</v>
      </c>
      <c r="F984" t="s">
        <v>51</v>
      </c>
      <c r="G984">
        <v>0.5</v>
      </c>
      <c r="H984">
        <v>5</v>
      </c>
      <c r="I984">
        <v>8</v>
      </c>
      <c r="J984" t="s">
        <v>35</v>
      </c>
      <c r="K984" t="s">
        <v>36</v>
      </c>
      <c r="L984">
        <v>42</v>
      </c>
      <c r="M984">
        <v>9.6999999999999993</v>
      </c>
      <c r="N984">
        <v>6.2</v>
      </c>
      <c r="O984">
        <v>4.9000000000000004</v>
      </c>
      <c r="P984">
        <v>9.6</v>
      </c>
      <c r="Q984" t="s">
        <v>42</v>
      </c>
      <c r="R984" t="s">
        <v>35</v>
      </c>
      <c r="S984">
        <v>6.2</v>
      </c>
      <c r="T984">
        <v>0</v>
      </c>
      <c r="U984">
        <v>4.5999999999999996</v>
      </c>
      <c r="V984">
        <v>4.7</v>
      </c>
      <c r="W984">
        <v>5.9</v>
      </c>
      <c r="X984">
        <v>4.4000000000000004</v>
      </c>
      <c r="Y984">
        <v>5.7</v>
      </c>
      <c r="Z984">
        <v>8.5</v>
      </c>
      <c r="AB984">
        <v>2.9</v>
      </c>
      <c r="AC984">
        <v>5.2</v>
      </c>
      <c r="AD984" t="s">
        <v>43</v>
      </c>
      <c r="AE984" t="str">
        <f>IF(AND(data[[#This Row],[Age]]&gt;=18,data[[#This Row],[Age]]&lt;=24),"18-24",IF(AND(data[[#This Row],[Age]]&gt;=25,data[[#This Row],[Age]]&lt;=34),"25-34",IF(AND(data[[#This Row],[Age]]&gt;35,data[[#This Row],[Age]]&lt;=44),"35-44",IF(data[[#This Row],[Age]]&gt;44,"45+",IF(data[[#This Row],[Age]]&lt;18,"below 18 ")))))</f>
        <v xml:space="preserve">below 18 </v>
      </c>
    </row>
    <row r="985" spans="1:31" x14ac:dyDescent="0.25">
      <c r="A985" t="s">
        <v>1038</v>
      </c>
      <c r="B985">
        <v>22</v>
      </c>
      <c r="C985" t="s">
        <v>31</v>
      </c>
      <c r="D985" t="s">
        <v>39</v>
      </c>
      <c r="E985" t="s">
        <v>33</v>
      </c>
      <c r="F985" t="s">
        <v>59</v>
      </c>
      <c r="G985">
        <v>2.5</v>
      </c>
      <c r="H985">
        <v>1</v>
      </c>
      <c r="I985">
        <v>6</v>
      </c>
      <c r="J985" t="s">
        <v>35</v>
      </c>
      <c r="K985" t="s">
        <v>52</v>
      </c>
      <c r="L985">
        <v>95</v>
      </c>
      <c r="M985">
        <v>6.6</v>
      </c>
      <c r="N985">
        <v>2</v>
      </c>
      <c r="O985">
        <v>4.3</v>
      </c>
      <c r="P985">
        <v>2.2999999999999998</v>
      </c>
      <c r="Q985" t="s">
        <v>42</v>
      </c>
      <c r="R985" t="s">
        <v>42</v>
      </c>
      <c r="S985">
        <v>4</v>
      </c>
      <c r="T985">
        <v>2.4</v>
      </c>
      <c r="U985">
        <v>2.6</v>
      </c>
      <c r="V985">
        <v>5.5</v>
      </c>
      <c r="W985">
        <v>6.1</v>
      </c>
      <c r="X985">
        <v>6.6</v>
      </c>
      <c r="Y985">
        <v>4.3</v>
      </c>
      <c r="Z985">
        <v>2.5</v>
      </c>
      <c r="AA985">
        <v>3.9</v>
      </c>
      <c r="AB985">
        <v>3.7</v>
      </c>
      <c r="AC985">
        <v>8.5</v>
      </c>
      <c r="AD985" t="s">
        <v>37</v>
      </c>
      <c r="AE985" t="str">
        <f>IF(AND(data[[#This Row],[Age]]&gt;=18,data[[#This Row],[Age]]&lt;=24),"18-24",IF(AND(data[[#This Row],[Age]]&gt;=25,data[[#This Row],[Age]]&lt;=34),"25-34",IF(AND(data[[#This Row],[Age]]&gt;35,data[[#This Row],[Age]]&lt;=44),"35-44",IF(data[[#This Row],[Age]]&gt;44,"45+",IF(data[[#This Row],[Age]]&lt;18,"below 18 ")))))</f>
        <v>18-24</v>
      </c>
    </row>
    <row r="986" spans="1:31" x14ac:dyDescent="0.25">
      <c r="A986" t="s">
        <v>1039</v>
      </c>
      <c r="B986">
        <v>34</v>
      </c>
      <c r="C986" t="s">
        <v>47</v>
      </c>
      <c r="D986" t="s">
        <v>57</v>
      </c>
      <c r="E986" t="s">
        <v>58</v>
      </c>
      <c r="F986" t="s">
        <v>34</v>
      </c>
      <c r="G986">
        <v>8.4</v>
      </c>
      <c r="H986">
        <v>1</v>
      </c>
      <c r="I986">
        <v>8</v>
      </c>
      <c r="J986" t="s">
        <v>35</v>
      </c>
      <c r="K986" t="s">
        <v>36</v>
      </c>
      <c r="L986">
        <v>86</v>
      </c>
      <c r="M986">
        <v>5.9</v>
      </c>
      <c r="N986">
        <v>3.3</v>
      </c>
      <c r="O986">
        <v>4.3</v>
      </c>
      <c r="P986">
        <v>7</v>
      </c>
      <c r="Q986" t="s">
        <v>42</v>
      </c>
      <c r="R986" t="s">
        <v>42</v>
      </c>
      <c r="S986">
        <v>4.0999999999999996</v>
      </c>
      <c r="T986">
        <v>5.4</v>
      </c>
      <c r="U986">
        <v>4.0999999999999996</v>
      </c>
      <c r="V986">
        <v>1.8</v>
      </c>
      <c r="W986">
        <v>8.6</v>
      </c>
      <c r="X986">
        <v>6.2</v>
      </c>
      <c r="Y986">
        <v>4.7</v>
      </c>
      <c r="Z986">
        <v>8.8000000000000007</v>
      </c>
      <c r="AA986">
        <v>3</v>
      </c>
      <c r="AB986">
        <v>0</v>
      </c>
      <c r="AC986">
        <v>6.3</v>
      </c>
      <c r="AD986" t="s">
        <v>53</v>
      </c>
      <c r="AE986" t="str">
        <f>IF(AND(data[[#This Row],[Age]]&gt;=18,data[[#This Row],[Age]]&lt;=24),"18-24",IF(AND(data[[#This Row],[Age]]&gt;=25,data[[#This Row],[Age]]&lt;=34),"25-34",IF(AND(data[[#This Row],[Age]]&gt;35,data[[#This Row],[Age]]&lt;=44),"35-44",IF(data[[#This Row],[Age]]&gt;44,"45+",IF(data[[#This Row],[Age]]&lt;18,"below 18 ")))))</f>
        <v>25-34</v>
      </c>
    </row>
    <row r="987" spans="1:31" x14ac:dyDescent="0.25">
      <c r="A987" t="s">
        <v>1040</v>
      </c>
      <c r="B987">
        <v>15</v>
      </c>
      <c r="C987" t="s">
        <v>50</v>
      </c>
      <c r="D987" t="s">
        <v>32</v>
      </c>
      <c r="E987" t="s">
        <v>40</v>
      </c>
      <c r="F987" t="s">
        <v>34</v>
      </c>
      <c r="G987">
        <v>2.6</v>
      </c>
      <c r="H987">
        <v>1</v>
      </c>
      <c r="I987">
        <v>3</v>
      </c>
      <c r="J987" t="s">
        <v>35</v>
      </c>
      <c r="K987" t="s">
        <v>52</v>
      </c>
      <c r="L987">
        <v>97</v>
      </c>
      <c r="M987">
        <v>9.4</v>
      </c>
      <c r="N987">
        <v>4.8</v>
      </c>
      <c r="O987">
        <v>4.2</v>
      </c>
      <c r="P987">
        <v>6.4</v>
      </c>
      <c r="Q987" t="s">
        <v>42</v>
      </c>
      <c r="R987" t="s">
        <v>35</v>
      </c>
      <c r="S987">
        <v>4.5999999999999996</v>
      </c>
      <c r="T987">
        <v>5.8</v>
      </c>
      <c r="U987">
        <v>5.7</v>
      </c>
      <c r="V987">
        <v>8.5</v>
      </c>
      <c r="W987">
        <v>6.1</v>
      </c>
      <c r="X987">
        <v>3</v>
      </c>
      <c r="Y987">
        <v>4.5999999999999996</v>
      </c>
      <c r="Z987">
        <v>6.1</v>
      </c>
      <c r="AA987">
        <v>3.3</v>
      </c>
      <c r="AB987">
        <v>2.9</v>
      </c>
      <c r="AC987">
        <v>7.4</v>
      </c>
      <c r="AD987" t="s">
        <v>37</v>
      </c>
      <c r="AE987" t="str">
        <f>IF(AND(data[[#This Row],[Age]]&gt;=18,data[[#This Row],[Age]]&lt;=24),"18-24",IF(AND(data[[#This Row],[Age]]&gt;=25,data[[#This Row],[Age]]&lt;=34),"25-34",IF(AND(data[[#This Row],[Age]]&gt;35,data[[#This Row],[Age]]&lt;=44),"35-44",IF(data[[#This Row],[Age]]&gt;44,"45+",IF(data[[#This Row],[Age]]&lt;18,"below 18 ")))))</f>
        <v xml:space="preserve">below 18 </v>
      </c>
    </row>
    <row r="988" spans="1:31" x14ac:dyDescent="0.25">
      <c r="A988" t="s">
        <v>1041</v>
      </c>
      <c r="B988">
        <v>39</v>
      </c>
      <c r="C988" t="s">
        <v>47</v>
      </c>
      <c r="D988" t="s">
        <v>39</v>
      </c>
      <c r="E988" t="s">
        <v>33</v>
      </c>
      <c r="F988" t="s">
        <v>51</v>
      </c>
      <c r="G988">
        <v>3.4</v>
      </c>
      <c r="H988">
        <v>3</v>
      </c>
      <c r="I988">
        <v>4</v>
      </c>
      <c r="J988" t="s">
        <v>42</v>
      </c>
      <c r="K988" t="s">
        <v>52</v>
      </c>
      <c r="L988">
        <v>55</v>
      </c>
      <c r="M988">
        <v>6</v>
      </c>
      <c r="N988">
        <v>4.5</v>
      </c>
      <c r="O988">
        <v>5.4</v>
      </c>
      <c r="P988">
        <v>4.2</v>
      </c>
      <c r="Q988" t="s">
        <v>35</v>
      </c>
      <c r="R988" t="s">
        <v>35</v>
      </c>
      <c r="S988">
        <v>4.7</v>
      </c>
      <c r="T988">
        <v>3.5</v>
      </c>
      <c r="U988">
        <v>6.8</v>
      </c>
      <c r="V988">
        <v>3.2</v>
      </c>
      <c r="W988">
        <v>6.3</v>
      </c>
      <c r="X988">
        <v>8.6</v>
      </c>
      <c r="Y988">
        <v>7</v>
      </c>
      <c r="Z988">
        <v>7.7</v>
      </c>
      <c r="AA988">
        <v>2.9</v>
      </c>
      <c r="AB988">
        <v>2.9</v>
      </c>
      <c r="AC988">
        <v>7</v>
      </c>
      <c r="AD988" t="s">
        <v>37</v>
      </c>
      <c r="AE988" t="str">
        <f>IF(AND(data[[#This Row],[Age]]&gt;=18,data[[#This Row],[Age]]&lt;=24),"18-24",IF(AND(data[[#This Row],[Age]]&gt;=25,data[[#This Row],[Age]]&lt;=34),"25-34",IF(AND(data[[#This Row],[Age]]&gt;35,data[[#This Row],[Age]]&lt;=44),"35-44",IF(data[[#This Row],[Age]]&gt;44,"45+",IF(data[[#This Row],[Age]]&lt;18,"below 18 ")))))</f>
        <v>35-44</v>
      </c>
    </row>
    <row r="989" spans="1:31" x14ac:dyDescent="0.25">
      <c r="A989" t="s">
        <v>1042</v>
      </c>
      <c r="B989">
        <v>32</v>
      </c>
      <c r="C989" t="s">
        <v>31</v>
      </c>
      <c r="D989" t="s">
        <v>32</v>
      </c>
      <c r="E989" t="s">
        <v>40</v>
      </c>
      <c r="F989" t="s">
        <v>51</v>
      </c>
      <c r="G989">
        <v>4.7</v>
      </c>
      <c r="H989">
        <v>4</v>
      </c>
      <c r="I989">
        <v>3</v>
      </c>
      <c r="J989" t="s">
        <v>42</v>
      </c>
      <c r="K989" t="s">
        <v>52</v>
      </c>
      <c r="L989">
        <v>44</v>
      </c>
      <c r="M989">
        <v>5.0999999999999996</v>
      </c>
      <c r="N989">
        <v>7.6</v>
      </c>
      <c r="O989">
        <v>6.8</v>
      </c>
      <c r="P989">
        <v>6</v>
      </c>
      <c r="Q989" t="s">
        <v>42</v>
      </c>
      <c r="R989" t="s">
        <v>42</v>
      </c>
      <c r="S989">
        <v>4.9000000000000004</v>
      </c>
      <c r="T989">
        <v>7</v>
      </c>
      <c r="U989">
        <v>3.9</v>
      </c>
      <c r="V989">
        <v>3.7</v>
      </c>
      <c r="W989">
        <v>3.2</v>
      </c>
      <c r="Y989">
        <v>5.0999999999999996</v>
      </c>
      <c r="Z989">
        <v>5.6</v>
      </c>
      <c r="AA989">
        <v>2.6</v>
      </c>
      <c r="AB989">
        <v>1.3</v>
      </c>
      <c r="AC989">
        <v>4.9000000000000004</v>
      </c>
      <c r="AD989" t="s">
        <v>43</v>
      </c>
      <c r="AE989" t="str">
        <f>IF(AND(data[[#This Row],[Age]]&gt;=18,data[[#This Row],[Age]]&lt;=24),"18-24",IF(AND(data[[#This Row],[Age]]&gt;=25,data[[#This Row],[Age]]&lt;=34),"25-34",IF(AND(data[[#This Row],[Age]]&gt;35,data[[#This Row],[Age]]&lt;=44),"35-44",IF(data[[#This Row],[Age]]&gt;44,"45+",IF(data[[#This Row],[Age]]&lt;18,"below 18 ")))))</f>
        <v>25-34</v>
      </c>
    </row>
    <row r="990" spans="1:31" x14ac:dyDescent="0.25">
      <c r="A990" t="s">
        <v>1043</v>
      </c>
      <c r="B990">
        <v>37</v>
      </c>
      <c r="C990" t="s">
        <v>47</v>
      </c>
      <c r="D990" t="s">
        <v>39</v>
      </c>
      <c r="E990" t="s">
        <v>58</v>
      </c>
      <c r="F990" t="s">
        <v>34</v>
      </c>
      <c r="G990">
        <v>4.9000000000000004</v>
      </c>
      <c r="H990">
        <v>3</v>
      </c>
      <c r="I990">
        <v>4</v>
      </c>
      <c r="J990" t="s">
        <v>35</v>
      </c>
      <c r="K990" t="s">
        <v>36</v>
      </c>
      <c r="L990">
        <v>103</v>
      </c>
      <c r="M990">
        <v>3.3</v>
      </c>
      <c r="N990">
        <v>1.7</v>
      </c>
      <c r="O990">
        <v>3.9</v>
      </c>
      <c r="P990">
        <v>6.1</v>
      </c>
      <c r="Q990" t="s">
        <v>35</v>
      </c>
      <c r="R990" t="s">
        <v>42</v>
      </c>
      <c r="S990">
        <v>9.6999999999999993</v>
      </c>
      <c r="T990">
        <v>5.3</v>
      </c>
      <c r="U990">
        <v>10</v>
      </c>
      <c r="V990">
        <v>5.3</v>
      </c>
      <c r="W990">
        <v>7.7</v>
      </c>
      <c r="X990">
        <v>6.8</v>
      </c>
      <c r="Y990">
        <v>6.2</v>
      </c>
      <c r="Z990">
        <v>4.9000000000000004</v>
      </c>
      <c r="AA990">
        <v>4.0999999999999996</v>
      </c>
      <c r="AB990">
        <v>0.2</v>
      </c>
      <c r="AC990">
        <v>7.3</v>
      </c>
      <c r="AD990" t="s">
        <v>53</v>
      </c>
      <c r="AE990" t="str">
        <f>IF(AND(data[[#This Row],[Age]]&gt;=18,data[[#This Row],[Age]]&lt;=24),"18-24",IF(AND(data[[#This Row],[Age]]&gt;=25,data[[#This Row],[Age]]&lt;=34),"25-34",IF(AND(data[[#This Row],[Age]]&gt;35,data[[#This Row],[Age]]&lt;=44),"35-44",IF(data[[#This Row],[Age]]&gt;44,"45+",IF(data[[#This Row],[Age]]&lt;18,"below 18 ")))))</f>
        <v>35-44</v>
      </c>
    </row>
    <row r="991" spans="1:31" x14ac:dyDescent="0.25">
      <c r="A991" t="s">
        <v>1044</v>
      </c>
      <c r="B991">
        <v>25</v>
      </c>
      <c r="C991" t="s">
        <v>31</v>
      </c>
      <c r="D991" t="s">
        <v>39</v>
      </c>
      <c r="E991" t="s">
        <v>58</v>
      </c>
      <c r="F991" t="s">
        <v>34</v>
      </c>
      <c r="G991">
        <v>4</v>
      </c>
      <c r="H991">
        <v>7</v>
      </c>
      <c r="I991">
        <v>1</v>
      </c>
      <c r="J991" t="s">
        <v>42</v>
      </c>
      <c r="K991" t="s">
        <v>52</v>
      </c>
      <c r="L991">
        <v>5</v>
      </c>
      <c r="M991">
        <v>3.8</v>
      </c>
      <c r="N991">
        <v>4.7</v>
      </c>
      <c r="O991">
        <v>4.0999999999999996</v>
      </c>
      <c r="P991">
        <v>4.5999999999999996</v>
      </c>
      <c r="Q991" t="s">
        <v>42</v>
      </c>
      <c r="R991" t="s">
        <v>42</v>
      </c>
      <c r="S991">
        <v>2.1</v>
      </c>
      <c r="T991">
        <v>0.2</v>
      </c>
      <c r="U991">
        <v>2.2999999999999998</v>
      </c>
      <c r="V991">
        <v>5</v>
      </c>
      <c r="X991">
        <v>9.1</v>
      </c>
      <c r="Y991">
        <v>7.2</v>
      </c>
      <c r="Z991">
        <v>1.3</v>
      </c>
      <c r="AA991">
        <v>4.3</v>
      </c>
      <c r="AB991">
        <v>3.3</v>
      </c>
      <c r="AC991">
        <v>6.5</v>
      </c>
      <c r="AD991" t="s">
        <v>53</v>
      </c>
      <c r="AE991" t="str">
        <f>IF(AND(data[[#This Row],[Age]]&gt;=18,data[[#This Row],[Age]]&lt;=24),"18-24",IF(AND(data[[#This Row],[Age]]&gt;=25,data[[#This Row],[Age]]&lt;=34),"25-34",IF(AND(data[[#This Row],[Age]]&gt;35,data[[#This Row],[Age]]&lt;=44),"35-44",IF(data[[#This Row],[Age]]&gt;44,"45+",IF(data[[#This Row],[Age]]&lt;18,"below 18 ")))))</f>
        <v>25-34</v>
      </c>
    </row>
    <row r="992" spans="1:31" x14ac:dyDescent="0.25">
      <c r="A992" t="s">
        <v>1045</v>
      </c>
      <c r="B992">
        <v>31</v>
      </c>
      <c r="C992" t="s">
        <v>47</v>
      </c>
      <c r="D992" t="s">
        <v>32</v>
      </c>
      <c r="E992" t="s">
        <v>33</v>
      </c>
      <c r="F992" t="s">
        <v>70</v>
      </c>
      <c r="G992">
        <v>0.5</v>
      </c>
      <c r="H992">
        <v>3</v>
      </c>
      <c r="I992">
        <v>3</v>
      </c>
      <c r="J992" t="s">
        <v>35</v>
      </c>
      <c r="K992" t="s">
        <v>36</v>
      </c>
      <c r="L992">
        <v>61</v>
      </c>
      <c r="M992">
        <v>7.8</v>
      </c>
      <c r="N992">
        <v>10</v>
      </c>
      <c r="O992">
        <v>3.8</v>
      </c>
      <c r="P992">
        <v>2.2000000000000002</v>
      </c>
      <c r="Q992" t="s">
        <v>35</v>
      </c>
      <c r="R992" t="s">
        <v>35</v>
      </c>
      <c r="S992">
        <v>6.4</v>
      </c>
      <c r="T992">
        <v>2.9</v>
      </c>
      <c r="U992">
        <v>4</v>
      </c>
      <c r="V992">
        <v>5.7</v>
      </c>
      <c r="W992">
        <v>6</v>
      </c>
      <c r="X992">
        <v>6.9</v>
      </c>
      <c r="Y992">
        <v>3.7</v>
      </c>
      <c r="Z992">
        <v>4.8</v>
      </c>
      <c r="AA992">
        <v>5</v>
      </c>
      <c r="AB992">
        <v>0.1</v>
      </c>
      <c r="AC992">
        <v>7.2</v>
      </c>
      <c r="AD992" t="s">
        <v>53</v>
      </c>
      <c r="AE992" t="str">
        <f>IF(AND(data[[#This Row],[Age]]&gt;=18,data[[#This Row],[Age]]&lt;=24),"18-24",IF(AND(data[[#This Row],[Age]]&gt;=25,data[[#This Row],[Age]]&lt;=34),"25-34",IF(AND(data[[#This Row],[Age]]&gt;35,data[[#This Row],[Age]]&lt;=44),"35-44",IF(data[[#This Row],[Age]]&gt;44,"45+",IF(data[[#This Row],[Age]]&lt;18,"below 18 ")))))</f>
        <v>25-34</v>
      </c>
    </row>
    <row r="993" spans="1:31" x14ac:dyDescent="0.25">
      <c r="A993" t="s">
        <v>1046</v>
      </c>
      <c r="B993">
        <v>24</v>
      </c>
      <c r="C993" t="s">
        <v>47</v>
      </c>
      <c r="D993" t="s">
        <v>32</v>
      </c>
      <c r="E993" t="s">
        <v>40</v>
      </c>
      <c r="F993" t="s">
        <v>41</v>
      </c>
      <c r="G993">
        <v>5.6</v>
      </c>
      <c r="H993">
        <v>1</v>
      </c>
      <c r="I993">
        <v>4</v>
      </c>
      <c r="J993" t="s">
        <v>42</v>
      </c>
      <c r="K993" t="s">
        <v>36</v>
      </c>
      <c r="L993">
        <v>5</v>
      </c>
      <c r="M993">
        <v>8.8000000000000007</v>
      </c>
      <c r="N993">
        <v>9.6</v>
      </c>
      <c r="O993">
        <v>7.9</v>
      </c>
      <c r="P993">
        <v>8.3000000000000007</v>
      </c>
      <c r="Q993" t="s">
        <v>42</v>
      </c>
      <c r="R993" t="s">
        <v>42</v>
      </c>
      <c r="S993">
        <v>5.7</v>
      </c>
      <c r="T993">
        <v>2.8</v>
      </c>
      <c r="U993">
        <v>3.3</v>
      </c>
      <c r="V993">
        <v>5.2</v>
      </c>
      <c r="W993">
        <v>7.6</v>
      </c>
      <c r="X993">
        <v>4.2</v>
      </c>
      <c r="Y993">
        <v>4</v>
      </c>
      <c r="Z993">
        <v>7</v>
      </c>
      <c r="AA993">
        <v>0</v>
      </c>
      <c r="AB993">
        <v>4.5</v>
      </c>
      <c r="AC993">
        <v>2.8</v>
      </c>
      <c r="AD993" t="s">
        <v>43</v>
      </c>
      <c r="AE993" t="str">
        <f>IF(AND(data[[#This Row],[Age]]&gt;=18,data[[#This Row],[Age]]&lt;=24),"18-24",IF(AND(data[[#This Row],[Age]]&gt;=25,data[[#This Row],[Age]]&lt;=34),"25-34",IF(AND(data[[#This Row],[Age]]&gt;35,data[[#This Row],[Age]]&lt;=44),"35-44",IF(data[[#This Row],[Age]]&gt;44,"45+",IF(data[[#This Row],[Age]]&lt;18,"below 18 ")))))</f>
        <v>18-24</v>
      </c>
    </row>
    <row r="994" spans="1:31" x14ac:dyDescent="0.25">
      <c r="A994" t="s">
        <v>1047</v>
      </c>
      <c r="B994">
        <v>15</v>
      </c>
      <c r="C994" t="s">
        <v>31</v>
      </c>
      <c r="D994" t="s">
        <v>32</v>
      </c>
      <c r="E994" t="s">
        <v>58</v>
      </c>
      <c r="F994" t="s">
        <v>34</v>
      </c>
      <c r="G994">
        <v>1.8</v>
      </c>
      <c r="H994">
        <v>4</v>
      </c>
      <c r="I994">
        <v>2</v>
      </c>
      <c r="J994" t="s">
        <v>42</v>
      </c>
      <c r="K994" t="s">
        <v>36</v>
      </c>
      <c r="L994">
        <v>33</v>
      </c>
      <c r="M994">
        <v>7.1</v>
      </c>
      <c r="N994">
        <v>7.9</v>
      </c>
      <c r="O994">
        <v>2.7</v>
      </c>
      <c r="P994">
        <v>5.8</v>
      </c>
      <c r="Q994" t="s">
        <v>42</v>
      </c>
      <c r="R994" t="s">
        <v>35</v>
      </c>
      <c r="S994">
        <v>4.7</v>
      </c>
      <c r="T994">
        <v>2.8</v>
      </c>
      <c r="V994">
        <v>8.9</v>
      </c>
      <c r="W994">
        <v>3.6</v>
      </c>
      <c r="X994">
        <v>6.6</v>
      </c>
      <c r="Y994">
        <v>5.4</v>
      </c>
      <c r="Z994">
        <v>3.4</v>
      </c>
      <c r="AA994">
        <v>6.5</v>
      </c>
      <c r="AB994">
        <v>4.2</v>
      </c>
      <c r="AC994">
        <v>7.1</v>
      </c>
      <c r="AD994" t="s">
        <v>53</v>
      </c>
      <c r="AE994" t="str">
        <f>IF(AND(data[[#This Row],[Age]]&gt;=18,data[[#This Row],[Age]]&lt;=24),"18-24",IF(AND(data[[#This Row],[Age]]&gt;=25,data[[#This Row],[Age]]&lt;=34),"25-34",IF(AND(data[[#This Row],[Age]]&gt;35,data[[#This Row],[Age]]&lt;=44),"35-44",IF(data[[#This Row],[Age]]&gt;44,"45+",IF(data[[#This Row],[Age]]&lt;18,"below 18 ")))))</f>
        <v xml:space="preserve">below 18 </v>
      </c>
    </row>
    <row r="995" spans="1:31" x14ac:dyDescent="0.25">
      <c r="A995" t="s">
        <v>1048</v>
      </c>
      <c r="B995">
        <v>38</v>
      </c>
      <c r="C995" t="s">
        <v>47</v>
      </c>
      <c r="D995" t="s">
        <v>39</v>
      </c>
      <c r="E995" t="s">
        <v>40</v>
      </c>
      <c r="F995" t="s">
        <v>34</v>
      </c>
      <c r="G995">
        <v>6.5</v>
      </c>
      <c r="H995">
        <v>8</v>
      </c>
      <c r="I995">
        <v>3</v>
      </c>
      <c r="J995" t="s">
        <v>35</v>
      </c>
      <c r="K995" t="s">
        <v>36</v>
      </c>
      <c r="L995">
        <v>16</v>
      </c>
      <c r="M995">
        <v>0</v>
      </c>
      <c r="N995">
        <v>7</v>
      </c>
      <c r="O995">
        <v>2</v>
      </c>
      <c r="P995">
        <v>2.8</v>
      </c>
      <c r="Q995" t="s">
        <v>35</v>
      </c>
      <c r="R995" t="s">
        <v>35</v>
      </c>
      <c r="S995">
        <v>6.2</v>
      </c>
      <c r="T995">
        <v>3.8</v>
      </c>
      <c r="U995">
        <v>4.5</v>
      </c>
      <c r="V995">
        <v>3.2</v>
      </c>
      <c r="W995">
        <v>3.7</v>
      </c>
      <c r="X995">
        <v>8.6</v>
      </c>
      <c r="Y995">
        <v>7.7</v>
      </c>
      <c r="Z995">
        <v>9.3000000000000007</v>
      </c>
      <c r="AA995">
        <v>2.1</v>
      </c>
      <c r="AB995">
        <v>1.1000000000000001</v>
      </c>
      <c r="AC995">
        <v>8</v>
      </c>
      <c r="AD995" t="s">
        <v>37</v>
      </c>
      <c r="AE995" t="str">
        <f>IF(AND(data[[#This Row],[Age]]&gt;=18,data[[#This Row],[Age]]&lt;=24),"18-24",IF(AND(data[[#This Row],[Age]]&gt;=25,data[[#This Row],[Age]]&lt;=34),"25-34",IF(AND(data[[#This Row],[Age]]&gt;35,data[[#This Row],[Age]]&lt;=44),"35-44",IF(data[[#This Row],[Age]]&gt;44,"45+",IF(data[[#This Row],[Age]]&lt;18,"below 18 ")))))</f>
        <v>35-44</v>
      </c>
    </row>
    <row r="996" spans="1:31" x14ac:dyDescent="0.25">
      <c r="A996" t="s">
        <v>1049</v>
      </c>
      <c r="B996">
        <v>34</v>
      </c>
      <c r="C996" t="s">
        <v>47</v>
      </c>
      <c r="D996" t="s">
        <v>39</v>
      </c>
      <c r="E996" t="s">
        <v>58</v>
      </c>
      <c r="F996" t="s">
        <v>34</v>
      </c>
      <c r="G996">
        <v>7.1</v>
      </c>
      <c r="H996">
        <v>4</v>
      </c>
      <c r="I996">
        <v>6</v>
      </c>
      <c r="J996" t="s">
        <v>42</v>
      </c>
      <c r="K996" t="s">
        <v>36</v>
      </c>
      <c r="L996">
        <v>75</v>
      </c>
      <c r="M996">
        <v>9.5</v>
      </c>
      <c r="N996">
        <v>5.6</v>
      </c>
      <c r="O996">
        <v>5.9</v>
      </c>
      <c r="P996">
        <v>0</v>
      </c>
      <c r="Q996" t="s">
        <v>35</v>
      </c>
      <c r="R996" t="s">
        <v>35</v>
      </c>
      <c r="T996">
        <v>2.9</v>
      </c>
      <c r="U996">
        <v>5.7</v>
      </c>
      <c r="V996">
        <v>10</v>
      </c>
      <c r="W996">
        <v>4.0999999999999996</v>
      </c>
      <c r="X996">
        <v>6.2</v>
      </c>
      <c r="Y996">
        <v>6.8</v>
      </c>
      <c r="Z996">
        <v>9.5</v>
      </c>
      <c r="AA996">
        <v>2.8</v>
      </c>
      <c r="AB996">
        <v>0.7</v>
      </c>
      <c r="AC996">
        <v>5</v>
      </c>
      <c r="AD996" t="s">
        <v>45</v>
      </c>
      <c r="AE996" t="str">
        <f>IF(AND(data[[#This Row],[Age]]&gt;=18,data[[#This Row],[Age]]&lt;=24),"18-24",IF(AND(data[[#This Row],[Age]]&gt;=25,data[[#This Row],[Age]]&lt;=34),"25-34",IF(AND(data[[#This Row],[Age]]&gt;35,data[[#This Row],[Age]]&lt;=44),"35-44",IF(data[[#This Row],[Age]]&gt;44,"45+",IF(data[[#This Row],[Age]]&lt;18,"below 18 ")))))</f>
        <v>25-34</v>
      </c>
    </row>
    <row r="997" spans="1:31" x14ac:dyDescent="0.25">
      <c r="A997" t="s">
        <v>1050</v>
      </c>
      <c r="B997">
        <v>26</v>
      </c>
      <c r="C997" t="s">
        <v>47</v>
      </c>
      <c r="D997" t="s">
        <v>39</v>
      </c>
      <c r="E997" t="s">
        <v>58</v>
      </c>
      <c r="F997" t="s">
        <v>51</v>
      </c>
      <c r="H997">
        <v>2</v>
      </c>
      <c r="I997">
        <v>1</v>
      </c>
      <c r="J997" t="s">
        <v>42</v>
      </c>
      <c r="K997" t="s">
        <v>36</v>
      </c>
      <c r="L997">
        <v>100</v>
      </c>
      <c r="N997">
        <v>4.7</v>
      </c>
      <c r="O997">
        <v>2.6</v>
      </c>
      <c r="P997">
        <v>3</v>
      </c>
      <c r="Q997" t="s">
        <v>35</v>
      </c>
      <c r="R997" t="s">
        <v>35</v>
      </c>
      <c r="S997">
        <v>7</v>
      </c>
      <c r="T997">
        <v>2.2000000000000002</v>
      </c>
      <c r="U997">
        <v>1.3</v>
      </c>
      <c r="V997">
        <v>2.6</v>
      </c>
      <c r="W997">
        <v>4.0999999999999996</v>
      </c>
      <c r="X997">
        <v>8</v>
      </c>
      <c r="Y997">
        <v>4.3</v>
      </c>
      <c r="Z997">
        <v>3</v>
      </c>
      <c r="AA997">
        <v>1.8</v>
      </c>
      <c r="AB997">
        <v>4.2</v>
      </c>
      <c r="AC997">
        <v>6.1</v>
      </c>
      <c r="AD997" t="s">
        <v>45</v>
      </c>
      <c r="AE997" t="str">
        <f>IF(AND(data[[#This Row],[Age]]&gt;=18,data[[#This Row],[Age]]&lt;=24),"18-24",IF(AND(data[[#This Row],[Age]]&gt;=25,data[[#This Row],[Age]]&lt;=34),"25-34",IF(AND(data[[#This Row],[Age]]&gt;35,data[[#This Row],[Age]]&lt;=44),"35-44",IF(data[[#This Row],[Age]]&gt;44,"45+",IF(data[[#This Row],[Age]]&lt;18,"below 18 ")))))</f>
        <v>25-34</v>
      </c>
    </row>
    <row r="998" spans="1:31" x14ac:dyDescent="0.25">
      <c r="A998" t="s">
        <v>1051</v>
      </c>
      <c r="B998">
        <v>41</v>
      </c>
      <c r="C998" t="s">
        <v>31</v>
      </c>
      <c r="D998" t="s">
        <v>39</v>
      </c>
      <c r="E998" t="s">
        <v>33</v>
      </c>
      <c r="F998" t="s">
        <v>34</v>
      </c>
      <c r="G998">
        <v>4.7</v>
      </c>
      <c r="H998">
        <v>3</v>
      </c>
      <c r="I998">
        <v>5</v>
      </c>
      <c r="J998" t="s">
        <v>42</v>
      </c>
      <c r="K998" t="s">
        <v>36</v>
      </c>
      <c r="L998">
        <v>117</v>
      </c>
      <c r="M998">
        <v>4.2</v>
      </c>
      <c r="N998">
        <v>5.8</v>
      </c>
      <c r="O998">
        <v>2.1</v>
      </c>
      <c r="P998">
        <v>5.2</v>
      </c>
      <c r="Q998" t="s">
        <v>35</v>
      </c>
      <c r="R998" t="s">
        <v>42</v>
      </c>
      <c r="S998">
        <v>4</v>
      </c>
      <c r="T998">
        <v>2.9</v>
      </c>
      <c r="V998">
        <v>6.7</v>
      </c>
      <c r="W998">
        <v>8</v>
      </c>
      <c r="X998">
        <v>6.9</v>
      </c>
      <c r="Y998">
        <v>6.7</v>
      </c>
      <c r="Z998">
        <v>3.6</v>
      </c>
      <c r="AA998">
        <v>5.0999999999999996</v>
      </c>
      <c r="AB998">
        <v>2.7</v>
      </c>
      <c r="AC998">
        <v>5.6</v>
      </c>
      <c r="AD998" t="s">
        <v>45</v>
      </c>
      <c r="AE998" t="str">
        <f>IF(AND(data[[#This Row],[Age]]&gt;=18,data[[#This Row],[Age]]&lt;=24),"18-24",IF(AND(data[[#This Row],[Age]]&gt;=25,data[[#This Row],[Age]]&lt;=34),"25-34",IF(AND(data[[#This Row],[Age]]&gt;35,data[[#This Row],[Age]]&lt;=44),"35-44",IF(data[[#This Row],[Age]]&gt;44,"45+",IF(data[[#This Row],[Age]]&lt;18,"below 18 ")))))</f>
        <v>35-44</v>
      </c>
    </row>
    <row r="999" spans="1:31" x14ac:dyDescent="0.25">
      <c r="A999" t="s">
        <v>1052</v>
      </c>
      <c r="B999">
        <v>34</v>
      </c>
      <c r="C999" t="s">
        <v>47</v>
      </c>
      <c r="D999" t="s">
        <v>39</v>
      </c>
      <c r="E999" t="s">
        <v>33</v>
      </c>
      <c r="F999" t="s">
        <v>59</v>
      </c>
      <c r="G999">
        <v>8</v>
      </c>
      <c r="H999">
        <v>2</v>
      </c>
      <c r="I999">
        <v>4</v>
      </c>
      <c r="J999" t="s">
        <v>35</v>
      </c>
      <c r="K999" t="s">
        <v>52</v>
      </c>
      <c r="L999">
        <v>71</v>
      </c>
      <c r="M999">
        <v>10</v>
      </c>
      <c r="N999">
        <v>4.4000000000000004</v>
      </c>
      <c r="P999">
        <v>3.8</v>
      </c>
      <c r="Q999" t="s">
        <v>35</v>
      </c>
      <c r="R999" t="s">
        <v>42</v>
      </c>
      <c r="S999">
        <v>6.8</v>
      </c>
      <c r="T999">
        <v>3.7</v>
      </c>
      <c r="U999">
        <v>2.4</v>
      </c>
      <c r="V999">
        <v>6</v>
      </c>
      <c r="W999">
        <v>6.3</v>
      </c>
      <c r="X999">
        <v>6.6</v>
      </c>
      <c r="Y999">
        <v>6.7</v>
      </c>
      <c r="Z999">
        <v>2.9</v>
      </c>
      <c r="AA999">
        <v>2.5</v>
      </c>
      <c r="AB999">
        <v>4.8</v>
      </c>
      <c r="AC999">
        <v>5.5</v>
      </c>
      <c r="AD999" t="s">
        <v>45</v>
      </c>
      <c r="AE999" t="str">
        <f>IF(AND(data[[#This Row],[Age]]&gt;=18,data[[#This Row],[Age]]&lt;=24),"18-24",IF(AND(data[[#This Row],[Age]]&gt;=25,data[[#This Row],[Age]]&lt;=34),"25-34",IF(AND(data[[#This Row],[Age]]&gt;35,data[[#This Row],[Age]]&lt;=44),"35-44",IF(data[[#This Row],[Age]]&gt;44,"45+",IF(data[[#This Row],[Age]]&lt;18,"below 18 ")))))</f>
        <v>25-34</v>
      </c>
    </row>
    <row r="1000" spans="1:31" x14ac:dyDescent="0.25">
      <c r="A1000" t="s">
        <v>1053</v>
      </c>
      <c r="B1000">
        <v>33</v>
      </c>
      <c r="C1000" t="s">
        <v>31</v>
      </c>
      <c r="D1000" t="s">
        <v>32</v>
      </c>
      <c r="E1000" t="s">
        <v>33</v>
      </c>
      <c r="F1000" t="s">
        <v>41</v>
      </c>
      <c r="G1000">
        <v>8.1999999999999993</v>
      </c>
      <c r="H1000">
        <v>1</v>
      </c>
      <c r="I1000">
        <v>7</v>
      </c>
      <c r="K1000" t="s">
        <v>36</v>
      </c>
      <c r="L1000">
        <v>107</v>
      </c>
      <c r="M1000">
        <v>3.3</v>
      </c>
      <c r="N1000">
        <v>8.1</v>
      </c>
      <c r="O1000">
        <v>7</v>
      </c>
      <c r="P1000">
        <v>7.2</v>
      </c>
      <c r="Q1000" t="s">
        <v>42</v>
      </c>
      <c r="R1000" t="s">
        <v>35</v>
      </c>
      <c r="S1000">
        <v>5.3</v>
      </c>
      <c r="T1000">
        <v>1.6</v>
      </c>
      <c r="U1000">
        <v>5.2</v>
      </c>
      <c r="V1000">
        <v>3.5</v>
      </c>
      <c r="W1000">
        <v>5.5</v>
      </c>
      <c r="X1000">
        <v>7.5</v>
      </c>
      <c r="Y1000">
        <v>0.6</v>
      </c>
      <c r="Z1000">
        <v>5.3</v>
      </c>
      <c r="AA1000">
        <v>2.1</v>
      </c>
      <c r="AB1000">
        <v>1.5</v>
      </c>
      <c r="AC1000">
        <v>5.0999999999999996</v>
      </c>
      <c r="AD1000" t="s">
        <v>43</v>
      </c>
      <c r="AE1000" t="str">
        <f>IF(AND(data[[#This Row],[Age]]&gt;=18,data[[#This Row],[Age]]&lt;=24),"18-24",IF(AND(data[[#This Row],[Age]]&gt;=25,data[[#This Row],[Age]]&lt;=34),"25-34",IF(AND(data[[#This Row],[Age]]&gt;35,data[[#This Row],[Age]]&lt;=44),"35-44",IF(data[[#This Row],[Age]]&gt;44,"45+",IF(data[[#This Row],[Age]]&lt;18,"below 18 ")))))</f>
        <v>25-34</v>
      </c>
    </row>
    <row r="1001" spans="1:31" x14ac:dyDescent="0.25">
      <c r="A1001" t="s">
        <v>1054</v>
      </c>
      <c r="B1001">
        <v>27</v>
      </c>
      <c r="C1001" t="s">
        <v>47</v>
      </c>
      <c r="D1001" t="s">
        <v>32</v>
      </c>
      <c r="E1001" t="s">
        <v>58</v>
      </c>
      <c r="F1001" t="s">
        <v>59</v>
      </c>
      <c r="G1001">
        <v>6.5</v>
      </c>
      <c r="H1001">
        <v>6</v>
      </c>
      <c r="I1001">
        <v>5</v>
      </c>
      <c r="J1001" t="s">
        <v>42</v>
      </c>
      <c r="K1001" t="s">
        <v>62</v>
      </c>
      <c r="L1001">
        <v>91</v>
      </c>
      <c r="M1001">
        <v>5.4</v>
      </c>
      <c r="N1001">
        <v>5.5</v>
      </c>
      <c r="O1001">
        <v>1.6</v>
      </c>
      <c r="P1001">
        <v>7.5</v>
      </c>
      <c r="Q1001" t="s">
        <v>35</v>
      </c>
      <c r="R1001" t="s">
        <v>42</v>
      </c>
      <c r="S1001">
        <v>7.4</v>
      </c>
      <c r="T1001">
        <v>10</v>
      </c>
      <c r="U1001">
        <v>4.4000000000000004</v>
      </c>
      <c r="V1001">
        <v>3.2</v>
      </c>
      <c r="W1001">
        <v>4</v>
      </c>
      <c r="X1001">
        <v>8</v>
      </c>
      <c r="Y1001">
        <v>4</v>
      </c>
      <c r="Z1001">
        <v>5</v>
      </c>
      <c r="AA1001">
        <v>0.9</v>
      </c>
      <c r="AB1001">
        <v>2.2999999999999998</v>
      </c>
      <c r="AC1001">
        <v>5</v>
      </c>
      <c r="AD1001" t="s">
        <v>45</v>
      </c>
      <c r="AE1001" t="str">
        <f>IF(AND(data[[#This Row],[Age]]&gt;=18,data[[#This Row],[Age]]&lt;=24),"18-24",IF(AND(data[[#This Row],[Age]]&gt;=25,data[[#This Row],[Age]]&lt;=34),"25-34",IF(AND(data[[#This Row],[Age]]&gt;35,data[[#This Row],[Age]]&lt;=44),"35-44",IF(data[[#This Row],[Age]]&gt;44,"45+",IF(data[[#This Row],[Age]]&lt;18,"below 18 ")))))</f>
        <v>25-34</v>
      </c>
    </row>
    <row r="1002" spans="1:31" x14ac:dyDescent="0.25">
      <c r="A1002" t="s">
        <v>1055</v>
      </c>
      <c r="B1002">
        <v>33</v>
      </c>
      <c r="C1002" t="s">
        <v>47</v>
      </c>
      <c r="D1002" t="s">
        <v>32</v>
      </c>
      <c r="E1002" t="s">
        <v>33</v>
      </c>
      <c r="F1002" t="s">
        <v>41</v>
      </c>
      <c r="G1002">
        <v>3.3</v>
      </c>
      <c r="H1002">
        <v>3</v>
      </c>
      <c r="I1002">
        <v>3</v>
      </c>
      <c r="J1002" t="s">
        <v>35</v>
      </c>
      <c r="K1002" t="s">
        <v>36</v>
      </c>
      <c r="L1002">
        <v>81</v>
      </c>
      <c r="M1002">
        <v>5.0999999999999996</v>
      </c>
      <c r="N1002">
        <v>4.9000000000000004</v>
      </c>
      <c r="O1002">
        <v>6.1</v>
      </c>
      <c r="P1002">
        <v>6.3</v>
      </c>
      <c r="Q1002" t="s">
        <v>35</v>
      </c>
      <c r="R1002" t="s">
        <v>42</v>
      </c>
      <c r="S1002">
        <v>6.3</v>
      </c>
      <c r="T1002">
        <v>2.8</v>
      </c>
      <c r="U1002">
        <v>3.6</v>
      </c>
      <c r="V1002">
        <v>5.4</v>
      </c>
      <c r="W1002">
        <v>7</v>
      </c>
      <c r="X1002">
        <v>5.2</v>
      </c>
      <c r="Y1002">
        <v>2.2999999999999998</v>
      </c>
      <c r="Z1002">
        <v>2.2999999999999998</v>
      </c>
      <c r="AB1002">
        <v>1.9</v>
      </c>
      <c r="AC1002">
        <v>6.5</v>
      </c>
      <c r="AD1002" t="s">
        <v>45</v>
      </c>
      <c r="AE1002" t="str">
        <f>IF(AND(data[[#This Row],[Age]]&gt;=18,data[[#This Row],[Age]]&lt;=24),"18-24",IF(AND(data[[#This Row],[Age]]&gt;=25,data[[#This Row],[Age]]&lt;=34),"25-34",IF(AND(data[[#This Row],[Age]]&gt;35,data[[#This Row],[Age]]&lt;=44),"35-44",IF(data[[#This Row],[Age]]&gt;44,"45+",IF(data[[#This Row],[Age]]&lt;18,"below 18 ")))))</f>
        <v>25-34</v>
      </c>
    </row>
    <row r="1003" spans="1:31" x14ac:dyDescent="0.25">
      <c r="A1003" t="s">
        <v>1056</v>
      </c>
      <c r="B1003">
        <v>40</v>
      </c>
      <c r="C1003" t="s">
        <v>31</v>
      </c>
      <c r="D1003" t="s">
        <v>32</v>
      </c>
      <c r="E1003" t="s">
        <v>33</v>
      </c>
      <c r="F1003" t="s">
        <v>48</v>
      </c>
      <c r="G1003">
        <v>5.3</v>
      </c>
      <c r="H1003">
        <v>1</v>
      </c>
      <c r="I1003">
        <v>3</v>
      </c>
      <c r="J1003" t="s">
        <v>35</v>
      </c>
      <c r="K1003" t="s">
        <v>52</v>
      </c>
      <c r="L1003">
        <v>69</v>
      </c>
      <c r="M1003">
        <v>1.3</v>
      </c>
      <c r="N1003">
        <v>8</v>
      </c>
      <c r="O1003">
        <v>6.5</v>
      </c>
      <c r="P1003">
        <v>5.8</v>
      </c>
      <c r="Q1003" t="s">
        <v>42</v>
      </c>
      <c r="R1003" t="s">
        <v>35</v>
      </c>
      <c r="S1003">
        <v>3.4</v>
      </c>
      <c r="T1003">
        <v>5.7</v>
      </c>
      <c r="U1003">
        <v>7.1</v>
      </c>
      <c r="V1003">
        <v>3.1</v>
      </c>
      <c r="W1003">
        <v>3.6</v>
      </c>
      <c r="X1003">
        <v>6.7</v>
      </c>
      <c r="Y1003">
        <v>4.8</v>
      </c>
      <c r="Z1003">
        <v>3.9</v>
      </c>
      <c r="AA1003">
        <v>2.4</v>
      </c>
      <c r="AB1003">
        <v>1.6</v>
      </c>
      <c r="AC1003">
        <v>6.3</v>
      </c>
      <c r="AD1003" t="s">
        <v>53</v>
      </c>
      <c r="AE1003" t="str">
        <f>IF(AND(data[[#This Row],[Age]]&gt;=18,data[[#This Row],[Age]]&lt;=24),"18-24",IF(AND(data[[#This Row],[Age]]&gt;=25,data[[#This Row],[Age]]&lt;=34),"25-34",IF(AND(data[[#This Row],[Age]]&gt;35,data[[#This Row],[Age]]&lt;=44),"35-44",IF(data[[#This Row],[Age]]&gt;44,"45+",IF(data[[#This Row],[Age]]&lt;18,"below 18 ")))))</f>
        <v>35-44</v>
      </c>
    </row>
    <row r="1004" spans="1:31" x14ac:dyDescent="0.25">
      <c r="A1004" t="s">
        <v>1057</v>
      </c>
      <c r="B1004">
        <v>15</v>
      </c>
      <c r="C1004" t="s">
        <v>47</v>
      </c>
      <c r="D1004" t="s">
        <v>39</v>
      </c>
      <c r="E1004" t="s">
        <v>33</v>
      </c>
      <c r="F1004" t="s">
        <v>51</v>
      </c>
      <c r="G1004">
        <v>2.4</v>
      </c>
      <c r="H1004">
        <v>2</v>
      </c>
      <c r="I1004">
        <v>1</v>
      </c>
      <c r="J1004" t="s">
        <v>42</v>
      </c>
      <c r="K1004" t="s">
        <v>62</v>
      </c>
      <c r="L1004">
        <v>5</v>
      </c>
      <c r="M1004">
        <v>4.8</v>
      </c>
      <c r="N1004">
        <v>6.4</v>
      </c>
      <c r="O1004">
        <v>5.4</v>
      </c>
      <c r="P1004">
        <v>5.5</v>
      </c>
      <c r="Q1004" t="s">
        <v>42</v>
      </c>
      <c r="R1004" t="s">
        <v>35</v>
      </c>
      <c r="S1004">
        <v>3.5</v>
      </c>
      <c r="T1004">
        <v>0.7</v>
      </c>
      <c r="U1004">
        <v>10</v>
      </c>
      <c r="V1004">
        <v>4.5999999999999996</v>
      </c>
      <c r="W1004">
        <v>4.5</v>
      </c>
      <c r="X1004">
        <v>7</v>
      </c>
      <c r="Y1004">
        <v>5</v>
      </c>
      <c r="AA1004">
        <v>4.9000000000000004</v>
      </c>
      <c r="AB1004">
        <v>3.7</v>
      </c>
      <c r="AC1004">
        <v>7.3</v>
      </c>
      <c r="AD1004" t="s">
        <v>37</v>
      </c>
      <c r="AE1004" t="str">
        <f>IF(AND(data[[#This Row],[Age]]&gt;=18,data[[#This Row],[Age]]&lt;=24),"18-24",IF(AND(data[[#This Row],[Age]]&gt;=25,data[[#This Row],[Age]]&lt;=34),"25-34",IF(AND(data[[#This Row],[Age]]&gt;35,data[[#This Row],[Age]]&lt;=44),"35-44",IF(data[[#This Row],[Age]]&gt;44,"45+",IF(data[[#This Row],[Age]]&lt;18,"below 18 ")))))</f>
        <v xml:space="preserve">below 18 </v>
      </c>
    </row>
    <row r="1005" spans="1:31" x14ac:dyDescent="0.25">
      <c r="A1005" t="s">
        <v>1058</v>
      </c>
      <c r="B1005">
        <v>40</v>
      </c>
      <c r="C1005" t="s">
        <v>47</v>
      </c>
      <c r="E1005" t="s">
        <v>40</v>
      </c>
      <c r="F1005" t="s">
        <v>51</v>
      </c>
      <c r="G1005">
        <v>7.7</v>
      </c>
      <c r="H1005">
        <v>4</v>
      </c>
      <c r="I1005">
        <v>5</v>
      </c>
      <c r="J1005" t="s">
        <v>42</v>
      </c>
      <c r="K1005" t="s">
        <v>36</v>
      </c>
      <c r="L1005">
        <v>47</v>
      </c>
      <c r="M1005">
        <v>6.7</v>
      </c>
      <c r="N1005">
        <v>8.9</v>
      </c>
      <c r="O1005">
        <v>8.6999999999999993</v>
      </c>
      <c r="P1005">
        <v>5.8</v>
      </c>
      <c r="Q1005" t="s">
        <v>35</v>
      </c>
      <c r="R1005" t="s">
        <v>35</v>
      </c>
      <c r="T1005">
        <v>3.5</v>
      </c>
      <c r="U1005">
        <v>2.5</v>
      </c>
      <c r="V1005">
        <v>6.3</v>
      </c>
      <c r="W1005">
        <v>1.6</v>
      </c>
      <c r="X1005">
        <v>6.7</v>
      </c>
      <c r="Y1005">
        <v>6</v>
      </c>
      <c r="AA1005">
        <v>2.2999999999999998</v>
      </c>
      <c r="AB1005">
        <v>5.4</v>
      </c>
      <c r="AC1005">
        <v>3.3</v>
      </c>
      <c r="AD1005" t="s">
        <v>43</v>
      </c>
      <c r="AE1005" t="str">
        <f>IF(AND(data[[#This Row],[Age]]&gt;=18,data[[#This Row],[Age]]&lt;=24),"18-24",IF(AND(data[[#This Row],[Age]]&gt;=25,data[[#This Row],[Age]]&lt;=34),"25-34",IF(AND(data[[#This Row],[Age]]&gt;35,data[[#This Row],[Age]]&lt;=44),"35-44",IF(data[[#This Row],[Age]]&gt;44,"45+",IF(data[[#This Row],[Age]]&lt;18,"below 18 ")))))</f>
        <v>35-44</v>
      </c>
    </row>
    <row r="1006" spans="1:31" x14ac:dyDescent="0.25">
      <c r="A1006" t="s">
        <v>1059</v>
      </c>
      <c r="B1006">
        <v>27</v>
      </c>
      <c r="C1006" t="s">
        <v>31</v>
      </c>
      <c r="D1006" t="s">
        <v>32</v>
      </c>
      <c r="E1006" t="s">
        <v>58</v>
      </c>
      <c r="F1006" t="s">
        <v>41</v>
      </c>
      <c r="G1006">
        <v>5.2</v>
      </c>
      <c r="H1006">
        <v>1</v>
      </c>
      <c r="I1006">
        <v>3</v>
      </c>
      <c r="J1006" t="s">
        <v>42</v>
      </c>
      <c r="K1006" t="s">
        <v>52</v>
      </c>
      <c r="L1006">
        <v>155</v>
      </c>
      <c r="M1006">
        <v>9</v>
      </c>
      <c r="N1006">
        <v>3.5</v>
      </c>
      <c r="P1006">
        <v>3.3</v>
      </c>
      <c r="Q1006" t="s">
        <v>42</v>
      </c>
      <c r="R1006" t="s">
        <v>42</v>
      </c>
      <c r="S1006">
        <v>2.1</v>
      </c>
      <c r="T1006">
        <v>5.0999999999999996</v>
      </c>
      <c r="U1006">
        <v>1.5</v>
      </c>
      <c r="V1006">
        <v>10</v>
      </c>
      <c r="W1006">
        <v>3.3</v>
      </c>
      <c r="X1006">
        <v>5.5</v>
      </c>
      <c r="Y1006">
        <v>3.9</v>
      </c>
      <c r="Z1006">
        <v>4.7</v>
      </c>
      <c r="AB1006">
        <v>2.2999999999999998</v>
      </c>
      <c r="AC1006">
        <v>5.5</v>
      </c>
      <c r="AD1006" t="s">
        <v>45</v>
      </c>
      <c r="AE1006" t="str">
        <f>IF(AND(data[[#This Row],[Age]]&gt;=18,data[[#This Row],[Age]]&lt;=24),"18-24",IF(AND(data[[#This Row],[Age]]&gt;=25,data[[#This Row],[Age]]&lt;=34),"25-34",IF(AND(data[[#This Row],[Age]]&gt;35,data[[#This Row],[Age]]&lt;=44),"35-44",IF(data[[#This Row],[Age]]&gt;44,"45+",IF(data[[#This Row],[Age]]&lt;18,"below 18 ")))))</f>
        <v>25-34</v>
      </c>
    </row>
    <row r="1007" spans="1:31" x14ac:dyDescent="0.25">
      <c r="A1007" t="s">
        <v>1060</v>
      </c>
      <c r="B1007">
        <v>28</v>
      </c>
      <c r="C1007" t="s">
        <v>47</v>
      </c>
      <c r="D1007" t="s">
        <v>39</v>
      </c>
      <c r="E1007" t="s">
        <v>58</v>
      </c>
      <c r="F1007" t="s">
        <v>41</v>
      </c>
      <c r="G1007">
        <v>7.5</v>
      </c>
      <c r="H1007">
        <v>2</v>
      </c>
      <c r="I1007">
        <v>6</v>
      </c>
      <c r="J1007" t="s">
        <v>42</v>
      </c>
      <c r="K1007" t="s">
        <v>36</v>
      </c>
      <c r="L1007">
        <v>26</v>
      </c>
      <c r="M1007">
        <v>4.9000000000000004</v>
      </c>
      <c r="N1007">
        <v>6.5</v>
      </c>
      <c r="O1007">
        <v>6.7</v>
      </c>
      <c r="P1007">
        <v>4.5999999999999996</v>
      </c>
      <c r="Q1007" t="s">
        <v>42</v>
      </c>
      <c r="R1007" t="s">
        <v>35</v>
      </c>
      <c r="S1007">
        <v>9.1</v>
      </c>
      <c r="T1007">
        <v>3.5</v>
      </c>
      <c r="U1007">
        <v>7.8</v>
      </c>
      <c r="V1007">
        <v>7.2</v>
      </c>
      <c r="W1007">
        <v>7.1</v>
      </c>
      <c r="X1007">
        <v>5.8</v>
      </c>
      <c r="Y1007">
        <v>2.4</v>
      </c>
      <c r="Z1007">
        <v>4.5</v>
      </c>
      <c r="AA1007">
        <v>3.3</v>
      </c>
      <c r="AB1007">
        <v>3.1</v>
      </c>
      <c r="AC1007">
        <v>6.2</v>
      </c>
      <c r="AD1007" t="s">
        <v>43</v>
      </c>
      <c r="AE1007" t="str">
        <f>IF(AND(data[[#This Row],[Age]]&gt;=18,data[[#This Row],[Age]]&lt;=24),"18-24",IF(AND(data[[#This Row],[Age]]&gt;=25,data[[#This Row],[Age]]&lt;=34),"25-34",IF(AND(data[[#This Row],[Age]]&gt;35,data[[#This Row],[Age]]&lt;=44),"35-44",IF(data[[#This Row],[Age]]&gt;44,"45+",IF(data[[#This Row],[Age]]&lt;18,"below 18 ")))))</f>
        <v>25-34</v>
      </c>
    </row>
    <row r="1008" spans="1:31" x14ac:dyDescent="0.25">
      <c r="A1008" t="s">
        <v>1061</v>
      </c>
      <c r="B1008">
        <v>36</v>
      </c>
      <c r="C1008" t="s">
        <v>47</v>
      </c>
      <c r="D1008" t="s">
        <v>32</v>
      </c>
      <c r="E1008" t="s">
        <v>58</v>
      </c>
      <c r="F1008" t="s">
        <v>41</v>
      </c>
      <c r="G1008">
        <v>0.5</v>
      </c>
      <c r="H1008">
        <v>3</v>
      </c>
      <c r="I1008">
        <v>2</v>
      </c>
      <c r="J1008" t="s">
        <v>42</v>
      </c>
      <c r="K1008" t="s">
        <v>36</v>
      </c>
      <c r="L1008">
        <v>76</v>
      </c>
      <c r="M1008">
        <v>2.7</v>
      </c>
      <c r="N1008">
        <v>3.7</v>
      </c>
      <c r="P1008">
        <v>5.0999999999999996</v>
      </c>
      <c r="Q1008" t="s">
        <v>42</v>
      </c>
      <c r="R1008" t="s">
        <v>42</v>
      </c>
      <c r="S1008">
        <v>0.7</v>
      </c>
      <c r="T1008">
        <v>5.9</v>
      </c>
      <c r="U1008">
        <v>8.4</v>
      </c>
      <c r="V1008">
        <v>7.3</v>
      </c>
      <c r="W1008">
        <v>7.8</v>
      </c>
      <c r="X1008">
        <v>4.0999999999999996</v>
      </c>
      <c r="Y1008">
        <v>3.9</v>
      </c>
      <c r="Z1008">
        <v>3</v>
      </c>
      <c r="AA1008">
        <v>1.3</v>
      </c>
      <c r="AC1008">
        <v>8.1</v>
      </c>
      <c r="AD1008" t="s">
        <v>37</v>
      </c>
      <c r="AE1008" t="str">
        <f>IF(AND(data[[#This Row],[Age]]&gt;=18,data[[#This Row],[Age]]&lt;=24),"18-24",IF(AND(data[[#This Row],[Age]]&gt;=25,data[[#This Row],[Age]]&lt;=34),"25-34",IF(AND(data[[#This Row],[Age]]&gt;35,data[[#This Row],[Age]]&lt;=44),"35-44",IF(data[[#This Row],[Age]]&gt;44,"45+",IF(data[[#This Row],[Age]]&lt;18,"below 18 ")))))</f>
        <v>35-44</v>
      </c>
    </row>
    <row r="1009" spans="1:31" x14ac:dyDescent="0.25">
      <c r="A1009" t="s">
        <v>1062</v>
      </c>
      <c r="B1009">
        <v>31</v>
      </c>
      <c r="C1009" t="s">
        <v>50</v>
      </c>
      <c r="D1009" t="s">
        <v>32</v>
      </c>
      <c r="E1009" t="s">
        <v>40</v>
      </c>
      <c r="F1009" t="s">
        <v>34</v>
      </c>
      <c r="G1009">
        <v>3.2</v>
      </c>
      <c r="H1009">
        <v>4</v>
      </c>
      <c r="I1009">
        <v>1</v>
      </c>
      <c r="J1009" t="s">
        <v>42</v>
      </c>
      <c r="K1009" t="s">
        <v>36</v>
      </c>
      <c r="L1009">
        <v>67</v>
      </c>
      <c r="M1009">
        <v>5</v>
      </c>
      <c r="N1009">
        <v>7.9</v>
      </c>
      <c r="O1009">
        <v>3.2</v>
      </c>
      <c r="P1009">
        <v>5.6</v>
      </c>
      <c r="Q1009" t="s">
        <v>42</v>
      </c>
      <c r="R1009" t="s">
        <v>35</v>
      </c>
      <c r="T1009">
        <v>10</v>
      </c>
      <c r="U1009">
        <v>5.6</v>
      </c>
      <c r="V1009">
        <v>6.3</v>
      </c>
      <c r="W1009">
        <v>3</v>
      </c>
      <c r="X1009">
        <v>6.9</v>
      </c>
      <c r="Y1009">
        <v>4.5999999999999996</v>
      </c>
      <c r="Z1009">
        <v>5.5</v>
      </c>
      <c r="AA1009">
        <v>2.5</v>
      </c>
      <c r="AB1009">
        <v>3.3</v>
      </c>
      <c r="AC1009">
        <v>4.7</v>
      </c>
      <c r="AD1009" t="s">
        <v>45</v>
      </c>
      <c r="AE1009" t="str">
        <f>IF(AND(data[[#This Row],[Age]]&gt;=18,data[[#This Row],[Age]]&lt;=24),"18-24",IF(AND(data[[#This Row],[Age]]&gt;=25,data[[#This Row],[Age]]&lt;=34),"25-34",IF(AND(data[[#This Row],[Age]]&gt;35,data[[#This Row],[Age]]&lt;=44),"35-44",IF(data[[#This Row],[Age]]&gt;44,"45+",IF(data[[#This Row],[Age]]&lt;18,"below 18 ")))))</f>
        <v>25-34</v>
      </c>
    </row>
    <row r="1010" spans="1:31" x14ac:dyDescent="0.25">
      <c r="A1010" t="s">
        <v>1063</v>
      </c>
      <c r="B1010">
        <v>29</v>
      </c>
      <c r="C1010" t="s">
        <v>47</v>
      </c>
      <c r="D1010" t="s">
        <v>64</v>
      </c>
      <c r="E1010" t="s">
        <v>58</v>
      </c>
      <c r="F1010" t="s">
        <v>34</v>
      </c>
      <c r="G1010">
        <v>3.3</v>
      </c>
      <c r="H1010">
        <v>1</v>
      </c>
      <c r="I1010">
        <v>2</v>
      </c>
      <c r="J1010" t="s">
        <v>35</v>
      </c>
      <c r="K1010" t="s">
        <v>36</v>
      </c>
      <c r="L1010">
        <v>52</v>
      </c>
      <c r="M1010">
        <v>4.4000000000000004</v>
      </c>
      <c r="N1010">
        <v>5.7</v>
      </c>
      <c r="O1010">
        <v>4.7</v>
      </c>
      <c r="P1010">
        <v>7.6</v>
      </c>
      <c r="Q1010" t="s">
        <v>42</v>
      </c>
      <c r="R1010" t="s">
        <v>42</v>
      </c>
      <c r="S1010">
        <v>2.7</v>
      </c>
      <c r="T1010">
        <v>6.4</v>
      </c>
      <c r="U1010">
        <v>6.5</v>
      </c>
      <c r="V1010">
        <v>3.9</v>
      </c>
      <c r="W1010">
        <v>8.1</v>
      </c>
      <c r="X1010">
        <v>6.9</v>
      </c>
      <c r="Y1010">
        <v>8.3000000000000007</v>
      </c>
      <c r="Z1010">
        <v>3.2</v>
      </c>
      <c r="AA1010">
        <v>2.8</v>
      </c>
      <c r="AB1010">
        <v>3.2</v>
      </c>
      <c r="AC1010">
        <v>6.2</v>
      </c>
      <c r="AD1010" t="s">
        <v>45</v>
      </c>
      <c r="AE1010" t="str">
        <f>IF(AND(data[[#This Row],[Age]]&gt;=18,data[[#This Row],[Age]]&lt;=24),"18-24",IF(AND(data[[#This Row],[Age]]&gt;=25,data[[#This Row],[Age]]&lt;=34),"25-34",IF(AND(data[[#This Row],[Age]]&gt;35,data[[#This Row],[Age]]&lt;=44),"35-44",IF(data[[#This Row],[Age]]&gt;44,"45+",IF(data[[#This Row],[Age]]&lt;18,"below 18 ")))))</f>
        <v>25-34</v>
      </c>
    </row>
    <row r="1011" spans="1:31" x14ac:dyDescent="0.25">
      <c r="A1011" t="s">
        <v>1064</v>
      </c>
      <c r="B1011">
        <v>42</v>
      </c>
      <c r="C1011" t="s">
        <v>47</v>
      </c>
      <c r="D1011" t="s">
        <v>32</v>
      </c>
      <c r="E1011" t="s">
        <v>40</v>
      </c>
      <c r="F1011" t="s">
        <v>51</v>
      </c>
      <c r="G1011">
        <v>3.5</v>
      </c>
      <c r="H1011">
        <v>5</v>
      </c>
      <c r="I1011">
        <v>4</v>
      </c>
      <c r="J1011" t="s">
        <v>42</v>
      </c>
      <c r="K1011" t="s">
        <v>36</v>
      </c>
      <c r="L1011">
        <v>67</v>
      </c>
      <c r="M1011">
        <v>4.5</v>
      </c>
      <c r="N1011">
        <v>6.3</v>
      </c>
      <c r="O1011">
        <v>3.5</v>
      </c>
      <c r="P1011">
        <v>8.5</v>
      </c>
      <c r="Q1011" t="s">
        <v>42</v>
      </c>
      <c r="R1011" t="s">
        <v>35</v>
      </c>
      <c r="S1011">
        <v>9.1</v>
      </c>
      <c r="T1011">
        <v>2.5</v>
      </c>
      <c r="U1011">
        <v>4.3</v>
      </c>
      <c r="V1011">
        <v>8</v>
      </c>
      <c r="W1011">
        <v>7.1</v>
      </c>
      <c r="X1011">
        <v>7.8</v>
      </c>
      <c r="Y1011">
        <v>5.6</v>
      </c>
      <c r="Z1011">
        <v>7.1</v>
      </c>
      <c r="AA1011">
        <v>2.7</v>
      </c>
      <c r="AB1011">
        <v>5.4</v>
      </c>
      <c r="AC1011">
        <v>5.8</v>
      </c>
      <c r="AD1011" t="s">
        <v>45</v>
      </c>
      <c r="AE1011" t="str">
        <f>IF(AND(data[[#This Row],[Age]]&gt;=18,data[[#This Row],[Age]]&lt;=24),"18-24",IF(AND(data[[#This Row],[Age]]&gt;=25,data[[#This Row],[Age]]&lt;=34),"25-34",IF(AND(data[[#This Row],[Age]]&gt;35,data[[#This Row],[Age]]&lt;=44),"35-44",IF(data[[#This Row],[Age]]&gt;44,"45+",IF(data[[#This Row],[Age]]&lt;18,"below 18 ")))))</f>
        <v>35-44</v>
      </c>
    </row>
    <row r="1012" spans="1:31" x14ac:dyDescent="0.25">
      <c r="A1012" t="s">
        <v>1065</v>
      </c>
      <c r="B1012">
        <v>43</v>
      </c>
      <c r="C1012" t="s">
        <v>47</v>
      </c>
      <c r="D1012" t="s">
        <v>39</v>
      </c>
      <c r="E1012" t="s">
        <v>40</v>
      </c>
      <c r="F1012" t="s">
        <v>70</v>
      </c>
      <c r="G1012">
        <v>1.7</v>
      </c>
      <c r="H1012">
        <v>4</v>
      </c>
      <c r="I1012">
        <v>5</v>
      </c>
      <c r="J1012" t="s">
        <v>42</v>
      </c>
      <c r="K1012" t="s">
        <v>36</v>
      </c>
      <c r="L1012">
        <v>57</v>
      </c>
      <c r="M1012">
        <v>2.2000000000000002</v>
      </c>
      <c r="N1012">
        <v>4.7</v>
      </c>
      <c r="O1012">
        <v>5.6</v>
      </c>
      <c r="P1012">
        <v>2.6</v>
      </c>
      <c r="Q1012" t="s">
        <v>35</v>
      </c>
      <c r="R1012" t="s">
        <v>35</v>
      </c>
      <c r="S1012">
        <v>6</v>
      </c>
      <c r="T1012">
        <v>4.4000000000000004</v>
      </c>
      <c r="U1012">
        <v>5.8</v>
      </c>
      <c r="V1012">
        <v>4.3</v>
      </c>
      <c r="W1012">
        <v>6.3</v>
      </c>
      <c r="X1012">
        <v>4.4000000000000004</v>
      </c>
      <c r="Y1012">
        <v>6.2</v>
      </c>
      <c r="Z1012">
        <v>4.2</v>
      </c>
      <c r="AA1012">
        <v>1.6</v>
      </c>
      <c r="AB1012">
        <v>5.2</v>
      </c>
      <c r="AC1012">
        <v>7.1</v>
      </c>
      <c r="AD1012" t="s">
        <v>53</v>
      </c>
      <c r="AE1012" t="str">
        <f>IF(AND(data[[#This Row],[Age]]&gt;=18,data[[#This Row],[Age]]&lt;=24),"18-24",IF(AND(data[[#This Row],[Age]]&gt;=25,data[[#This Row],[Age]]&lt;=34),"25-34",IF(AND(data[[#This Row],[Age]]&gt;35,data[[#This Row],[Age]]&lt;=44),"35-44",IF(data[[#This Row],[Age]]&gt;44,"45+",IF(data[[#This Row],[Age]]&lt;18,"below 18 ")))))</f>
        <v>35-44</v>
      </c>
    </row>
    <row r="1013" spans="1:31" x14ac:dyDescent="0.25">
      <c r="A1013" t="s">
        <v>1066</v>
      </c>
      <c r="B1013">
        <v>33</v>
      </c>
      <c r="C1013" t="s">
        <v>31</v>
      </c>
      <c r="D1013" t="s">
        <v>32</v>
      </c>
      <c r="E1013" t="s">
        <v>33</v>
      </c>
      <c r="F1013" t="s">
        <v>41</v>
      </c>
      <c r="G1013">
        <v>5.4</v>
      </c>
      <c r="H1013">
        <v>1</v>
      </c>
      <c r="I1013">
        <v>7</v>
      </c>
      <c r="J1013" t="s">
        <v>35</v>
      </c>
      <c r="K1013" t="s">
        <v>36</v>
      </c>
      <c r="L1013">
        <v>78</v>
      </c>
      <c r="M1013">
        <v>6.3</v>
      </c>
      <c r="N1013">
        <v>1.9</v>
      </c>
      <c r="O1013">
        <v>7.2</v>
      </c>
      <c r="P1013">
        <v>7.5</v>
      </c>
      <c r="Q1013" t="s">
        <v>42</v>
      </c>
      <c r="R1013" t="s">
        <v>42</v>
      </c>
      <c r="S1013">
        <v>3.5</v>
      </c>
      <c r="T1013">
        <v>0</v>
      </c>
      <c r="U1013">
        <v>3.6</v>
      </c>
      <c r="V1013">
        <v>6.6</v>
      </c>
      <c r="W1013">
        <v>3.3</v>
      </c>
      <c r="X1013">
        <v>3.7</v>
      </c>
      <c r="Y1013">
        <v>6.9</v>
      </c>
      <c r="Z1013">
        <v>5.2</v>
      </c>
      <c r="AA1013">
        <v>1.8</v>
      </c>
      <c r="AB1013">
        <v>2</v>
      </c>
      <c r="AC1013">
        <v>5.6</v>
      </c>
      <c r="AD1013" t="s">
        <v>43</v>
      </c>
      <c r="AE1013" t="str">
        <f>IF(AND(data[[#This Row],[Age]]&gt;=18,data[[#This Row],[Age]]&lt;=24),"18-24",IF(AND(data[[#This Row],[Age]]&gt;=25,data[[#This Row],[Age]]&lt;=34),"25-34",IF(AND(data[[#This Row],[Age]]&gt;35,data[[#This Row],[Age]]&lt;=44),"35-44",IF(data[[#This Row],[Age]]&gt;44,"45+",IF(data[[#This Row],[Age]]&lt;18,"below 18 ")))))</f>
        <v>25-34</v>
      </c>
    </row>
    <row r="1014" spans="1:31" x14ac:dyDescent="0.25">
      <c r="A1014" t="s">
        <v>1067</v>
      </c>
      <c r="B1014">
        <v>30</v>
      </c>
      <c r="C1014" t="s">
        <v>31</v>
      </c>
      <c r="D1014" t="s">
        <v>39</v>
      </c>
      <c r="E1014" t="s">
        <v>33</v>
      </c>
      <c r="F1014" t="s">
        <v>51</v>
      </c>
      <c r="G1014">
        <v>2.5</v>
      </c>
      <c r="H1014">
        <v>1</v>
      </c>
      <c r="I1014">
        <v>3</v>
      </c>
      <c r="J1014" t="s">
        <v>42</v>
      </c>
      <c r="K1014" t="s">
        <v>62</v>
      </c>
      <c r="L1014">
        <v>128</v>
      </c>
      <c r="M1014">
        <v>2.6</v>
      </c>
      <c r="N1014">
        <v>8.6</v>
      </c>
      <c r="O1014">
        <v>7.7</v>
      </c>
      <c r="P1014">
        <v>6.4</v>
      </c>
      <c r="Q1014" t="s">
        <v>42</v>
      </c>
      <c r="R1014" t="s">
        <v>35</v>
      </c>
      <c r="S1014">
        <v>3</v>
      </c>
      <c r="T1014">
        <v>6.4</v>
      </c>
      <c r="U1014">
        <v>6.6</v>
      </c>
      <c r="V1014">
        <v>6.4</v>
      </c>
      <c r="W1014">
        <v>10</v>
      </c>
      <c r="X1014">
        <v>7.4</v>
      </c>
      <c r="Y1014">
        <v>6.1</v>
      </c>
      <c r="AA1014">
        <v>3.3</v>
      </c>
      <c r="AB1014">
        <v>2.5</v>
      </c>
      <c r="AC1014">
        <v>7.4</v>
      </c>
      <c r="AD1014" t="s">
        <v>53</v>
      </c>
      <c r="AE1014" t="str">
        <f>IF(AND(data[[#This Row],[Age]]&gt;=18,data[[#This Row],[Age]]&lt;=24),"18-24",IF(AND(data[[#This Row],[Age]]&gt;=25,data[[#This Row],[Age]]&lt;=34),"25-34",IF(AND(data[[#This Row],[Age]]&gt;35,data[[#This Row],[Age]]&lt;=44),"35-44",IF(data[[#This Row],[Age]]&gt;44,"45+",IF(data[[#This Row],[Age]]&lt;18,"below 18 ")))))</f>
        <v>25-34</v>
      </c>
    </row>
    <row r="1015" spans="1:31" x14ac:dyDescent="0.25">
      <c r="A1015" t="s">
        <v>1068</v>
      </c>
      <c r="B1015">
        <v>25</v>
      </c>
      <c r="C1015" t="s">
        <v>31</v>
      </c>
      <c r="D1015" t="s">
        <v>32</v>
      </c>
      <c r="E1015" t="s">
        <v>33</v>
      </c>
      <c r="F1015" t="s">
        <v>51</v>
      </c>
      <c r="G1015">
        <v>8.5</v>
      </c>
      <c r="H1015">
        <v>3</v>
      </c>
      <c r="I1015">
        <v>4</v>
      </c>
      <c r="J1015" t="s">
        <v>42</v>
      </c>
      <c r="K1015" t="s">
        <v>36</v>
      </c>
      <c r="L1015">
        <v>62</v>
      </c>
      <c r="M1015">
        <v>8</v>
      </c>
      <c r="N1015">
        <v>4.0999999999999996</v>
      </c>
      <c r="O1015">
        <v>2.6</v>
      </c>
      <c r="P1015">
        <v>6.4</v>
      </c>
      <c r="Q1015" t="s">
        <v>42</v>
      </c>
      <c r="R1015" t="s">
        <v>35</v>
      </c>
      <c r="S1015">
        <v>8.3000000000000007</v>
      </c>
      <c r="T1015">
        <v>3.1</v>
      </c>
      <c r="U1015">
        <v>0.4</v>
      </c>
      <c r="V1015">
        <v>5</v>
      </c>
      <c r="W1015">
        <v>3.9</v>
      </c>
      <c r="X1015">
        <v>7</v>
      </c>
      <c r="Y1015">
        <v>1.9</v>
      </c>
      <c r="Z1015">
        <v>7.3</v>
      </c>
      <c r="AA1015">
        <v>0</v>
      </c>
      <c r="AB1015">
        <v>3.1</v>
      </c>
      <c r="AC1015">
        <v>5.4</v>
      </c>
      <c r="AD1015" t="s">
        <v>45</v>
      </c>
      <c r="AE1015" t="str">
        <f>IF(AND(data[[#This Row],[Age]]&gt;=18,data[[#This Row],[Age]]&lt;=24),"18-24",IF(AND(data[[#This Row],[Age]]&gt;=25,data[[#This Row],[Age]]&lt;=34),"25-34",IF(AND(data[[#This Row],[Age]]&gt;35,data[[#This Row],[Age]]&lt;=44),"35-44",IF(data[[#This Row],[Age]]&gt;44,"45+",IF(data[[#This Row],[Age]]&lt;18,"below 18 ")))))</f>
        <v>25-34</v>
      </c>
    </row>
    <row r="1016" spans="1:31" x14ac:dyDescent="0.25">
      <c r="A1016" t="s">
        <v>1069</v>
      </c>
      <c r="B1016">
        <v>41</v>
      </c>
      <c r="C1016" t="s">
        <v>31</v>
      </c>
      <c r="D1016" t="s">
        <v>64</v>
      </c>
      <c r="E1016" t="s">
        <v>40</v>
      </c>
      <c r="F1016" t="s">
        <v>41</v>
      </c>
      <c r="G1016">
        <v>3.6</v>
      </c>
      <c r="H1016">
        <v>2</v>
      </c>
      <c r="I1016">
        <v>4</v>
      </c>
      <c r="J1016" t="s">
        <v>35</v>
      </c>
      <c r="K1016" t="s">
        <v>36</v>
      </c>
      <c r="L1016">
        <v>44</v>
      </c>
      <c r="M1016">
        <v>6</v>
      </c>
      <c r="N1016">
        <v>8.1999999999999993</v>
      </c>
      <c r="O1016">
        <v>5.0999999999999996</v>
      </c>
      <c r="P1016">
        <v>4.5999999999999996</v>
      </c>
      <c r="Q1016" t="s">
        <v>35</v>
      </c>
      <c r="R1016" t="s">
        <v>42</v>
      </c>
      <c r="S1016">
        <v>5.7</v>
      </c>
      <c r="T1016">
        <v>2.8</v>
      </c>
      <c r="U1016">
        <v>5.4</v>
      </c>
      <c r="V1016">
        <v>8.9</v>
      </c>
      <c r="W1016">
        <v>2.1</v>
      </c>
      <c r="X1016">
        <v>6.1</v>
      </c>
      <c r="Y1016">
        <v>4.4000000000000004</v>
      </c>
      <c r="Z1016">
        <v>2.9</v>
      </c>
      <c r="AA1016">
        <v>0</v>
      </c>
      <c r="AB1016">
        <v>3</v>
      </c>
      <c r="AC1016">
        <v>4.4000000000000004</v>
      </c>
      <c r="AD1016" t="s">
        <v>43</v>
      </c>
      <c r="AE1016" t="str">
        <f>IF(AND(data[[#This Row],[Age]]&gt;=18,data[[#This Row],[Age]]&lt;=24),"18-24",IF(AND(data[[#This Row],[Age]]&gt;=25,data[[#This Row],[Age]]&lt;=34),"25-34",IF(AND(data[[#This Row],[Age]]&gt;35,data[[#This Row],[Age]]&lt;=44),"35-44",IF(data[[#This Row],[Age]]&gt;44,"45+",IF(data[[#This Row],[Age]]&lt;18,"below 18 ")))))</f>
        <v>35-44</v>
      </c>
    </row>
    <row r="1017" spans="1:31" x14ac:dyDescent="0.25">
      <c r="A1017" t="s">
        <v>1070</v>
      </c>
      <c r="B1017">
        <v>43</v>
      </c>
      <c r="C1017" t="s">
        <v>50</v>
      </c>
      <c r="D1017" t="s">
        <v>39</v>
      </c>
      <c r="E1017" t="s">
        <v>40</v>
      </c>
      <c r="F1017" t="s">
        <v>34</v>
      </c>
      <c r="G1017">
        <v>3.4</v>
      </c>
      <c r="H1017">
        <v>4</v>
      </c>
      <c r="I1017">
        <v>8</v>
      </c>
      <c r="J1017" t="s">
        <v>35</v>
      </c>
      <c r="K1017" t="s">
        <v>36</v>
      </c>
      <c r="L1017">
        <v>49</v>
      </c>
      <c r="M1017">
        <v>9.1</v>
      </c>
      <c r="N1017">
        <v>7.7</v>
      </c>
      <c r="O1017">
        <v>2.2000000000000002</v>
      </c>
      <c r="P1017">
        <v>2.2000000000000002</v>
      </c>
      <c r="Q1017" t="s">
        <v>35</v>
      </c>
      <c r="R1017" t="s">
        <v>35</v>
      </c>
      <c r="T1017">
        <v>5.4</v>
      </c>
      <c r="U1017">
        <v>3.7</v>
      </c>
      <c r="V1017">
        <v>7.4</v>
      </c>
      <c r="W1017">
        <v>7.3</v>
      </c>
      <c r="X1017">
        <v>7.1</v>
      </c>
      <c r="Y1017">
        <v>2.2000000000000002</v>
      </c>
      <c r="Z1017">
        <v>6.5</v>
      </c>
      <c r="AA1017">
        <v>1.9</v>
      </c>
      <c r="AB1017">
        <v>3.1</v>
      </c>
      <c r="AC1017">
        <v>7.6</v>
      </c>
      <c r="AD1017" t="s">
        <v>37</v>
      </c>
      <c r="AE1017" t="str">
        <f>IF(AND(data[[#This Row],[Age]]&gt;=18,data[[#This Row],[Age]]&lt;=24),"18-24",IF(AND(data[[#This Row],[Age]]&gt;=25,data[[#This Row],[Age]]&lt;=34),"25-34",IF(AND(data[[#This Row],[Age]]&gt;35,data[[#This Row],[Age]]&lt;=44),"35-44",IF(data[[#This Row],[Age]]&gt;44,"45+",IF(data[[#This Row],[Age]]&lt;18,"below 18 ")))))</f>
        <v>35-44</v>
      </c>
    </row>
    <row r="1018" spans="1:31" x14ac:dyDescent="0.25">
      <c r="A1018" t="s">
        <v>1071</v>
      </c>
      <c r="B1018">
        <v>34</v>
      </c>
      <c r="C1018" t="s">
        <v>47</v>
      </c>
      <c r="E1018" t="s">
        <v>58</v>
      </c>
      <c r="F1018" t="s">
        <v>51</v>
      </c>
      <c r="G1018">
        <v>2.9</v>
      </c>
      <c r="H1018">
        <v>1</v>
      </c>
      <c r="I1018">
        <v>6</v>
      </c>
      <c r="J1018" t="s">
        <v>42</v>
      </c>
      <c r="K1018" t="s">
        <v>36</v>
      </c>
      <c r="L1018">
        <v>45</v>
      </c>
      <c r="M1018">
        <v>2.7</v>
      </c>
      <c r="N1018">
        <v>5.5</v>
      </c>
      <c r="O1018">
        <v>6.6</v>
      </c>
      <c r="P1018">
        <v>7.2</v>
      </c>
      <c r="Q1018" t="s">
        <v>42</v>
      </c>
      <c r="R1018" t="s">
        <v>35</v>
      </c>
      <c r="S1018">
        <v>4.9000000000000004</v>
      </c>
      <c r="T1018">
        <v>3</v>
      </c>
      <c r="U1018">
        <v>4.2</v>
      </c>
      <c r="W1018">
        <v>5.8</v>
      </c>
      <c r="X1018">
        <v>6.1</v>
      </c>
      <c r="Y1018">
        <v>3.7</v>
      </c>
      <c r="Z1018">
        <v>1.9</v>
      </c>
      <c r="AA1018">
        <v>3.4</v>
      </c>
      <c r="AB1018">
        <v>2.2999999999999998</v>
      </c>
      <c r="AC1018">
        <v>4.8</v>
      </c>
      <c r="AD1018" t="s">
        <v>45</v>
      </c>
      <c r="AE1018" t="str">
        <f>IF(AND(data[[#This Row],[Age]]&gt;=18,data[[#This Row],[Age]]&lt;=24),"18-24",IF(AND(data[[#This Row],[Age]]&gt;=25,data[[#This Row],[Age]]&lt;=34),"25-34",IF(AND(data[[#This Row],[Age]]&gt;35,data[[#This Row],[Age]]&lt;=44),"35-44",IF(data[[#This Row],[Age]]&gt;44,"45+",IF(data[[#This Row],[Age]]&lt;18,"below 18 ")))))</f>
        <v>25-34</v>
      </c>
    </row>
    <row r="1019" spans="1:31" x14ac:dyDescent="0.25">
      <c r="A1019" t="s">
        <v>1072</v>
      </c>
      <c r="B1019">
        <v>25</v>
      </c>
      <c r="C1019" t="s">
        <v>47</v>
      </c>
      <c r="D1019" t="s">
        <v>32</v>
      </c>
      <c r="E1019" t="s">
        <v>40</v>
      </c>
      <c r="F1019" t="s">
        <v>41</v>
      </c>
      <c r="G1019">
        <v>5.7</v>
      </c>
      <c r="H1019">
        <v>3</v>
      </c>
      <c r="I1019">
        <v>3</v>
      </c>
      <c r="J1019" t="s">
        <v>42</v>
      </c>
      <c r="K1019" t="s">
        <v>36</v>
      </c>
      <c r="L1019">
        <v>79</v>
      </c>
      <c r="M1019">
        <v>4.7</v>
      </c>
      <c r="N1019">
        <v>4.4000000000000004</v>
      </c>
      <c r="O1019">
        <v>5.2</v>
      </c>
      <c r="P1019">
        <v>4.8</v>
      </c>
      <c r="Q1019" t="s">
        <v>42</v>
      </c>
      <c r="R1019" t="s">
        <v>42</v>
      </c>
      <c r="S1019">
        <v>2.2999999999999998</v>
      </c>
      <c r="T1019">
        <v>4.3</v>
      </c>
      <c r="U1019">
        <v>4.4000000000000004</v>
      </c>
      <c r="V1019">
        <v>4.0999999999999996</v>
      </c>
      <c r="W1019">
        <v>4.0999999999999996</v>
      </c>
      <c r="X1019">
        <v>5.0999999999999996</v>
      </c>
      <c r="Y1019">
        <v>4.8</v>
      </c>
      <c r="Z1019">
        <v>7.4</v>
      </c>
      <c r="AA1019">
        <v>5.2</v>
      </c>
      <c r="AB1019">
        <v>5.0999999999999996</v>
      </c>
      <c r="AC1019">
        <v>6</v>
      </c>
      <c r="AD1019" t="s">
        <v>53</v>
      </c>
      <c r="AE1019" t="str">
        <f>IF(AND(data[[#This Row],[Age]]&gt;=18,data[[#This Row],[Age]]&lt;=24),"18-24",IF(AND(data[[#This Row],[Age]]&gt;=25,data[[#This Row],[Age]]&lt;=34),"25-34",IF(AND(data[[#This Row],[Age]]&gt;35,data[[#This Row],[Age]]&lt;=44),"35-44",IF(data[[#This Row],[Age]]&gt;44,"45+",IF(data[[#This Row],[Age]]&lt;18,"below 18 ")))))</f>
        <v>25-34</v>
      </c>
    </row>
    <row r="1020" spans="1:31" x14ac:dyDescent="0.25">
      <c r="A1020" t="s">
        <v>1073</v>
      </c>
      <c r="B1020">
        <v>30</v>
      </c>
      <c r="C1020" t="s">
        <v>31</v>
      </c>
      <c r="D1020" t="s">
        <v>39</v>
      </c>
      <c r="E1020" t="s">
        <v>40</v>
      </c>
      <c r="F1020" t="s">
        <v>51</v>
      </c>
      <c r="G1020">
        <v>5.2</v>
      </c>
      <c r="H1020">
        <v>3</v>
      </c>
      <c r="I1020">
        <v>4</v>
      </c>
      <c r="J1020" t="s">
        <v>42</v>
      </c>
      <c r="K1020" t="s">
        <v>62</v>
      </c>
      <c r="L1020">
        <v>38</v>
      </c>
      <c r="M1020">
        <v>3.5</v>
      </c>
      <c r="N1020">
        <v>7.6</v>
      </c>
      <c r="O1020">
        <v>5.2</v>
      </c>
      <c r="P1020">
        <v>5.9</v>
      </c>
      <c r="Q1020" t="s">
        <v>42</v>
      </c>
      <c r="R1020" t="s">
        <v>42</v>
      </c>
      <c r="S1020">
        <v>2.2000000000000002</v>
      </c>
      <c r="T1020">
        <v>3.2</v>
      </c>
      <c r="U1020">
        <v>4</v>
      </c>
      <c r="V1020">
        <v>2.8</v>
      </c>
      <c r="W1020">
        <v>4.7</v>
      </c>
      <c r="X1020">
        <v>7.2</v>
      </c>
      <c r="Y1020">
        <v>3.7</v>
      </c>
      <c r="Z1020">
        <v>5.6</v>
      </c>
      <c r="AA1020">
        <v>0.9</v>
      </c>
      <c r="AB1020">
        <v>2.8</v>
      </c>
      <c r="AC1020">
        <v>6.2</v>
      </c>
      <c r="AD1020" t="s">
        <v>45</v>
      </c>
      <c r="AE1020" t="str">
        <f>IF(AND(data[[#This Row],[Age]]&gt;=18,data[[#This Row],[Age]]&lt;=24),"18-24",IF(AND(data[[#This Row],[Age]]&gt;=25,data[[#This Row],[Age]]&lt;=34),"25-34",IF(AND(data[[#This Row],[Age]]&gt;35,data[[#This Row],[Age]]&lt;=44),"35-44",IF(data[[#This Row],[Age]]&gt;44,"45+",IF(data[[#This Row],[Age]]&lt;18,"below 18 ")))))</f>
        <v>25-34</v>
      </c>
    </row>
    <row r="1021" spans="1:31" x14ac:dyDescent="0.25">
      <c r="A1021" t="s">
        <v>1074</v>
      </c>
      <c r="B1021">
        <v>36</v>
      </c>
      <c r="D1021" t="s">
        <v>64</v>
      </c>
      <c r="E1021" t="s">
        <v>58</v>
      </c>
      <c r="F1021" t="s">
        <v>48</v>
      </c>
      <c r="G1021">
        <v>2.2999999999999998</v>
      </c>
      <c r="H1021">
        <v>4</v>
      </c>
      <c r="I1021">
        <v>1</v>
      </c>
      <c r="J1021" t="s">
        <v>35</v>
      </c>
      <c r="K1021" t="s">
        <v>52</v>
      </c>
      <c r="L1021">
        <v>26</v>
      </c>
      <c r="M1021">
        <v>3.6</v>
      </c>
      <c r="N1021">
        <v>5.2</v>
      </c>
      <c r="O1021">
        <v>8.4</v>
      </c>
      <c r="P1021">
        <v>4.5999999999999996</v>
      </c>
      <c r="Q1021" t="s">
        <v>42</v>
      </c>
      <c r="R1021" t="s">
        <v>35</v>
      </c>
      <c r="S1021">
        <v>2.5</v>
      </c>
      <c r="T1021">
        <v>4.4000000000000004</v>
      </c>
      <c r="U1021">
        <v>5.7</v>
      </c>
      <c r="V1021">
        <v>6.1</v>
      </c>
      <c r="W1021">
        <v>5</v>
      </c>
      <c r="X1021">
        <v>3.6</v>
      </c>
      <c r="Y1021">
        <v>2.2000000000000002</v>
      </c>
      <c r="Z1021">
        <v>5.0999999999999996</v>
      </c>
      <c r="AA1021">
        <v>2.1</v>
      </c>
      <c r="AB1021">
        <v>4.3</v>
      </c>
      <c r="AC1021">
        <v>7.3</v>
      </c>
      <c r="AD1021" t="s">
        <v>37</v>
      </c>
      <c r="AE1021" t="str">
        <f>IF(AND(data[[#This Row],[Age]]&gt;=18,data[[#This Row],[Age]]&lt;=24),"18-24",IF(AND(data[[#This Row],[Age]]&gt;=25,data[[#This Row],[Age]]&lt;=34),"25-34",IF(AND(data[[#This Row],[Age]]&gt;35,data[[#This Row],[Age]]&lt;=44),"35-44",IF(data[[#This Row],[Age]]&gt;44,"45+",IF(data[[#This Row],[Age]]&lt;18,"below 18 ")))))</f>
        <v>35-44</v>
      </c>
    </row>
    <row r="1022" spans="1:31" x14ac:dyDescent="0.25">
      <c r="A1022" t="s">
        <v>1075</v>
      </c>
      <c r="B1022">
        <v>27</v>
      </c>
      <c r="C1022" t="s">
        <v>31</v>
      </c>
      <c r="D1022" t="s">
        <v>32</v>
      </c>
      <c r="E1022" t="s">
        <v>58</v>
      </c>
      <c r="F1022" t="s">
        <v>34</v>
      </c>
      <c r="G1022">
        <v>0.5</v>
      </c>
      <c r="H1022">
        <v>1</v>
      </c>
      <c r="I1022">
        <v>3</v>
      </c>
      <c r="J1022" t="s">
        <v>35</v>
      </c>
      <c r="K1022" t="s">
        <v>52</v>
      </c>
      <c r="L1022">
        <v>129</v>
      </c>
      <c r="M1022">
        <v>7</v>
      </c>
      <c r="N1022">
        <v>2.7</v>
      </c>
      <c r="O1022">
        <v>4.0999999999999996</v>
      </c>
      <c r="P1022">
        <v>5.5</v>
      </c>
      <c r="Q1022" t="s">
        <v>42</v>
      </c>
      <c r="R1022" t="s">
        <v>35</v>
      </c>
      <c r="S1022">
        <v>5.8</v>
      </c>
      <c r="T1022">
        <v>5.5</v>
      </c>
      <c r="U1022">
        <v>4.7</v>
      </c>
      <c r="V1022">
        <v>7.8</v>
      </c>
      <c r="X1022">
        <v>6.7</v>
      </c>
      <c r="Y1022">
        <v>5</v>
      </c>
      <c r="Z1022">
        <v>10</v>
      </c>
      <c r="AA1022">
        <v>4.7</v>
      </c>
      <c r="AB1022">
        <v>5.6</v>
      </c>
      <c r="AC1022">
        <v>9.5</v>
      </c>
      <c r="AD1022" t="s">
        <v>37</v>
      </c>
      <c r="AE1022" t="str">
        <f>IF(AND(data[[#This Row],[Age]]&gt;=18,data[[#This Row],[Age]]&lt;=24),"18-24",IF(AND(data[[#This Row],[Age]]&gt;=25,data[[#This Row],[Age]]&lt;=34),"25-34",IF(AND(data[[#This Row],[Age]]&gt;35,data[[#This Row],[Age]]&lt;=44),"35-44",IF(data[[#This Row],[Age]]&gt;44,"45+",IF(data[[#This Row],[Age]]&lt;18,"below 18 ")))))</f>
        <v>25-34</v>
      </c>
    </row>
    <row r="1023" spans="1:31" x14ac:dyDescent="0.25">
      <c r="A1023" t="s">
        <v>1076</v>
      </c>
      <c r="B1023">
        <v>26</v>
      </c>
      <c r="C1023" t="s">
        <v>50</v>
      </c>
      <c r="D1023" t="s">
        <v>39</v>
      </c>
      <c r="E1023" t="s">
        <v>58</v>
      </c>
      <c r="F1023" t="s">
        <v>41</v>
      </c>
      <c r="G1023">
        <v>3.6</v>
      </c>
      <c r="H1023">
        <v>2</v>
      </c>
      <c r="I1023">
        <v>5</v>
      </c>
      <c r="J1023" t="s">
        <v>35</v>
      </c>
      <c r="K1023" t="s">
        <v>36</v>
      </c>
      <c r="L1023">
        <v>27</v>
      </c>
      <c r="N1023">
        <v>6.5</v>
      </c>
      <c r="O1023">
        <v>4</v>
      </c>
      <c r="P1023">
        <v>5</v>
      </c>
      <c r="Q1023" t="s">
        <v>35</v>
      </c>
      <c r="R1023" t="s">
        <v>35</v>
      </c>
      <c r="S1023">
        <v>5.7</v>
      </c>
      <c r="T1023">
        <v>8.3000000000000007</v>
      </c>
      <c r="U1023">
        <v>5.6</v>
      </c>
      <c r="V1023">
        <v>6.1</v>
      </c>
      <c r="W1023">
        <v>3</v>
      </c>
      <c r="Y1023">
        <v>3.4</v>
      </c>
      <c r="Z1023">
        <v>7.5</v>
      </c>
      <c r="AA1023">
        <v>3.1</v>
      </c>
      <c r="AB1023">
        <v>3</v>
      </c>
      <c r="AC1023">
        <v>8.1</v>
      </c>
      <c r="AD1023" t="s">
        <v>37</v>
      </c>
      <c r="AE1023" t="str">
        <f>IF(AND(data[[#This Row],[Age]]&gt;=18,data[[#This Row],[Age]]&lt;=24),"18-24",IF(AND(data[[#This Row],[Age]]&gt;=25,data[[#This Row],[Age]]&lt;=34),"25-34",IF(AND(data[[#This Row],[Age]]&gt;35,data[[#This Row],[Age]]&lt;=44),"35-44",IF(data[[#This Row],[Age]]&gt;44,"45+",IF(data[[#This Row],[Age]]&lt;18,"below 18 ")))))</f>
        <v>25-34</v>
      </c>
    </row>
    <row r="1024" spans="1:31" x14ac:dyDescent="0.25">
      <c r="A1024" t="s">
        <v>1077</v>
      </c>
      <c r="B1024">
        <v>40</v>
      </c>
      <c r="C1024" t="s">
        <v>47</v>
      </c>
      <c r="D1024" t="s">
        <v>39</v>
      </c>
      <c r="E1024" t="s">
        <v>58</v>
      </c>
      <c r="F1024" t="s">
        <v>70</v>
      </c>
      <c r="G1024">
        <v>2.6</v>
      </c>
      <c r="H1024">
        <v>3</v>
      </c>
      <c r="I1024">
        <v>4</v>
      </c>
      <c r="J1024" t="s">
        <v>42</v>
      </c>
      <c r="K1024" t="s">
        <v>62</v>
      </c>
      <c r="L1024">
        <v>66</v>
      </c>
      <c r="M1024">
        <v>3.3</v>
      </c>
      <c r="N1024">
        <v>5.3</v>
      </c>
      <c r="O1024">
        <v>7.3</v>
      </c>
      <c r="P1024">
        <v>5.8</v>
      </c>
      <c r="Q1024" t="s">
        <v>35</v>
      </c>
      <c r="R1024" t="s">
        <v>42</v>
      </c>
      <c r="S1024">
        <v>0.2</v>
      </c>
      <c r="U1024">
        <v>7.1</v>
      </c>
      <c r="V1024">
        <v>7.9</v>
      </c>
      <c r="W1024">
        <v>6.7</v>
      </c>
      <c r="X1024">
        <v>6.4</v>
      </c>
      <c r="Y1024">
        <v>2.6</v>
      </c>
      <c r="Z1024">
        <v>6.7</v>
      </c>
      <c r="AA1024">
        <v>4</v>
      </c>
      <c r="AB1024">
        <v>4.2</v>
      </c>
      <c r="AC1024">
        <v>8.1999999999999993</v>
      </c>
      <c r="AD1024" t="s">
        <v>37</v>
      </c>
      <c r="AE1024" t="str">
        <f>IF(AND(data[[#This Row],[Age]]&gt;=18,data[[#This Row],[Age]]&lt;=24),"18-24",IF(AND(data[[#This Row],[Age]]&gt;=25,data[[#This Row],[Age]]&lt;=34),"25-34",IF(AND(data[[#This Row],[Age]]&gt;35,data[[#This Row],[Age]]&lt;=44),"35-44",IF(data[[#This Row],[Age]]&gt;44,"45+",IF(data[[#This Row],[Age]]&lt;18,"below 18 ")))))</f>
        <v>35-44</v>
      </c>
    </row>
    <row r="1025" spans="1:31" x14ac:dyDescent="0.25">
      <c r="A1025" t="s">
        <v>1078</v>
      </c>
      <c r="B1025">
        <v>15</v>
      </c>
      <c r="C1025" t="s">
        <v>47</v>
      </c>
      <c r="D1025" t="s">
        <v>39</v>
      </c>
      <c r="E1025" t="s">
        <v>33</v>
      </c>
      <c r="F1025" t="s">
        <v>41</v>
      </c>
      <c r="G1025">
        <v>4.4000000000000004</v>
      </c>
      <c r="H1025">
        <v>4</v>
      </c>
      <c r="I1025">
        <v>3</v>
      </c>
      <c r="J1025" t="s">
        <v>35</v>
      </c>
      <c r="K1025" t="s">
        <v>62</v>
      </c>
      <c r="L1025">
        <v>5</v>
      </c>
      <c r="M1025">
        <v>5</v>
      </c>
      <c r="N1025">
        <v>4.5999999999999996</v>
      </c>
      <c r="O1025">
        <v>4.7</v>
      </c>
      <c r="P1025">
        <v>7.2</v>
      </c>
      <c r="Q1025" t="s">
        <v>42</v>
      </c>
      <c r="R1025" t="s">
        <v>42</v>
      </c>
      <c r="S1025">
        <v>10</v>
      </c>
      <c r="T1025">
        <v>5.8</v>
      </c>
      <c r="U1025">
        <v>2.2000000000000002</v>
      </c>
      <c r="V1025">
        <v>7.9</v>
      </c>
      <c r="W1025">
        <v>5.4</v>
      </c>
      <c r="X1025">
        <v>8.5</v>
      </c>
      <c r="Y1025">
        <v>1.8</v>
      </c>
      <c r="Z1025">
        <v>6.3</v>
      </c>
      <c r="AA1025">
        <v>2.8</v>
      </c>
      <c r="AB1025">
        <v>7.2</v>
      </c>
      <c r="AC1025">
        <v>7.6</v>
      </c>
      <c r="AD1025" t="s">
        <v>37</v>
      </c>
      <c r="AE1025" t="str">
        <f>IF(AND(data[[#This Row],[Age]]&gt;=18,data[[#This Row],[Age]]&lt;=24),"18-24",IF(AND(data[[#This Row],[Age]]&gt;=25,data[[#This Row],[Age]]&lt;=34),"25-34",IF(AND(data[[#This Row],[Age]]&gt;35,data[[#This Row],[Age]]&lt;=44),"35-44",IF(data[[#This Row],[Age]]&gt;44,"45+",IF(data[[#This Row],[Age]]&lt;18,"below 18 ")))))</f>
        <v xml:space="preserve">below 18 </v>
      </c>
    </row>
    <row r="1026" spans="1:31" x14ac:dyDescent="0.25">
      <c r="A1026" t="s">
        <v>1079</v>
      </c>
      <c r="B1026">
        <v>39</v>
      </c>
      <c r="C1026" t="s">
        <v>47</v>
      </c>
      <c r="D1026" t="s">
        <v>32</v>
      </c>
      <c r="E1026" t="s">
        <v>33</v>
      </c>
      <c r="F1026" t="s">
        <v>51</v>
      </c>
      <c r="G1026">
        <v>2.5</v>
      </c>
      <c r="H1026">
        <v>5</v>
      </c>
      <c r="I1026">
        <v>1</v>
      </c>
      <c r="J1026" t="s">
        <v>35</v>
      </c>
      <c r="K1026" t="s">
        <v>62</v>
      </c>
      <c r="L1026">
        <v>88</v>
      </c>
      <c r="M1026">
        <v>6</v>
      </c>
      <c r="N1026">
        <v>5.7</v>
      </c>
      <c r="O1026">
        <v>5.0999999999999996</v>
      </c>
      <c r="P1026">
        <v>3.7</v>
      </c>
      <c r="Q1026" t="s">
        <v>35</v>
      </c>
      <c r="R1026" t="s">
        <v>35</v>
      </c>
      <c r="S1026">
        <v>4.5999999999999996</v>
      </c>
      <c r="T1026">
        <v>7</v>
      </c>
      <c r="U1026">
        <v>1.5</v>
      </c>
      <c r="V1026">
        <v>3.3</v>
      </c>
      <c r="W1026">
        <v>4.2</v>
      </c>
      <c r="X1026">
        <v>4.7</v>
      </c>
      <c r="Y1026">
        <v>4.0999999999999996</v>
      </c>
      <c r="Z1026">
        <v>8.4</v>
      </c>
      <c r="AA1026">
        <v>3.3</v>
      </c>
      <c r="AB1026">
        <v>0</v>
      </c>
      <c r="AC1026">
        <v>6.5</v>
      </c>
      <c r="AD1026" t="s">
        <v>37</v>
      </c>
      <c r="AE1026" t="str">
        <f>IF(AND(data[[#This Row],[Age]]&gt;=18,data[[#This Row],[Age]]&lt;=24),"18-24",IF(AND(data[[#This Row],[Age]]&gt;=25,data[[#This Row],[Age]]&lt;=34),"25-34",IF(AND(data[[#This Row],[Age]]&gt;35,data[[#This Row],[Age]]&lt;=44),"35-44",IF(data[[#This Row],[Age]]&gt;44,"45+",IF(data[[#This Row],[Age]]&lt;18,"below 18 ")))))</f>
        <v>35-44</v>
      </c>
    </row>
    <row r="1027" spans="1:31" x14ac:dyDescent="0.25">
      <c r="A1027" t="s">
        <v>1080</v>
      </c>
      <c r="B1027">
        <v>15</v>
      </c>
      <c r="C1027" t="s">
        <v>47</v>
      </c>
      <c r="D1027" t="s">
        <v>64</v>
      </c>
      <c r="E1027" t="s">
        <v>33</v>
      </c>
      <c r="F1027" t="s">
        <v>51</v>
      </c>
      <c r="G1027">
        <v>5.0999999999999996</v>
      </c>
      <c r="H1027">
        <v>2</v>
      </c>
      <c r="I1027">
        <v>3</v>
      </c>
      <c r="J1027" t="s">
        <v>35</v>
      </c>
      <c r="K1027" t="s">
        <v>36</v>
      </c>
      <c r="L1027">
        <v>59</v>
      </c>
      <c r="M1027">
        <v>9.6</v>
      </c>
      <c r="N1027">
        <v>8.5</v>
      </c>
      <c r="O1027">
        <v>4.3</v>
      </c>
      <c r="P1027">
        <v>3.4</v>
      </c>
      <c r="Q1027" t="s">
        <v>42</v>
      </c>
      <c r="R1027" t="s">
        <v>35</v>
      </c>
      <c r="S1027">
        <v>3.9</v>
      </c>
      <c r="T1027">
        <v>6.7</v>
      </c>
      <c r="U1027">
        <v>6.3</v>
      </c>
      <c r="V1027">
        <v>3.6</v>
      </c>
      <c r="W1027">
        <v>6.7</v>
      </c>
      <c r="X1027">
        <v>6.4</v>
      </c>
      <c r="Y1027">
        <v>5.7</v>
      </c>
      <c r="Z1027">
        <v>3.1</v>
      </c>
      <c r="AA1027">
        <v>3.8</v>
      </c>
      <c r="AB1027">
        <v>3</v>
      </c>
      <c r="AC1027">
        <v>4.5999999999999996</v>
      </c>
      <c r="AD1027" t="s">
        <v>43</v>
      </c>
      <c r="AE1027" t="str">
        <f>IF(AND(data[[#This Row],[Age]]&gt;=18,data[[#This Row],[Age]]&lt;=24),"18-24",IF(AND(data[[#This Row],[Age]]&gt;=25,data[[#This Row],[Age]]&lt;=34),"25-34",IF(AND(data[[#This Row],[Age]]&gt;35,data[[#This Row],[Age]]&lt;=44),"35-44",IF(data[[#This Row],[Age]]&gt;44,"45+",IF(data[[#This Row],[Age]]&lt;18,"below 18 ")))))</f>
        <v xml:space="preserve">below 18 </v>
      </c>
    </row>
    <row r="1028" spans="1:31" x14ac:dyDescent="0.25">
      <c r="A1028" t="s">
        <v>1081</v>
      </c>
      <c r="B1028">
        <v>22</v>
      </c>
      <c r="C1028" t="s">
        <v>31</v>
      </c>
      <c r="D1028" t="s">
        <v>32</v>
      </c>
      <c r="E1028" t="s">
        <v>40</v>
      </c>
      <c r="F1028" t="s">
        <v>59</v>
      </c>
      <c r="G1028">
        <v>1.9</v>
      </c>
      <c r="H1028">
        <v>3</v>
      </c>
      <c r="I1028">
        <v>4</v>
      </c>
      <c r="J1028" t="s">
        <v>35</v>
      </c>
      <c r="K1028" t="s">
        <v>36</v>
      </c>
      <c r="L1028">
        <v>82</v>
      </c>
      <c r="M1028">
        <v>7.1</v>
      </c>
      <c r="N1028">
        <v>5.6</v>
      </c>
      <c r="O1028">
        <v>3.5</v>
      </c>
      <c r="P1028">
        <v>4.9000000000000004</v>
      </c>
      <c r="Q1028" t="s">
        <v>42</v>
      </c>
      <c r="R1028" t="s">
        <v>42</v>
      </c>
      <c r="S1028">
        <v>4</v>
      </c>
      <c r="T1028">
        <v>4.4000000000000004</v>
      </c>
      <c r="U1028">
        <v>2.6</v>
      </c>
      <c r="V1028">
        <v>3.4</v>
      </c>
      <c r="W1028">
        <v>6.8</v>
      </c>
      <c r="X1028">
        <v>3.3</v>
      </c>
      <c r="Y1028">
        <v>4.2</v>
      </c>
      <c r="Z1028">
        <v>3.6</v>
      </c>
      <c r="AA1028">
        <v>3.7</v>
      </c>
      <c r="AB1028">
        <v>0.4</v>
      </c>
      <c r="AC1028">
        <v>6.3</v>
      </c>
      <c r="AD1028" t="s">
        <v>45</v>
      </c>
      <c r="AE1028" t="str">
        <f>IF(AND(data[[#This Row],[Age]]&gt;=18,data[[#This Row],[Age]]&lt;=24),"18-24",IF(AND(data[[#This Row],[Age]]&gt;=25,data[[#This Row],[Age]]&lt;=34),"25-34",IF(AND(data[[#This Row],[Age]]&gt;35,data[[#This Row],[Age]]&lt;=44),"35-44",IF(data[[#This Row],[Age]]&gt;44,"45+",IF(data[[#This Row],[Age]]&lt;18,"below 18 ")))))</f>
        <v>18-24</v>
      </c>
    </row>
    <row r="1029" spans="1:31" x14ac:dyDescent="0.25">
      <c r="A1029" t="s">
        <v>1082</v>
      </c>
      <c r="B1029">
        <v>31</v>
      </c>
      <c r="C1029" t="s">
        <v>31</v>
      </c>
      <c r="D1029" t="s">
        <v>39</v>
      </c>
      <c r="F1029" t="s">
        <v>59</v>
      </c>
      <c r="G1029">
        <v>5</v>
      </c>
      <c r="H1029">
        <v>4</v>
      </c>
      <c r="I1029">
        <v>2</v>
      </c>
      <c r="J1029" t="s">
        <v>42</v>
      </c>
      <c r="K1029" t="s">
        <v>36</v>
      </c>
      <c r="L1029">
        <v>95</v>
      </c>
      <c r="M1029">
        <v>6</v>
      </c>
      <c r="N1029">
        <v>4.9000000000000004</v>
      </c>
      <c r="O1029">
        <v>3.4</v>
      </c>
      <c r="P1029">
        <v>8.1</v>
      </c>
      <c r="Q1029" t="s">
        <v>42</v>
      </c>
      <c r="R1029" t="s">
        <v>35</v>
      </c>
      <c r="S1029">
        <v>5.7</v>
      </c>
      <c r="T1029">
        <v>2.2000000000000002</v>
      </c>
      <c r="V1029">
        <v>10</v>
      </c>
      <c r="W1029">
        <v>8.1999999999999993</v>
      </c>
      <c r="X1029">
        <v>6.1</v>
      </c>
      <c r="Y1029">
        <v>6.3</v>
      </c>
      <c r="Z1029">
        <v>4.8</v>
      </c>
      <c r="AA1029">
        <v>3.1</v>
      </c>
      <c r="AB1029">
        <v>3.9</v>
      </c>
      <c r="AC1029">
        <v>6.8</v>
      </c>
      <c r="AD1029" t="s">
        <v>53</v>
      </c>
      <c r="AE1029" t="str">
        <f>IF(AND(data[[#This Row],[Age]]&gt;=18,data[[#This Row],[Age]]&lt;=24),"18-24",IF(AND(data[[#This Row],[Age]]&gt;=25,data[[#This Row],[Age]]&lt;=34),"25-34",IF(AND(data[[#This Row],[Age]]&gt;35,data[[#This Row],[Age]]&lt;=44),"35-44",IF(data[[#This Row],[Age]]&gt;44,"45+",IF(data[[#This Row],[Age]]&lt;18,"below 18 ")))))</f>
        <v>25-34</v>
      </c>
    </row>
    <row r="1030" spans="1:31" x14ac:dyDescent="0.25">
      <c r="A1030" t="s">
        <v>1083</v>
      </c>
      <c r="B1030">
        <v>29</v>
      </c>
      <c r="C1030" t="s">
        <v>47</v>
      </c>
      <c r="D1030" t="s">
        <v>39</v>
      </c>
      <c r="E1030" t="s">
        <v>58</v>
      </c>
      <c r="F1030" t="s">
        <v>41</v>
      </c>
      <c r="G1030">
        <v>3.9</v>
      </c>
      <c r="H1030">
        <v>2</v>
      </c>
      <c r="I1030">
        <v>4</v>
      </c>
      <c r="J1030" t="s">
        <v>42</v>
      </c>
      <c r="K1030" t="s">
        <v>52</v>
      </c>
      <c r="L1030">
        <v>88</v>
      </c>
      <c r="M1030">
        <v>2.2999999999999998</v>
      </c>
      <c r="N1030">
        <v>6.8</v>
      </c>
      <c r="O1030">
        <v>8.5</v>
      </c>
      <c r="P1030">
        <v>5.0999999999999996</v>
      </c>
      <c r="Q1030" t="s">
        <v>42</v>
      </c>
      <c r="R1030" t="s">
        <v>42</v>
      </c>
      <c r="S1030">
        <v>5.3</v>
      </c>
      <c r="T1030">
        <v>3.4</v>
      </c>
      <c r="U1030">
        <v>2.4</v>
      </c>
      <c r="V1030">
        <v>3.5</v>
      </c>
      <c r="W1030">
        <v>1</v>
      </c>
      <c r="X1030">
        <v>4.9000000000000004</v>
      </c>
      <c r="Y1030">
        <v>4</v>
      </c>
      <c r="Z1030">
        <v>6.5</v>
      </c>
      <c r="AA1030">
        <v>0</v>
      </c>
      <c r="AB1030">
        <v>4.3</v>
      </c>
      <c r="AC1030">
        <v>5.5</v>
      </c>
      <c r="AD1030" t="s">
        <v>45</v>
      </c>
      <c r="AE1030" t="str">
        <f>IF(AND(data[[#This Row],[Age]]&gt;=18,data[[#This Row],[Age]]&lt;=24),"18-24",IF(AND(data[[#This Row],[Age]]&gt;=25,data[[#This Row],[Age]]&lt;=34),"25-34",IF(AND(data[[#This Row],[Age]]&gt;35,data[[#This Row],[Age]]&lt;=44),"35-44",IF(data[[#This Row],[Age]]&gt;44,"45+",IF(data[[#This Row],[Age]]&lt;18,"below 18 ")))))</f>
        <v>25-34</v>
      </c>
    </row>
    <row r="1031" spans="1:31" x14ac:dyDescent="0.25">
      <c r="A1031" t="s">
        <v>1084</v>
      </c>
      <c r="B1031">
        <v>20</v>
      </c>
      <c r="C1031" t="s">
        <v>47</v>
      </c>
      <c r="D1031" t="s">
        <v>39</v>
      </c>
      <c r="E1031" t="s">
        <v>58</v>
      </c>
      <c r="F1031" t="s">
        <v>70</v>
      </c>
      <c r="G1031">
        <v>6.5</v>
      </c>
      <c r="H1031">
        <v>3</v>
      </c>
      <c r="I1031">
        <v>2</v>
      </c>
      <c r="J1031" t="s">
        <v>42</v>
      </c>
      <c r="K1031" t="s">
        <v>52</v>
      </c>
      <c r="L1031">
        <v>59</v>
      </c>
      <c r="M1031">
        <v>1.4</v>
      </c>
      <c r="N1031">
        <v>0</v>
      </c>
      <c r="O1031">
        <v>5</v>
      </c>
      <c r="P1031">
        <v>5.4</v>
      </c>
      <c r="Q1031" t="s">
        <v>42</v>
      </c>
      <c r="R1031" t="s">
        <v>35</v>
      </c>
      <c r="S1031">
        <v>7.7</v>
      </c>
      <c r="T1031">
        <v>3.7</v>
      </c>
      <c r="U1031">
        <v>2.4</v>
      </c>
      <c r="W1031">
        <v>7.7</v>
      </c>
      <c r="X1031">
        <v>5.0999999999999996</v>
      </c>
      <c r="Y1031">
        <v>4.0999999999999996</v>
      </c>
      <c r="Z1031">
        <v>7.2</v>
      </c>
      <c r="AA1031">
        <v>3.8</v>
      </c>
      <c r="AB1031">
        <v>6.8</v>
      </c>
      <c r="AC1031">
        <v>9.1</v>
      </c>
      <c r="AD1031" t="s">
        <v>37</v>
      </c>
      <c r="AE1031" t="str">
        <f>IF(AND(data[[#This Row],[Age]]&gt;=18,data[[#This Row],[Age]]&lt;=24),"18-24",IF(AND(data[[#This Row],[Age]]&gt;=25,data[[#This Row],[Age]]&lt;=34),"25-34",IF(AND(data[[#This Row],[Age]]&gt;35,data[[#This Row],[Age]]&lt;=44),"35-44",IF(data[[#This Row],[Age]]&gt;44,"45+",IF(data[[#This Row],[Age]]&lt;18,"below 18 ")))))</f>
        <v>18-24</v>
      </c>
    </row>
    <row r="1032" spans="1:31" x14ac:dyDescent="0.25">
      <c r="A1032" t="s">
        <v>1085</v>
      </c>
      <c r="B1032">
        <v>41</v>
      </c>
      <c r="C1032" t="s">
        <v>47</v>
      </c>
      <c r="D1032" t="s">
        <v>64</v>
      </c>
      <c r="E1032" t="s">
        <v>33</v>
      </c>
      <c r="F1032" t="s">
        <v>51</v>
      </c>
      <c r="G1032">
        <v>4.0999999999999996</v>
      </c>
      <c r="H1032">
        <v>4</v>
      </c>
      <c r="I1032">
        <v>8</v>
      </c>
      <c r="J1032" t="s">
        <v>35</v>
      </c>
      <c r="K1032" t="s">
        <v>36</v>
      </c>
      <c r="L1032">
        <v>113</v>
      </c>
      <c r="M1032">
        <v>3</v>
      </c>
      <c r="N1032">
        <v>3.5</v>
      </c>
      <c r="O1032">
        <v>5.8</v>
      </c>
      <c r="P1032">
        <v>1.6</v>
      </c>
      <c r="Q1032" t="s">
        <v>35</v>
      </c>
      <c r="R1032" t="s">
        <v>42</v>
      </c>
      <c r="S1032">
        <v>5.2</v>
      </c>
      <c r="T1032">
        <v>3</v>
      </c>
      <c r="U1032">
        <v>6.4</v>
      </c>
      <c r="V1032">
        <v>3.3</v>
      </c>
      <c r="W1032">
        <v>5.6</v>
      </c>
      <c r="X1032">
        <v>7.3</v>
      </c>
      <c r="Y1032">
        <v>5.2</v>
      </c>
      <c r="Z1032">
        <v>8.3000000000000007</v>
      </c>
      <c r="AA1032">
        <v>3.3</v>
      </c>
      <c r="AB1032">
        <v>3.9</v>
      </c>
      <c r="AC1032">
        <v>7.3</v>
      </c>
      <c r="AD1032" t="s">
        <v>53</v>
      </c>
      <c r="AE1032" t="str">
        <f>IF(AND(data[[#This Row],[Age]]&gt;=18,data[[#This Row],[Age]]&lt;=24),"18-24",IF(AND(data[[#This Row],[Age]]&gt;=25,data[[#This Row],[Age]]&lt;=34),"25-34",IF(AND(data[[#This Row],[Age]]&gt;35,data[[#This Row],[Age]]&lt;=44),"35-44",IF(data[[#This Row],[Age]]&gt;44,"45+",IF(data[[#This Row],[Age]]&lt;18,"below 18 ")))))</f>
        <v>35-44</v>
      </c>
    </row>
    <row r="1033" spans="1:31" x14ac:dyDescent="0.25">
      <c r="A1033" t="s">
        <v>1086</v>
      </c>
      <c r="B1033">
        <v>22</v>
      </c>
      <c r="C1033" t="s">
        <v>50</v>
      </c>
      <c r="D1033" t="s">
        <v>39</v>
      </c>
      <c r="E1033" t="s">
        <v>58</v>
      </c>
      <c r="F1033" t="s">
        <v>34</v>
      </c>
      <c r="G1033">
        <v>5.8</v>
      </c>
      <c r="H1033">
        <v>6</v>
      </c>
      <c r="I1033">
        <v>5</v>
      </c>
      <c r="J1033" t="s">
        <v>35</v>
      </c>
      <c r="K1033" t="s">
        <v>36</v>
      </c>
      <c r="L1033">
        <v>52</v>
      </c>
      <c r="M1033">
        <v>8.1</v>
      </c>
      <c r="N1033">
        <v>5.8</v>
      </c>
      <c r="O1033">
        <v>4.3</v>
      </c>
      <c r="P1033">
        <v>2.1</v>
      </c>
      <c r="Q1033" t="s">
        <v>35</v>
      </c>
      <c r="R1033" t="s">
        <v>42</v>
      </c>
      <c r="S1033">
        <v>6.8</v>
      </c>
      <c r="T1033">
        <v>5.7</v>
      </c>
      <c r="U1033">
        <v>6.5</v>
      </c>
      <c r="V1033">
        <v>4.3</v>
      </c>
      <c r="W1033">
        <v>9</v>
      </c>
      <c r="X1033">
        <v>8.4</v>
      </c>
      <c r="Y1033">
        <v>6.5</v>
      </c>
      <c r="Z1033">
        <v>5.2</v>
      </c>
      <c r="AA1033">
        <v>1.4</v>
      </c>
      <c r="AB1033">
        <v>1</v>
      </c>
      <c r="AC1033">
        <v>4.8</v>
      </c>
      <c r="AD1033" t="s">
        <v>45</v>
      </c>
      <c r="AE1033" t="str">
        <f>IF(AND(data[[#This Row],[Age]]&gt;=18,data[[#This Row],[Age]]&lt;=24),"18-24",IF(AND(data[[#This Row],[Age]]&gt;=25,data[[#This Row],[Age]]&lt;=34),"25-34",IF(AND(data[[#This Row],[Age]]&gt;35,data[[#This Row],[Age]]&lt;=44),"35-44",IF(data[[#This Row],[Age]]&gt;44,"45+",IF(data[[#This Row],[Age]]&lt;18,"below 18 ")))))</f>
        <v>18-24</v>
      </c>
    </row>
    <row r="1034" spans="1:31" x14ac:dyDescent="0.25">
      <c r="A1034" t="s">
        <v>1087</v>
      </c>
      <c r="B1034">
        <v>29</v>
      </c>
      <c r="C1034" t="s">
        <v>47</v>
      </c>
      <c r="D1034" t="s">
        <v>32</v>
      </c>
      <c r="E1034" t="s">
        <v>33</v>
      </c>
      <c r="F1034" t="s">
        <v>41</v>
      </c>
      <c r="G1034">
        <v>3.8</v>
      </c>
      <c r="H1034">
        <v>3</v>
      </c>
      <c r="I1034">
        <v>4</v>
      </c>
      <c r="J1034" t="s">
        <v>35</v>
      </c>
      <c r="K1034" t="s">
        <v>62</v>
      </c>
      <c r="L1034">
        <v>80</v>
      </c>
      <c r="M1034">
        <v>4.8</v>
      </c>
      <c r="N1034">
        <v>6.4</v>
      </c>
      <c r="O1034">
        <v>6.9</v>
      </c>
      <c r="P1034">
        <v>7.2</v>
      </c>
      <c r="Q1034" t="s">
        <v>35</v>
      </c>
      <c r="R1034" t="s">
        <v>42</v>
      </c>
      <c r="S1034">
        <v>6.6</v>
      </c>
      <c r="T1034">
        <v>3.2</v>
      </c>
      <c r="U1034">
        <v>6.1</v>
      </c>
      <c r="V1034">
        <v>7.3</v>
      </c>
      <c r="W1034">
        <v>4.3</v>
      </c>
      <c r="X1034">
        <v>6.2</v>
      </c>
      <c r="Y1034">
        <v>6.6</v>
      </c>
      <c r="Z1034">
        <v>3.9</v>
      </c>
      <c r="AA1034">
        <v>1.2</v>
      </c>
      <c r="AB1034">
        <v>5.3</v>
      </c>
      <c r="AC1034">
        <v>5.3</v>
      </c>
      <c r="AD1034" t="s">
        <v>45</v>
      </c>
      <c r="AE1034" t="str">
        <f>IF(AND(data[[#This Row],[Age]]&gt;=18,data[[#This Row],[Age]]&lt;=24),"18-24",IF(AND(data[[#This Row],[Age]]&gt;=25,data[[#This Row],[Age]]&lt;=34),"25-34",IF(AND(data[[#This Row],[Age]]&gt;35,data[[#This Row],[Age]]&lt;=44),"35-44",IF(data[[#This Row],[Age]]&gt;44,"45+",IF(data[[#This Row],[Age]]&lt;18,"below 18 ")))))</f>
        <v>25-34</v>
      </c>
    </row>
    <row r="1035" spans="1:31" x14ac:dyDescent="0.25">
      <c r="A1035" t="s">
        <v>1088</v>
      </c>
      <c r="B1035">
        <v>42</v>
      </c>
      <c r="C1035" t="s">
        <v>47</v>
      </c>
      <c r="D1035" t="s">
        <v>39</v>
      </c>
      <c r="E1035" t="s">
        <v>58</v>
      </c>
      <c r="F1035" t="s">
        <v>41</v>
      </c>
      <c r="G1035">
        <v>4</v>
      </c>
      <c r="H1035">
        <v>4</v>
      </c>
      <c r="I1035">
        <v>3</v>
      </c>
      <c r="J1035" t="s">
        <v>35</v>
      </c>
      <c r="K1035" t="s">
        <v>36</v>
      </c>
      <c r="L1035">
        <v>53</v>
      </c>
      <c r="M1035">
        <v>5.2</v>
      </c>
      <c r="N1035">
        <v>8.4</v>
      </c>
      <c r="O1035">
        <v>0.9</v>
      </c>
      <c r="P1035">
        <v>4.4000000000000004</v>
      </c>
      <c r="Q1035" t="s">
        <v>35</v>
      </c>
      <c r="R1035" t="s">
        <v>42</v>
      </c>
      <c r="S1035">
        <v>4.8</v>
      </c>
      <c r="T1035">
        <v>5.9</v>
      </c>
      <c r="U1035">
        <v>4</v>
      </c>
      <c r="V1035">
        <v>1.8</v>
      </c>
      <c r="W1035">
        <v>4.0999999999999996</v>
      </c>
      <c r="X1035">
        <v>4.4000000000000004</v>
      </c>
      <c r="Y1035">
        <v>0.4</v>
      </c>
      <c r="Z1035">
        <v>6.3</v>
      </c>
      <c r="AA1035">
        <v>7.2</v>
      </c>
      <c r="AB1035">
        <v>0</v>
      </c>
      <c r="AC1035">
        <v>6.9</v>
      </c>
      <c r="AD1035" t="s">
        <v>53</v>
      </c>
      <c r="AE1035" t="str">
        <f>IF(AND(data[[#This Row],[Age]]&gt;=18,data[[#This Row],[Age]]&lt;=24),"18-24",IF(AND(data[[#This Row],[Age]]&gt;=25,data[[#This Row],[Age]]&lt;=34),"25-34",IF(AND(data[[#This Row],[Age]]&gt;35,data[[#This Row],[Age]]&lt;=44),"35-44",IF(data[[#This Row],[Age]]&gt;44,"45+",IF(data[[#This Row],[Age]]&lt;18,"below 18 ")))))</f>
        <v>35-44</v>
      </c>
    </row>
    <row r="1036" spans="1:31" x14ac:dyDescent="0.25">
      <c r="A1036" t="s">
        <v>1089</v>
      </c>
      <c r="B1036">
        <v>34</v>
      </c>
      <c r="C1036" t="s">
        <v>47</v>
      </c>
      <c r="D1036" t="s">
        <v>39</v>
      </c>
      <c r="E1036" t="s">
        <v>33</v>
      </c>
      <c r="F1036" t="s">
        <v>34</v>
      </c>
      <c r="G1036">
        <v>2.9</v>
      </c>
      <c r="H1036">
        <v>2</v>
      </c>
      <c r="I1036">
        <v>5</v>
      </c>
      <c r="J1036" t="s">
        <v>42</v>
      </c>
      <c r="K1036" t="s">
        <v>36</v>
      </c>
      <c r="L1036">
        <v>84</v>
      </c>
      <c r="M1036">
        <v>7.5</v>
      </c>
      <c r="N1036">
        <v>7.3</v>
      </c>
      <c r="O1036">
        <v>4.3</v>
      </c>
      <c r="P1036">
        <v>4.4000000000000004</v>
      </c>
      <c r="Q1036" t="s">
        <v>42</v>
      </c>
      <c r="R1036" t="s">
        <v>35</v>
      </c>
      <c r="S1036">
        <v>7.1</v>
      </c>
      <c r="T1036">
        <v>9.1999999999999993</v>
      </c>
      <c r="U1036">
        <v>1.7</v>
      </c>
      <c r="V1036">
        <v>7.2</v>
      </c>
      <c r="W1036">
        <v>6.2</v>
      </c>
      <c r="X1036">
        <v>6.6</v>
      </c>
      <c r="Y1036">
        <v>5.2</v>
      </c>
      <c r="Z1036">
        <v>4.5</v>
      </c>
      <c r="AA1036">
        <v>3.3</v>
      </c>
      <c r="AB1036">
        <v>1.9</v>
      </c>
      <c r="AC1036">
        <v>7.1</v>
      </c>
      <c r="AD1036" t="s">
        <v>53</v>
      </c>
      <c r="AE1036" t="str">
        <f>IF(AND(data[[#This Row],[Age]]&gt;=18,data[[#This Row],[Age]]&lt;=24),"18-24",IF(AND(data[[#This Row],[Age]]&gt;=25,data[[#This Row],[Age]]&lt;=34),"25-34",IF(AND(data[[#This Row],[Age]]&gt;35,data[[#This Row],[Age]]&lt;=44),"35-44",IF(data[[#This Row],[Age]]&gt;44,"45+",IF(data[[#This Row],[Age]]&lt;18,"below 18 ")))))</f>
        <v>25-34</v>
      </c>
    </row>
    <row r="1037" spans="1:31" x14ac:dyDescent="0.25">
      <c r="A1037" t="s">
        <v>1090</v>
      </c>
      <c r="B1037">
        <v>32</v>
      </c>
      <c r="C1037" t="s">
        <v>31</v>
      </c>
      <c r="D1037" t="s">
        <v>32</v>
      </c>
      <c r="E1037" t="s">
        <v>58</v>
      </c>
      <c r="F1037" t="s">
        <v>70</v>
      </c>
      <c r="G1037">
        <v>1.6</v>
      </c>
      <c r="H1037">
        <v>3</v>
      </c>
      <c r="I1037">
        <v>2</v>
      </c>
      <c r="J1037" t="s">
        <v>42</v>
      </c>
      <c r="K1037" t="s">
        <v>36</v>
      </c>
      <c r="L1037">
        <v>74</v>
      </c>
      <c r="M1037">
        <v>7.4</v>
      </c>
      <c r="N1037">
        <v>4.5</v>
      </c>
      <c r="O1037">
        <v>5.9</v>
      </c>
      <c r="P1037">
        <v>2.8</v>
      </c>
      <c r="Q1037" t="s">
        <v>35</v>
      </c>
      <c r="R1037" t="s">
        <v>35</v>
      </c>
      <c r="S1037">
        <v>2.5</v>
      </c>
      <c r="T1037">
        <v>1.2</v>
      </c>
      <c r="U1037">
        <v>4.2</v>
      </c>
      <c r="W1037">
        <v>8.5</v>
      </c>
      <c r="X1037">
        <v>7.7</v>
      </c>
      <c r="Y1037">
        <v>6.7</v>
      </c>
      <c r="Z1037">
        <v>4</v>
      </c>
      <c r="AA1037">
        <v>1.5</v>
      </c>
      <c r="AB1037">
        <v>3.9</v>
      </c>
      <c r="AC1037">
        <v>7</v>
      </c>
      <c r="AD1037" t="s">
        <v>37</v>
      </c>
      <c r="AE1037" t="str">
        <f>IF(AND(data[[#This Row],[Age]]&gt;=18,data[[#This Row],[Age]]&lt;=24),"18-24",IF(AND(data[[#This Row],[Age]]&gt;=25,data[[#This Row],[Age]]&lt;=34),"25-34",IF(AND(data[[#This Row],[Age]]&gt;35,data[[#This Row],[Age]]&lt;=44),"35-44",IF(data[[#This Row],[Age]]&gt;44,"45+",IF(data[[#This Row],[Age]]&lt;18,"below 18 ")))))</f>
        <v>25-34</v>
      </c>
    </row>
    <row r="1038" spans="1:31" x14ac:dyDescent="0.25">
      <c r="A1038" t="s">
        <v>1091</v>
      </c>
      <c r="B1038">
        <v>31</v>
      </c>
      <c r="C1038" t="s">
        <v>50</v>
      </c>
      <c r="D1038" t="s">
        <v>32</v>
      </c>
      <c r="E1038" t="s">
        <v>40</v>
      </c>
      <c r="F1038" t="s">
        <v>41</v>
      </c>
      <c r="G1038">
        <v>4.8</v>
      </c>
      <c r="H1038">
        <v>8</v>
      </c>
      <c r="I1038">
        <v>2</v>
      </c>
      <c r="J1038" t="s">
        <v>42</v>
      </c>
      <c r="K1038" t="s">
        <v>36</v>
      </c>
      <c r="L1038">
        <v>132</v>
      </c>
      <c r="M1038">
        <v>9.1999999999999993</v>
      </c>
      <c r="N1038">
        <v>4.7</v>
      </c>
      <c r="O1038">
        <v>3.2</v>
      </c>
      <c r="P1038">
        <v>2.9</v>
      </c>
      <c r="Q1038" t="s">
        <v>35</v>
      </c>
      <c r="R1038" t="s">
        <v>35</v>
      </c>
      <c r="S1038">
        <v>3.9</v>
      </c>
      <c r="T1038">
        <v>6.7</v>
      </c>
      <c r="U1038">
        <v>3.3</v>
      </c>
      <c r="V1038">
        <v>4.3</v>
      </c>
      <c r="W1038">
        <v>8.4</v>
      </c>
      <c r="X1038">
        <v>7.2</v>
      </c>
      <c r="Y1038">
        <v>4.5999999999999996</v>
      </c>
      <c r="Z1038">
        <v>4.9000000000000004</v>
      </c>
      <c r="AA1038">
        <v>4.2</v>
      </c>
      <c r="AB1038">
        <v>3.7</v>
      </c>
      <c r="AC1038">
        <v>6.8</v>
      </c>
      <c r="AD1038" t="s">
        <v>53</v>
      </c>
      <c r="AE1038" t="str">
        <f>IF(AND(data[[#This Row],[Age]]&gt;=18,data[[#This Row],[Age]]&lt;=24),"18-24",IF(AND(data[[#This Row],[Age]]&gt;=25,data[[#This Row],[Age]]&lt;=34),"25-34",IF(AND(data[[#This Row],[Age]]&gt;35,data[[#This Row],[Age]]&lt;=44),"35-44",IF(data[[#This Row],[Age]]&gt;44,"45+",IF(data[[#This Row],[Age]]&lt;18,"below 18 ")))))</f>
        <v>25-34</v>
      </c>
    </row>
    <row r="1039" spans="1:31" x14ac:dyDescent="0.25">
      <c r="A1039" t="s">
        <v>1092</v>
      </c>
      <c r="B1039">
        <v>17</v>
      </c>
      <c r="C1039" t="s">
        <v>47</v>
      </c>
      <c r="D1039" t="s">
        <v>39</v>
      </c>
      <c r="E1039" t="s">
        <v>40</v>
      </c>
      <c r="F1039" t="s">
        <v>48</v>
      </c>
      <c r="G1039">
        <v>4.4000000000000004</v>
      </c>
      <c r="H1039">
        <v>3</v>
      </c>
      <c r="I1039">
        <v>5</v>
      </c>
      <c r="J1039" t="s">
        <v>42</v>
      </c>
      <c r="K1039" t="s">
        <v>36</v>
      </c>
      <c r="L1039">
        <v>71</v>
      </c>
      <c r="M1039">
        <v>7.5</v>
      </c>
      <c r="N1039">
        <v>9.8000000000000007</v>
      </c>
      <c r="O1039">
        <v>4.4000000000000004</v>
      </c>
      <c r="P1039">
        <v>2.7</v>
      </c>
      <c r="Q1039" t="s">
        <v>35</v>
      </c>
      <c r="R1039" t="s">
        <v>42</v>
      </c>
      <c r="S1039">
        <v>6.2</v>
      </c>
      <c r="T1039">
        <v>5.2</v>
      </c>
      <c r="U1039">
        <v>4.3</v>
      </c>
      <c r="V1039">
        <v>8.1999999999999993</v>
      </c>
      <c r="W1039">
        <v>5.8</v>
      </c>
      <c r="X1039">
        <v>4.4000000000000004</v>
      </c>
      <c r="Y1039">
        <v>3.9</v>
      </c>
      <c r="Z1039">
        <v>6.3</v>
      </c>
      <c r="AA1039">
        <v>2.4</v>
      </c>
      <c r="AB1039">
        <v>0.8</v>
      </c>
      <c r="AC1039">
        <v>5.6</v>
      </c>
      <c r="AD1039" t="s">
        <v>45</v>
      </c>
      <c r="AE1039" t="str">
        <f>IF(AND(data[[#This Row],[Age]]&gt;=18,data[[#This Row],[Age]]&lt;=24),"18-24",IF(AND(data[[#This Row],[Age]]&gt;=25,data[[#This Row],[Age]]&lt;=34),"25-34",IF(AND(data[[#This Row],[Age]]&gt;35,data[[#This Row],[Age]]&lt;=44),"35-44",IF(data[[#This Row],[Age]]&gt;44,"45+",IF(data[[#This Row],[Age]]&lt;18,"below 18 ")))))</f>
        <v xml:space="preserve">below 18 </v>
      </c>
    </row>
    <row r="1040" spans="1:31" x14ac:dyDescent="0.25">
      <c r="A1040" t="s">
        <v>1093</v>
      </c>
      <c r="B1040">
        <v>37</v>
      </c>
      <c r="C1040" t="s">
        <v>47</v>
      </c>
      <c r="D1040" t="s">
        <v>39</v>
      </c>
      <c r="E1040" t="s">
        <v>33</v>
      </c>
      <c r="F1040" t="s">
        <v>34</v>
      </c>
      <c r="G1040">
        <v>7.9</v>
      </c>
      <c r="H1040">
        <v>2</v>
      </c>
      <c r="I1040">
        <v>1</v>
      </c>
      <c r="J1040" t="s">
        <v>35</v>
      </c>
      <c r="K1040" t="s">
        <v>62</v>
      </c>
      <c r="L1040">
        <v>83</v>
      </c>
      <c r="M1040">
        <v>7.3</v>
      </c>
      <c r="N1040">
        <v>5.3</v>
      </c>
      <c r="O1040">
        <v>6.8</v>
      </c>
      <c r="P1040">
        <v>7.9</v>
      </c>
      <c r="Q1040" t="s">
        <v>42</v>
      </c>
      <c r="R1040" t="s">
        <v>35</v>
      </c>
      <c r="S1040">
        <v>5.5</v>
      </c>
      <c r="T1040">
        <v>5.0999999999999996</v>
      </c>
      <c r="U1040">
        <v>3.3</v>
      </c>
      <c r="V1040">
        <v>5.8</v>
      </c>
      <c r="W1040">
        <v>3.1</v>
      </c>
      <c r="X1040">
        <v>6.6</v>
      </c>
      <c r="Y1040">
        <v>8.3000000000000007</v>
      </c>
      <c r="Z1040">
        <v>5.4</v>
      </c>
      <c r="AA1040">
        <v>3.8</v>
      </c>
      <c r="AB1040">
        <v>0.9</v>
      </c>
      <c r="AC1040">
        <v>6.9</v>
      </c>
      <c r="AD1040" t="s">
        <v>53</v>
      </c>
      <c r="AE1040" t="str">
        <f>IF(AND(data[[#This Row],[Age]]&gt;=18,data[[#This Row],[Age]]&lt;=24),"18-24",IF(AND(data[[#This Row],[Age]]&gt;=25,data[[#This Row],[Age]]&lt;=34),"25-34",IF(AND(data[[#This Row],[Age]]&gt;35,data[[#This Row],[Age]]&lt;=44),"35-44",IF(data[[#This Row],[Age]]&gt;44,"45+",IF(data[[#This Row],[Age]]&lt;18,"below 18 ")))))</f>
        <v>35-44</v>
      </c>
    </row>
    <row r="1041" spans="1:31" x14ac:dyDescent="0.25">
      <c r="A1041" t="s">
        <v>1094</v>
      </c>
      <c r="B1041">
        <v>32</v>
      </c>
      <c r="C1041" t="s">
        <v>47</v>
      </c>
      <c r="D1041" t="s">
        <v>39</v>
      </c>
      <c r="E1041" t="s">
        <v>40</v>
      </c>
      <c r="F1041" t="s">
        <v>48</v>
      </c>
      <c r="G1041">
        <v>5.4</v>
      </c>
      <c r="H1041">
        <v>3</v>
      </c>
      <c r="I1041">
        <v>3</v>
      </c>
      <c r="J1041" t="s">
        <v>35</v>
      </c>
      <c r="K1041" t="s">
        <v>36</v>
      </c>
      <c r="L1041">
        <v>18</v>
      </c>
      <c r="M1041">
        <v>6.4</v>
      </c>
      <c r="N1041">
        <v>8.8000000000000007</v>
      </c>
      <c r="O1041">
        <v>7.4</v>
      </c>
      <c r="P1041">
        <v>6.3</v>
      </c>
      <c r="Q1041" t="s">
        <v>42</v>
      </c>
      <c r="R1041" t="s">
        <v>42</v>
      </c>
      <c r="S1041">
        <v>4.2</v>
      </c>
      <c r="T1041">
        <v>4.5</v>
      </c>
      <c r="U1041">
        <v>4.5</v>
      </c>
      <c r="V1041">
        <v>5.7</v>
      </c>
      <c r="W1041">
        <v>9.8000000000000007</v>
      </c>
      <c r="X1041">
        <v>6.4</v>
      </c>
      <c r="Y1041">
        <v>9.9</v>
      </c>
      <c r="Z1041">
        <v>5.5</v>
      </c>
      <c r="AA1041">
        <v>3.2</v>
      </c>
      <c r="AB1041">
        <v>1.6</v>
      </c>
      <c r="AC1041">
        <v>6</v>
      </c>
      <c r="AD1041" t="s">
        <v>45</v>
      </c>
      <c r="AE1041" t="str">
        <f>IF(AND(data[[#This Row],[Age]]&gt;=18,data[[#This Row],[Age]]&lt;=24),"18-24",IF(AND(data[[#This Row],[Age]]&gt;=25,data[[#This Row],[Age]]&lt;=34),"25-34",IF(AND(data[[#This Row],[Age]]&gt;35,data[[#This Row],[Age]]&lt;=44),"35-44",IF(data[[#This Row],[Age]]&gt;44,"45+",IF(data[[#This Row],[Age]]&lt;18,"below 18 ")))))</f>
        <v>25-34</v>
      </c>
    </row>
    <row r="1042" spans="1:31" x14ac:dyDescent="0.25">
      <c r="A1042" t="s">
        <v>1095</v>
      </c>
      <c r="B1042">
        <v>39</v>
      </c>
      <c r="C1042" t="s">
        <v>50</v>
      </c>
      <c r="D1042" t="s">
        <v>39</v>
      </c>
      <c r="E1042" t="s">
        <v>58</v>
      </c>
      <c r="F1042" t="s">
        <v>41</v>
      </c>
      <c r="G1042">
        <v>8.5</v>
      </c>
      <c r="H1042">
        <v>1</v>
      </c>
      <c r="I1042">
        <v>5</v>
      </c>
      <c r="J1042" t="s">
        <v>35</v>
      </c>
      <c r="K1042" t="s">
        <v>52</v>
      </c>
      <c r="L1042">
        <v>72</v>
      </c>
      <c r="M1042">
        <v>9.1999999999999993</v>
      </c>
      <c r="N1042">
        <v>5</v>
      </c>
      <c r="O1042">
        <v>3.6</v>
      </c>
      <c r="P1042">
        <v>5.4</v>
      </c>
      <c r="Q1042" t="s">
        <v>35</v>
      </c>
      <c r="R1042" t="s">
        <v>42</v>
      </c>
      <c r="S1042">
        <v>5.3</v>
      </c>
      <c r="T1042">
        <v>8.6</v>
      </c>
      <c r="U1042">
        <v>3.2</v>
      </c>
      <c r="V1042">
        <v>8</v>
      </c>
      <c r="W1042">
        <v>3.7</v>
      </c>
      <c r="X1042">
        <v>5.5</v>
      </c>
      <c r="Y1042">
        <v>5.6</v>
      </c>
      <c r="Z1042">
        <v>6.1</v>
      </c>
      <c r="AA1042">
        <v>6.1</v>
      </c>
      <c r="AB1042">
        <v>4.5</v>
      </c>
      <c r="AC1042">
        <v>6.8</v>
      </c>
      <c r="AD1042" t="s">
        <v>53</v>
      </c>
      <c r="AE1042" t="str">
        <f>IF(AND(data[[#This Row],[Age]]&gt;=18,data[[#This Row],[Age]]&lt;=24),"18-24",IF(AND(data[[#This Row],[Age]]&gt;=25,data[[#This Row],[Age]]&lt;=34),"25-34",IF(AND(data[[#This Row],[Age]]&gt;35,data[[#This Row],[Age]]&lt;=44),"35-44",IF(data[[#This Row],[Age]]&gt;44,"45+",IF(data[[#This Row],[Age]]&lt;18,"below 18 ")))))</f>
        <v>35-44</v>
      </c>
    </row>
    <row r="1043" spans="1:31" x14ac:dyDescent="0.25">
      <c r="A1043" t="s">
        <v>1096</v>
      </c>
      <c r="B1043">
        <v>16</v>
      </c>
      <c r="C1043" t="s">
        <v>31</v>
      </c>
      <c r="D1043" t="s">
        <v>39</v>
      </c>
      <c r="E1043" t="s">
        <v>33</v>
      </c>
      <c r="F1043" t="s">
        <v>51</v>
      </c>
      <c r="G1043">
        <v>8.6999999999999993</v>
      </c>
      <c r="H1043">
        <v>4</v>
      </c>
      <c r="I1043">
        <v>4</v>
      </c>
      <c r="J1043" t="s">
        <v>42</v>
      </c>
      <c r="K1043" t="s">
        <v>62</v>
      </c>
      <c r="L1043">
        <v>88</v>
      </c>
      <c r="M1043">
        <v>5</v>
      </c>
      <c r="N1043">
        <v>7.2</v>
      </c>
      <c r="O1043">
        <v>5.3</v>
      </c>
      <c r="P1043">
        <v>7</v>
      </c>
      <c r="Q1043" t="s">
        <v>35</v>
      </c>
      <c r="R1043" t="s">
        <v>42</v>
      </c>
      <c r="S1043">
        <v>3.3</v>
      </c>
      <c r="T1043">
        <v>5.3</v>
      </c>
      <c r="U1043">
        <v>5.4</v>
      </c>
      <c r="V1043">
        <v>5.7</v>
      </c>
      <c r="W1043">
        <v>6.6</v>
      </c>
      <c r="X1043">
        <v>5.4</v>
      </c>
      <c r="Y1043">
        <v>2.8</v>
      </c>
      <c r="AA1043">
        <v>3.2</v>
      </c>
      <c r="AB1043">
        <v>0.2</v>
      </c>
      <c r="AC1043">
        <v>4.3</v>
      </c>
      <c r="AD1043" t="s">
        <v>43</v>
      </c>
      <c r="AE1043" t="str">
        <f>IF(AND(data[[#This Row],[Age]]&gt;=18,data[[#This Row],[Age]]&lt;=24),"18-24",IF(AND(data[[#This Row],[Age]]&gt;=25,data[[#This Row],[Age]]&lt;=34),"25-34",IF(AND(data[[#This Row],[Age]]&gt;35,data[[#This Row],[Age]]&lt;=44),"35-44",IF(data[[#This Row],[Age]]&gt;44,"45+",IF(data[[#This Row],[Age]]&lt;18,"below 18 ")))))</f>
        <v xml:space="preserve">below 18 </v>
      </c>
    </row>
    <row r="1044" spans="1:31" x14ac:dyDescent="0.25">
      <c r="A1044" t="s">
        <v>1097</v>
      </c>
      <c r="B1044">
        <v>29</v>
      </c>
      <c r="C1044" t="s">
        <v>47</v>
      </c>
      <c r="D1044" t="s">
        <v>64</v>
      </c>
      <c r="E1044" t="s">
        <v>58</v>
      </c>
      <c r="F1044" t="s">
        <v>70</v>
      </c>
      <c r="G1044">
        <v>5</v>
      </c>
      <c r="H1044">
        <v>4</v>
      </c>
      <c r="I1044">
        <v>5</v>
      </c>
      <c r="J1044" t="s">
        <v>35</v>
      </c>
      <c r="K1044" t="s">
        <v>52</v>
      </c>
      <c r="L1044">
        <v>71</v>
      </c>
      <c r="M1044">
        <v>3.5</v>
      </c>
      <c r="N1044">
        <v>2.7</v>
      </c>
      <c r="O1044">
        <v>7</v>
      </c>
      <c r="P1044">
        <v>6.3</v>
      </c>
      <c r="Q1044" t="s">
        <v>35</v>
      </c>
      <c r="R1044" t="s">
        <v>35</v>
      </c>
      <c r="S1044">
        <v>1.9</v>
      </c>
      <c r="U1044">
        <v>3.2</v>
      </c>
      <c r="W1044">
        <v>6.7</v>
      </c>
      <c r="X1044">
        <v>7.1</v>
      </c>
      <c r="Y1044">
        <v>4.7</v>
      </c>
      <c r="Z1044">
        <v>4.5</v>
      </c>
      <c r="AA1044">
        <v>0.9</v>
      </c>
      <c r="AB1044">
        <v>0.4</v>
      </c>
      <c r="AC1044">
        <v>8.1</v>
      </c>
      <c r="AD1044" t="s">
        <v>37</v>
      </c>
      <c r="AE1044" t="str">
        <f>IF(AND(data[[#This Row],[Age]]&gt;=18,data[[#This Row],[Age]]&lt;=24),"18-24",IF(AND(data[[#This Row],[Age]]&gt;=25,data[[#This Row],[Age]]&lt;=34),"25-34",IF(AND(data[[#This Row],[Age]]&gt;35,data[[#This Row],[Age]]&lt;=44),"35-44",IF(data[[#This Row],[Age]]&gt;44,"45+",IF(data[[#This Row],[Age]]&lt;18,"below 18 ")))))</f>
        <v>25-34</v>
      </c>
    </row>
    <row r="1045" spans="1:31" x14ac:dyDescent="0.25">
      <c r="A1045" t="s">
        <v>1098</v>
      </c>
      <c r="B1045">
        <v>17</v>
      </c>
      <c r="C1045" t="s">
        <v>50</v>
      </c>
      <c r="D1045" t="s">
        <v>39</v>
      </c>
      <c r="E1045" t="s">
        <v>33</v>
      </c>
      <c r="F1045" t="s">
        <v>34</v>
      </c>
      <c r="G1045">
        <v>2.2000000000000002</v>
      </c>
      <c r="H1045">
        <v>3</v>
      </c>
      <c r="I1045">
        <v>3</v>
      </c>
      <c r="J1045" t="s">
        <v>42</v>
      </c>
      <c r="K1045" t="s">
        <v>36</v>
      </c>
      <c r="L1045">
        <v>27</v>
      </c>
      <c r="M1045">
        <v>8.6</v>
      </c>
      <c r="N1045">
        <v>3.3</v>
      </c>
      <c r="P1045">
        <v>5.4</v>
      </c>
      <c r="Q1045" t="s">
        <v>42</v>
      </c>
      <c r="R1045" t="s">
        <v>42</v>
      </c>
      <c r="S1045">
        <v>5.2</v>
      </c>
      <c r="T1045">
        <v>8</v>
      </c>
      <c r="U1045">
        <v>5.6</v>
      </c>
      <c r="V1045">
        <v>7.9</v>
      </c>
      <c r="W1045">
        <v>2.6</v>
      </c>
      <c r="X1045">
        <v>7.6</v>
      </c>
      <c r="Y1045">
        <v>4.5</v>
      </c>
      <c r="Z1045">
        <v>3.8</v>
      </c>
      <c r="AA1045">
        <v>2.6</v>
      </c>
      <c r="AB1045">
        <v>4</v>
      </c>
      <c r="AC1045">
        <v>5.4</v>
      </c>
      <c r="AD1045" t="s">
        <v>43</v>
      </c>
      <c r="AE1045" t="str">
        <f>IF(AND(data[[#This Row],[Age]]&gt;=18,data[[#This Row],[Age]]&lt;=24),"18-24",IF(AND(data[[#This Row],[Age]]&gt;=25,data[[#This Row],[Age]]&lt;=34),"25-34",IF(AND(data[[#This Row],[Age]]&gt;35,data[[#This Row],[Age]]&lt;=44),"35-44",IF(data[[#This Row],[Age]]&gt;44,"45+",IF(data[[#This Row],[Age]]&lt;18,"below 18 ")))))</f>
        <v xml:space="preserve">below 18 </v>
      </c>
    </row>
    <row r="1046" spans="1:31" x14ac:dyDescent="0.25">
      <c r="A1046" t="s">
        <v>1099</v>
      </c>
      <c r="B1046">
        <v>33</v>
      </c>
      <c r="C1046" t="s">
        <v>31</v>
      </c>
      <c r="D1046" t="s">
        <v>39</v>
      </c>
      <c r="E1046" t="s">
        <v>33</v>
      </c>
      <c r="F1046" t="s">
        <v>41</v>
      </c>
      <c r="G1046">
        <v>4</v>
      </c>
      <c r="H1046">
        <v>2</v>
      </c>
      <c r="I1046">
        <v>3</v>
      </c>
      <c r="J1046" t="s">
        <v>35</v>
      </c>
      <c r="K1046" t="s">
        <v>36</v>
      </c>
      <c r="L1046">
        <v>58</v>
      </c>
      <c r="M1046">
        <v>7.1</v>
      </c>
      <c r="N1046">
        <v>7.5</v>
      </c>
      <c r="O1046">
        <v>6.2</v>
      </c>
      <c r="P1046">
        <v>3.6</v>
      </c>
      <c r="Q1046" t="s">
        <v>42</v>
      </c>
      <c r="R1046" t="s">
        <v>35</v>
      </c>
      <c r="S1046">
        <v>1.7</v>
      </c>
      <c r="U1046">
        <v>6.1</v>
      </c>
      <c r="V1046">
        <v>5.8</v>
      </c>
      <c r="W1046">
        <v>4.2</v>
      </c>
      <c r="X1046">
        <v>7.5</v>
      </c>
      <c r="Y1046">
        <v>2.2999999999999998</v>
      </c>
      <c r="Z1046">
        <v>7.9</v>
      </c>
      <c r="AA1046">
        <v>3.2</v>
      </c>
      <c r="AB1046">
        <v>1</v>
      </c>
      <c r="AC1046">
        <v>6.4</v>
      </c>
      <c r="AD1046" t="s">
        <v>53</v>
      </c>
      <c r="AE1046" t="str">
        <f>IF(AND(data[[#This Row],[Age]]&gt;=18,data[[#This Row],[Age]]&lt;=24),"18-24",IF(AND(data[[#This Row],[Age]]&gt;=25,data[[#This Row],[Age]]&lt;=34),"25-34",IF(AND(data[[#This Row],[Age]]&gt;35,data[[#This Row],[Age]]&lt;=44),"35-44",IF(data[[#This Row],[Age]]&gt;44,"45+",IF(data[[#This Row],[Age]]&lt;18,"below 18 ")))))</f>
        <v>25-34</v>
      </c>
    </row>
    <row r="1047" spans="1:31" x14ac:dyDescent="0.25">
      <c r="A1047" t="s">
        <v>1100</v>
      </c>
      <c r="B1047">
        <v>30</v>
      </c>
      <c r="C1047" t="s">
        <v>31</v>
      </c>
      <c r="D1047" t="s">
        <v>32</v>
      </c>
      <c r="E1047" t="s">
        <v>40</v>
      </c>
      <c r="F1047" t="s">
        <v>48</v>
      </c>
      <c r="G1047">
        <v>6.7</v>
      </c>
      <c r="H1047">
        <v>5</v>
      </c>
      <c r="I1047">
        <v>4</v>
      </c>
      <c r="J1047" t="s">
        <v>35</v>
      </c>
      <c r="K1047" t="s">
        <v>36</v>
      </c>
      <c r="L1047">
        <v>117</v>
      </c>
      <c r="M1047">
        <v>5</v>
      </c>
      <c r="N1047">
        <v>3.5</v>
      </c>
      <c r="O1047">
        <v>3.7</v>
      </c>
      <c r="P1047">
        <v>4</v>
      </c>
      <c r="Q1047" t="s">
        <v>42</v>
      </c>
      <c r="R1047" t="s">
        <v>42</v>
      </c>
      <c r="S1047">
        <v>4.0999999999999996</v>
      </c>
      <c r="T1047">
        <v>3.8</v>
      </c>
      <c r="U1047">
        <v>6.3</v>
      </c>
      <c r="W1047">
        <v>6</v>
      </c>
      <c r="X1047">
        <v>4.8</v>
      </c>
      <c r="Y1047">
        <v>0</v>
      </c>
      <c r="Z1047">
        <v>5.3</v>
      </c>
      <c r="AA1047">
        <v>4.7</v>
      </c>
      <c r="AB1047">
        <v>0.8</v>
      </c>
      <c r="AC1047">
        <v>6.5</v>
      </c>
      <c r="AD1047" t="s">
        <v>53</v>
      </c>
      <c r="AE1047" t="str">
        <f>IF(AND(data[[#This Row],[Age]]&gt;=18,data[[#This Row],[Age]]&lt;=24),"18-24",IF(AND(data[[#This Row],[Age]]&gt;=25,data[[#This Row],[Age]]&lt;=34),"25-34",IF(AND(data[[#This Row],[Age]]&gt;35,data[[#This Row],[Age]]&lt;=44),"35-44",IF(data[[#This Row],[Age]]&gt;44,"45+",IF(data[[#This Row],[Age]]&lt;18,"below 18 ")))))</f>
        <v>25-34</v>
      </c>
    </row>
    <row r="1048" spans="1:31" x14ac:dyDescent="0.25">
      <c r="A1048" t="s">
        <v>1101</v>
      </c>
      <c r="B1048">
        <v>24</v>
      </c>
      <c r="C1048" t="s">
        <v>50</v>
      </c>
      <c r="D1048" t="s">
        <v>64</v>
      </c>
      <c r="E1048" t="s">
        <v>33</v>
      </c>
      <c r="F1048" t="s">
        <v>51</v>
      </c>
      <c r="G1048">
        <v>4.3</v>
      </c>
      <c r="H1048">
        <v>1</v>
      </c>
      <c r="I1048">
        <v>2</v>
      </c>
      <c r="J1048" t="s">
        <v>35</v>
      </c>
      <c r="K1048" t="s">
        <v>52</v>
      </c>
      <c r="L1048">
        <v>21</v>
      </c>
      <c r="M1048">
        <v>2.2000000000000002</v>
      </c>
      <c r="N1048">
        <v>1.7</v>
      </c>
      <c r="O1048">
        <v>3.9</v>
      </c>
      <c r="P1048">
        <v>4.8</v>
      </c>
      <c r="Q1048" t="s">
        <v>42</v>
      </c>
      <c r="R1048" t="s">
        <v>42</v>
      </c>
      <c r="S1048">
        <v>5.5</v>
      </c>
      <c r="T1048">
        <v>1.9</v>
      </c>
      <c r="U1048">
        <v>1.7</v>
      </c>
      <c r="V1048">
        <v>4.3</v>
      </c>
      <c r="W1048">
        <v>4.4000000000000004</v>
      </c>
      <c r="X1048">
        <v>6.8</v>
      </c>
      <c r="Y1048">
        <v>5.4</v>
      </c>
      <c r="Z1048">
        <v>3.9</v>
      </c>
      <c r="AA1048">
        <v>4.5999999999999996</v>
      </c>
      <c r="AB1048">
        <v>2.9</v>
      </c>
      <c r="AC1048">
        <v>7.7</v>
      </c>
      <c r="AD1048" t="s">
        <v>37</v>
      </c>
      <c r="AE1048" t="str">
        <f>IF(AND(data[[#This Row],[Age]]&gt;=18,data[[#This Row],[Age]]&lt;=24),"18-24",IF(AND(data[[#This Row],[Age]]&gt;=25,data[[#This Row],[Age]]&lt;=34),"25-34",IF(AND(data[[#This Row],[Age]]&gt;35,data[[#This Row],[Age]]&lt;=44),"35-44",IF(data[[#This Row],[Age]]&gt;44,"45+",IF(data[[#This Row],[Age]]&lt;18,"below 18 ")))))</f>
        <v>18-24</v>
      </c>
    </row>
    <row r="1049" spans="1:31" x14ac:dyDescent="0.25">
      <c r="A1049" t="s">
        <v>1102</v>
      </c>
      <c r="B1049">
        <v>38</v>
      </c>
      <c r="C1049" t="s">
        <v>47</v>
      </c>
      <c r="D1049" t="s">
        <v>32</v>
      </c>
      <c r="E1049" t="s">
        <v>58</v>
      </c>
      <c r="F1049" t="s">
        <v>70</v>
      </c>
      <c r="G1049">
        <v>6.9</v>
      </c>
      <c r="H1049">
        <v>3</v>
      </c>
      <c r="I1049">
        <v>3</v>
      </c>
      <c r="J1049" t="s">
        <v>42</v>
      </c>
      <c r="K1049" t="s">
        <v>36</v>
      </c>
      <c r="L1049">
        <v>43</v>
      </c>
      <c r="M1049">
        <v>7.4</v>
      </c>
      <c r="N1049">
        <v>5.8</v>
      </c>
      <c r="O1049">
        <v>5.9</v>
      </c>
      <c r="P1049">
        <v>5.0999999999999996</v>
      </c>
      <c r="Q1049" t="s">
        <v>35</v>
      </c>
      <c r="R1049" t="s">
        <v>42</v>
      </c>
      <c r="S1049">
        <v>6.5</v>
      </c>
      <c r="T1049">
        <v>9.1</v>
      </c>
      <c r="V1049">
        <v>5.2</v>
      </c>
      <c r="W1049">
        <v>2.2000000000000002</v>
      </c>
      <c r="X1049">
        <v>7.4</v>
      </c>
      <c r="Y1049">
        <v>10</v>
      </c>
      <c r="Z1049">
        <v>3.1</v>
      </c>
      <c r="AA1049">
        <v>1.5</v>
      </c>
      <c r="AB1049">
        <v>4.9000000000000004</v>
      </c>
      <c r="AC1049">
        <v>2.7</v>
      </c>
      <c r="AD1049" t="s">
        <v>43</v>
      </c>
      <c r="AE1049" t="str">
        <f>IF(AND(data[[#This Row],[Age]]&gt;=18,data[[#This Row],[Age]]&lt;=24),"18-24",IF(AND(data[[#This Row],[Age]]&gt;=25,data[[#This Row],[Age]]&lt;=34),"25-34",IF(AND(data[[#This Row],[Age]]&gt;35,data[[#This Row],[Age]]&lt;=44),"35-44",IF(data[[#This Row],[Age]]&gt;44,"45+",IF(data[[#This Row],[Age]]&lt;18,"below 18 ")))))</f>
        <v>35-44</v>
      </c>
    </row>
    <row r="1050" spans="1:31" x14ac:dyDescent="0.25">
      <c r="A1050" t="s">
        <v>1103</v>
      </c>
      <c r="B1050">
        <v>31</v>
      </c>
      <c r="C1050" t="s">
        <v>31</v>
      </c>
      <c r="D1050" t="s">
        <v>39</v>
      </c>
      <c r="E1050" t="s">
        <v>58</v>
      </c>
      <c r="F1050" t="s">
        <v>51</v>
      </c>
      <c r="G1050">
        <v>3.7</v>
      </c>
      <c r="H1050">
        <v>4</v>
      </c>
      <c r="I1050">
        <v>4</v>
      </c>
      <c r="J1050" t="s">
        <v>42</v>
      </c>
      <c r="K1050" t="s">
        <v>62</v>
      </c>
      <c r="L1050">
        <v>21</v>
      </c>
      <c r="M1050">
        <v>4.9000000000000004</v>
      </c>
      <c r="N1050">
        <v>3.3</v>
      </c>
      <c r="O1050">
        <v>5.9</v>
      </c>
      <c r="P1050">
        <v>6.8</v>
      </c>
      <c r="Q1050" t="s">
        <v>42</v>
      </c>
      <c r="R1050" t="s">
        <v>35</v>
      </c>
      <c r="S1050">
        <v>8.4</v>
      </c>
      <c r="T1050">
        <v>3.8</v>
      </c>
      <c r="U1050">
        <v>4.9000000000000004</v>
      </c>
      <c r="V1050">
        <v>5.5</v>
      </c>
      <c r="W1050">
        <v>5.5</v>
      </c>
      <c r="X1050">
        <v>6.9</v>
      </c>
      <c r="Y1050">
        <v>5.9</v>
      </c>
      <c r="Z1050">
        <v>9.6</v>
      </c>
      <c r="AA1050">
        <v>3.5</v>
      </c>
      <c r="AB1050">
        <v>3.9</v>
      </c>
      <c r="AC1050">
        <v>8</v>
      </c>
      <c r="AD1050" t="s">
        <v>37</v>
      </c>
      <c r="AE1050" t="str">
        <f>IF(AND(data[[#This Row],[Age]]&gt;=18,data[[#This Row],[Age]]&lt;=24),"18-24",IF(AND(data[[#This Row],[Age]]&gt;=25,data[[#This Row],[Age]]&lt;=34),"25-34",IF(AND(data[[#This Row],[Age]]&gt;35,data[[#This Row],[Age]]&lt;=44),"35-44",IF(data[[#This Row],[Age]]&gt;44,"45+",IF(data[[#This Row],[Age]]&lt;18,"below 18 ")))))</f>
        <v>25-34</v>
      </c>
    </row>
    <row r="1051" spans="1:31" x14ac:dyDescent="0.25">
      <c r="A1051" t="s">
        <v>1104</v>
      </c>
      <c r="B1051">
        <v>19</v>
      </c>
      <c r="C1051" t="s">
        <v>47</v>
      </c>
      <c r="D1051" t="s">
        <v>32</v>
      </c>
      <c r="E1051" t="s">
        <v>33</v>
      </c>
      <c r="F1051" t="s">
        <v>34</v>
      </c>
      <c r="G1051">
        <v>4.7</v>
      </c>
      <c r="H1051">
        <v>2</v>
      </c>
      <c r="I1051">
        <v>3</v>
      </c>
      <c r="J1051" t="s">
        <v>42</v>
      </c>
      <c r="K1051" t="s">
        <v>62</v>
      </c>
      <c r="L1051">
        <v>81</v>
      </c>
      <c r="N1051">
        <v>4.4000000000000004</v>
      </c>
      <c r="O1051">
        <v>8</v>
      </c>
      <c r="P1051">
        <v>8</v>
      </c>
      <c r="R1051" t="s">
        <v>42</v>
      </c>
      <c r="S1051">
        <v>6.3</v>
      </c>
      <c r="T1051">
        <v>6.8</v>
      </c>
      <c r="U1051">
        <v>3.2</v>
      </c>
      <c r="V1051">
        <v>3</v>
      </c>
      <c r="W1051">
        <v>5.9</v>
      </c>
      <c r="X1051">
        <v>7</v>
      </c>
      <c r="Y1051">
        <v>3.1</v>
      </c>
      <c r="Z1051">
        <v>4.4000000000000004</v>
      </c>
      <c r="AA1051">
        <v>4.0999999999999996</v>
      </c>
      <c r="AB1051">
        <v>0.9</v>
      </c>
      <c r="AC1051">
        <v>5.5</v>
      </c>
      <c r="AD1051" t="s">
        <v>45</v>
      </c>
      <c r="AE1051" t="str">
        <f>IF(AND(data[[#This Row],[Age]]&gt;=18,data[[#This Row],[Age]]&lt;=24),"18-24",IF(AND(data[[#This Row],[Age]]&gt;=25,data[[#This Row],[Age]]&lt;=34),"25-34",IF(AND(data[[#This Row],[Age]]&gt;35,data[[#This Row],[Age]]&lt;=44),"35-44",IF(data[[#This Row],[Age]]&gt;44,"45+",IF(data[[#This Row],[Age]]&lt;18,"below 18 ")))))</f>
        <v>18-24</v>
      </c>
    </row>
    <row r="1052" spans="1:31" x14ac:dyDescent="0.25">
      <c r="A1052" t="s">
        <v>1105</v>
      </c>
      <c r="B1052">
        <v>28</v>
      </c>
      <c r="C1052" t="s">
        <v>47</v>
      </c>
      <c r="D1052" t="s">
        <v>32</v>
      </c>
      <c r="E1052" t="s">
        <v>40</v>
      </c>
      <c r="F1052" t="s">
        <v>41</v>
      </c>
      <c r="G1052">
        <v>6.5</v>
      </c>
      <c r="H1052">
        <v>5</v>
      </c>
      <c r="I1052">
        <v>5</v>
      </c>
      <c r="J1052" t="s">
        <v>42</v>
      </c>
      <c r="K1052" t="s">
        <v>52</v>
      </c>
      <c r="L1052">
        <v>6</v>
      </c>
      <c r="M1052">
        <v>6.9</v>
      </c>
      <c r="N1052">
        <v>7.1</v>
      </c>
      <c r="O1052">
        <v>6.2</v>
      </c>
      <c r="P1052">
        <v>7.5</v>
      </c>
      <c r="Q1052" t="s">
        <v>35</v>
      </c>
      <c r="R1052" t="s">
        <v>42</v>
      </c>
      <c r="S1052">
        <v>4.7</v>
      </c>
      <c r="T1052">
        <v>5.3</v>
      </c>
      <c r="U1052">
        <v>3.3</v>
      </c>
      <c r="V1052">
        <v>6</v>
      </c>
      <c r="W1052">
        <v>5.6</v>
      </c>
      <c r="X1052">
        <v>4.5999999999999996</v>
      </c>
      <c r="Y1052">
        <v>4.5</v>
      </c>
      <c r="Z1052">
        <v>2.6</v>
      </c>
      <c r="AA1052">
        <v>2.2000000000000002</v>
      </c>
      <c r="AB1052">
        <v>4.4000000000000004</v>
      </c>
      <c r="AC1052">
        <v>5.2</v>
      </c>
      <c r="AD1052" t="s">
        <v>45</v>
      </c>
      <c r="AE1052" t="str">
        <f>IF(AND(data[[#This Row],[Age]]&gt;=18,data[[#This Row],[Age]]&lt;=24),"18-24",IF(AND(data[[#This Row],[Age]]&gt;=25,data[[#This Row],[Age]]&lt;=34),"25-34",IF(AND(data[[#This Row],[Age]]&gt;35,data[[#This Row],[Age]]&lt;=44),"35-44",IF(data[[#This Row],[Age]]&gt;44,"45+",IF(data[[#This Row],[Age]]&lt;18,"below 18 ")))))</f>
        <v>25-34</v>
      </c>
    </row>
    <row r="1053" spans="1:31" x14ac:dyDescent="0.25">
      <c r="A1053" t="s">
        <v>1106</v>
      </c>
      <c r="B1053">
        <v>27</v>
      </c>
      <c r="C1053" t="s">
        <v>47</v>
      </c>
      <c r="D1053" t="s">
        <v>32</v>
      </c>
      <c r="E1053" t="s">
        <v>33</v>
      </c>
      <c r="F1053" t="s">
        <v>34</v>
      </c>
      <c r="G1053">
        <v>5.9</v>
      </c>
      <c r="H1053">
        <v>7</v>
      </c>
      <c r="I1053">
        <v>4</v>
      </c>
      <c r="J1053" t="s">
        <v>35</v>
      </c>
      <c r="K1053" t="s">
        <v>52</v>
      </c>
      <c r="L1053">
        <v>23</v>
      </c>
      <c r="M1053">
        <v>4.3</v>
      </c>
      <c r="N1053">
        <v>5.6</v>
      </c>
      <c r="O1053">
        <v>3.3</v>
      </c>
      <c r="P1053">
        <v>3.2</v>
      </c>
      <c r="Q1053" t="s">
        <v>35</v>
      </c>
      <c r="R1053" t="s">
        <v>35</v>
      </c>
      <c r="S1053">
        <v>3.4</v>
      </c>
      <c r="T1053">
        <v>3.4</v>
      </c>
      <c r="U1053">
        <v>6.9</v>
      </c>
      <c r="V1053">
        <v>2.9</v>
      </c>
      <c r="W1053">
        <v>4.9000000000000004</v>
      </c>
      <c r="X1053">
        <v>6</v>
      </c>
      <c r="Y1053">
        <v>6</v>
      </c>
      <c r="Z1053">
        <v>4.9000000000000004</v>
      </c>
      <c r="AA1053">
        <v>3.4</v>
      </c>
      <c r="AB1053">
        <v>1.9</v>
      </c>
      <c r="AC1053">
        <v>8.1999999999999993</v>
      </c>
      <c r="AD1053" t="s">
        <v>37</v>
      </c>
      <c r="AE1053" t="str">
        <f>IF(AND(data[[#This Row],[Age]]&gt;=18,data[[#This Row],[Age]]&lt;=24),"18-24",IF(AND(data[[#This Row],[Age]]&gt;=25,data[[#This Row],[Age]]&lt;=34),"25-34",IF(AND(data[[#This Row],[Age]]&gt;35,data[[#This Row],[Age]]&lt;=44),"35-44",IF(data[[#This Row],[Age]]&gt;44,"45+",IF(data[[#This Row],[Age]]&lt;18,"below 18 ")))))</f>
        <v>25-34</v>
      </c>
    </row>
    <row r="1054" spans="1:31" x14ac:dyDescent="0.25">
      <c r="A1054" t="s">
        <v>1107</v>
      </c>
      <c r="B1054">
        <v>19</v>
      </c>
      <c r="C1054" t="s">
        <v>47</v>
      </c>
      <c r="D1054" t="s">
        <v>64</v>
      </c>
      <c r="E1054" t="s">
        <v>40</v>
      </c>
      <c r="F1054" t="s">
        <v>34</v>
      </c>
      <c r="G1054">
        <v>5.2</v>
      </c>
      <c r="H1054">
        <v>3</v>
      </c>
      <c r="I1054">
        <v>4</v>
      </c>
      <c r="J1054" t="s">
        <v>42</v>
      </c>
      <c r="K1054" t="s">
        <v>36</v>
      </c>
      <c r="L1054">
        <v>52</v>
      </c>
      <c r="M1054">
        <v>6.6</v>
      </c>
      <c r="N1054">
        <v>6.1</v>
      </c>
      <c r="O1054">
        <v>6</v>
      </c>
      <c r="P1054">
        <v>4.4000000000000004</v>
      </c>
      <c r="Q1054" t="s">
        <v>35</v>
      </c>
      <c r="R1054" t="s">
        <v>35</v>
      </c>
      <c r="S1054">
        <v>5.5</v>
      </c>
      <c r="T1054">
        <v>5.3</v>
      </c>
      <c r="U1054">
        <v>3.9</v>
      </c>
      <c r="V1054">
        <v>2</v>
      </c>
      <c r="W1054">
        <v>5.5</v>
      </c>
      <c r="X1054">
        <v>6.5</v>
      </c>
      <c r="Y1054">
        <v>4.0999999999999996</v>
      </c>
      <c r="Z1054">
        <v>8.8000000000000007</v>
      </c>
      <c r="AC1054">
        <v>5.8</v>
      </c>
      <c r="AD1054" t="s">
        <v>45</v>
      </c>
      <c r="AE1054" t="str">
        <f>IF(AND(data[[#This Row],[Age]]&gt;=18,data[[#This Row],[Age]]&lt;=24),"18-24",IF(AND(data[[#This Row],[Age]]&gt;=25,data[[#This Row],[Age]]&lt;=34),"25-34",IF(AND(data[[#This Row],[Age]]&gt;35,data[[#This Row],[Age]]&lt;=44),"35-44",IF(data[[#This Row],[Age]]&gt;44,"45+",IF(data[[#This Row],[Age]]&lt;18,"below 18 ")))))</f>
        <v>18-24</v>
      </c>
    </row>
    <row r="1055" spans="1:31" x14ac:dyDescent="0.25">
      <c r="A1055" t="s">
        <v>1108</v>
      </c>
      <c r="B1055">
        <v>31</v>
      </c>
      <c r="C1055" t="s">
        <v>47</v>
      </c>
      <c r="D1055" t="s">
        <v>39</v>
      </c>
      <c r="E1055" t="s">
        <v>40</v>
      </c>
      <c r="F1055" t="s">
        <v>41</v>
      </c>
      <c r="G1055">
        <v>5</v>
      </c>
      <c r="H1055">
        <v>1</v>
      </c>
      <c r="I1055">
        <v>4</v>
      </c>
      <c r="J1055" t="s">
        <v>42</v>
      </c>
      <c r="K1055" t="s">
        <v>36</v>
      </c>
      <c r="L1055">
        <v>12</v>
      </c>
      <c r="M1055">
        <v>4.2</v>
      </c>
      <c r="N1055">
        <v>6.6</v>
      </c>
      <c r="O1055">
        <v>6.6</v>
      </c>
      <c r="P1055">
        <v>1.6</v>
      </c>
      <c r="Q1055" t="s">
        <v>35</v>
      </c>
      <c r="R1055" t="s">
        <v>35</v>
      </c>
      <c r="S1055">
        <v>9.1999999999999993</v>
      </c>
      <c r="T1055">
        <v>5.0999999999999996</v>
      </c>
      <c r="U1055">
        <v>4.5</v>
      </c>
      <c r="V1055">
        <v>4.5999999999999996</v>
      </c>
      <c r="W1055">
        <v>5.8</v>
      </c>
      <c r="X1055">
        <v>5.7</v>
      </c>
      <c r="Y1055">
        <v>0.4</v>
      </c>
      <c r="Z1055">
        <v>0.9</v>
      </c>
      <c r="AA1055">
        <v>2.9</v>
      </c>
      <c r="AB1055">
        <v>1.8</v>
      </c>
      <c r="AC1055">
        <v>5.9</v>
      </c>
      <c r="AD1055" t="s">
        <v>45</v>
      </c>
      <c r="AE1055" t="str">
        <f>IF(AND(data[[#This Row],[Age]]&gt;=18,data[[#This Row],[Age]]&lt;=24),"18-24",IF(AND(data[[#This Row],[Age]]&gt;=25,data[[#This Row],[Age]]&lt;=34),"25-34",IF(AND(data[[#This Row],[Age]]&gt;35,data[[#This Row],[Age]]&lt;=44),"35-44",IF(data[[#This Row],[Age]]&gt;44,"45+",IF(data[[#This Row],[Age]]&lt;18,"below 18 ")))))</f>
        <v>25-34</v>
      </c>
    </row>
    <row r="1056" spans="1:31" x14ac:dyDescent="0.25">
      <c r="A1056" t="s">
        <v>1109</v>
      </c>
      <c r="B1056">
        <v>20</v>
      </c>
      <c r="C1056" t="s">
        <v>47</v>
      </c>
      <c r="D1056" t="s">
        <v>32</v>
      </c>
      <c r="E1056" t="s">
        <v>33</v>
      </c>
      <c r="F1056" t="s">
        <v>41</v>
      </c>
      <c r="G1056">
        <v>5.8</v>
      </c>
      <c r="H1056">
        <v>8</v>
      </c>
      <c r="I1056">
        <v>4</v>
      </c>
      <c r="J1056" t="s">
        <v>35</v>
      </c>
      <c r="K1056" t="s">
        <v>52</v>
      </c>
      <c r="L1056">
        <v>56</v>
      </c>
      <c r="M1056">
        <v>5.9</v>
      </c>
      <c r="N1056">
        <v>5.4</v>
      </c>
      <c r="O1056">
        <v>7.1</v>
      </c>
      <c r="P1056">
        <v>4.7</v>
      </c>
      <c r="Q1056" t="s">
        <v>35</v>
      </c>
      <c r="R1056" t="s">
        <v>42</v>
      </c>
      <c r="S1056">
        <v>8.6</v>
      </c>
      <c r="T1056">
        <v>6</v>
      </c>
      <c r="U1056">
        <v>4.5</v>
      </c>
      <c r="V1056">
        <v>6.8</v>
      </c>
      <c r="X1056">
        <v>3</v>
      </c>
      <c r="Y1056">
        <v>4</v>
      </c>
      <c r="Z1056">
        <v>5.8</v>
      </c>
      <c r="AA1056">
        <v>4.5</v>
      </c>
      <c r="AB1056">
        <v>2.2000000000000002</v>
      </c>
      <c r="AC1056">
        <v>5.4</v>
      </c>
      <c r="AD1056" t="s">
        <v>45</v>
      </c>
      <c r="AE1056" t="str">
        <f>IF(AND(data[[#This Row],[Age]]&gt;=18,data[[#This Row],[Age]]&lt;=24),"18-24",IF(AND(data[[#This Row],[Age]]&gt;=25,data[[#This Row],[Age]]&lt;=34),"25-34",IF(AND(data[[#This Row],[Age]]&gt;35,data[[#This Row],[Age]]&lt;=44),"35-44",IF(data[[#This Row],[Age]]&gt;44,"45+",IF(data[[#This Row],[Age]]&lt;18,"below 18 ")))))</f>
        <v>18-24</v>
      </c>
    </row>
    <row r="1057" spans="1:31" x14ac:dyDescent="0.25">
      <c r="A1057" t="s">
        <v>1110</v>
      </c>
      <c r="B1057">
        <v>35</v>
      </c>
      <c r="C1057" t="s">
        <v>47</v>
      </c>
      <c r="D1057" t="s">
        <v>32</v>
      </c>
      <c r="E1057" t="s">
        <v>33</v>
      </c>
      <c r="F1057" t="s">
        <v>51</v>
      </c>
      <c r="G1057">
        <v>4.3</v>
      </c>
      <c r="H1057">
        <v>5</v>
      </c>
      <c r="I1057">
        <v>1</v>
      </c>
      <c r="J1057" t="s">
        <v>35</v>
      </c>
      <c r="K1057" t="s">
        <v>52</v>
      </c>
      <c r="L1057">
        <v>41</v>
      </c>
      <c r="M1057">
        <v>10</v>
      </c>
      <c r="N1057">
        <v>7.6</v>
      </c>
      <c r="O1057">
        <v>6.3</v>
      </c>
      <c r="P1057">
        <v>3.3</v>
      </c>
      <c r="Q1057" t="s">
        <v>35</v>
      </c>
      <c r="R1057" t="s">
        <v>42</v>
      </c>
      <c r="S1057">
        <v>3.6</v>
      </c>
      <c r="T1057">
        <v>5.3</v>
      </c>
      <c r="U1057">
        <v>5.4</v>
      </c>
      <c r="V1057">
        <v>0.3</v>
      </c>
      <c r="X1057">
        <v>8.6</v>
      </c>
      <c r="Y1057">
        <v>6.2</v>
      </c>
      <c r="Z1057">
        <v>6.6</v>
      </c>
      <c r="AA1057">
        <v>3.5</v>
      </c>
      <c r="AB1057">
        <v>0.7</v>
      </c>
      <c r="AC1057">
        <v>4.5999999999999996</v>
      </c>
      <c r="AD1057" t="s">
        <v>43</v>
      </c>
      <c r="AE1057" t="b">
        <f>IF(AND(data[[#This Row],[Age]]&gt;=18,data[[#This Row],[Age]]&lt;=24),"18-24",IF(AND(data[[#This Row],[Age]]&gt;=25,data[[#This Row],[Age]]&lt;=34),"25-34",IF(AND(data[[#This Row],[Age]]&gt;35,data[[#This Row],[Age]]&lt;=44),"35-44",IF(data[[#This Row],[Age]]&gt;44,"45+",IF(data[[#This Row],[Age]]&lt;18,"below 18 ")))))</f>
        <v>0</v>
      </c>
    </row>
    <row r="1058" spans="1:31" x14ac:dyDescent="0.25">
      <c r="A1058" t="s">
        <v>1111</v>
      </c>
      <c r="B1058">
        <v>22</v>
      </c>
      <c r="C1058" t="s">
        <v>31</v>
      </c>
      <c r="D1058" t="s">
        <v>57</v>
      </c>
      <c r="E1058" t="s">
        <v>58</v>
      </c>
      <c r="F1058" t="s">
        <v>34</v>
      </c>
      <c r="G1058">
        <v>6.7</v>
      </c>
      <c r="H1058">
        <v>4</v>
      </c>
      <c r="I1058">
        <v>3</v>
      </c>
      <c r="J1058" t="s">
        <v>42</v>
      </c>
      <c r="K1058" t="s">
        <v>36</v>
      </c>
      <c r="L1058">
        <v>64</v>
      </c>
      <c r="M1058">
        <v>6</v>
      </c>
      <c r="N1058">
        <v>4.7</v>
      </c>
      <c r="O1058">
        <v>3.8</v>
      </c>
      <c r="P1058">
        <v>6.7</v>
      </c>
      <c r="Q1058" t="s">
        <v>42</v>
      </c>
      <c r="R1058" t="s">
        <v>35</v>
      </c>
      <c r="S1058">
        <v>3.4</v>
      </c>
      <c r="T1058">
        <v>3</v>
      </c>
      <c r="U1058">
        <v>7.9</v>
      </c>
      <c r="V1058">
        <v>5.4</v>
      </c>
      <c r="W1058">
        <v>6.3</v>
      </c>
      <c r="X1058">
        <v>6.8</v>
      </c>
      <c r="Y1058">
        <v>1.2</v>
      </c>
      <c r="Z1058">
        <v>7.5</v>
      </c>
      <c r="AA1058">
        <v>1.6</v>
      </c>
      <c r="AB1058">
        <v>2.5</v>
      </c>
      <c r="AC1058">
        <v>6.1</v>
      </c>
      <c r="AD1058" t="s">
        <v>53</v>
      </c>
      <c r="AE1058" t="str">
        <f>IF(AND(data[[#This Row],[Age]]&gt;=18,data[[#This Row],[Age]]&lt;=24),"18-24",IF(AND(data[[#This Row],[Age]]&gt;=25,data[[#This Row],[Age]]&lt;=34),"25-34",IF(AND(data[[#This Row],[Age]]&gt;35,data[[#This Row],[Age]]&lt;=44),"35-44",IF(data[[#This Row],[Age]]&gt;44,"45+",IF(data[[#This Row],[Age]]&lt;18,"below 18 ")))))</f>
        <v>18-24</v>
      </c>
    </row>
    <row r="1059" spans="1:31" x14ac:dyDescent="0.25">
      <c r="A1059" t="s">
        <v>1112</v>
      </c>
      <c r="B1059">
        <v>28</v>
      </c>
      <c r="C1059" t="s">
        <v>31</v>
      </c>
      <c r="D1059" t="s">
        <v>39</v>
      </c>
      <c r="E1059" t="s">
        <v>58</v>
      </c>
      <c r="F1059" t="s">
        <v>41</v>
      </c>
      <c r="G1059">
        <v>3.2</v>
      </c>
      <c r="H1059">
        <v>1</v>
      </c>
      <c r="I1059">
        <v>3</v>
      </c>
      <c r="J1059" t="s">
        <v>35</v>
      </c>
      <c r="K1059" t="s">
        <v>62</v>
      </c>
      <c r="L1059">
        <v>34</v>
      </c>
      <c r="M1059">
        <v>6.2</v>
      </c>
      <c r="N1059">
        <v>1.9</v>
      </c>
      <c r="O1059">
        <v>6</v>
      </c>
      <c r="P1059">
        <v>6.7</v>
      </c>
      <c r="Q1059" t="s">
        <v>35</v>
      </c>
      <c r="R1059" t="s">
        <v>35</v>
      </c>
      <c r="S1059">
        <v>7</v>
      </c>
      <c r="T1059">
        <v>3.2</v>
      </c>
      <c r="U1059">
        <v>1.1000000000000001</v>
      </c>
      <c r="V1059">
        <v>4.5999999999999996</v>
      </c>
      <c r="W1059">
        <v>7.3</v>
      </c>
      <c r="X1059">
        <v>6.2</v>
      </c>
      <c r="Y1059">
        <v>3.1</v>
      </c>
      <c r="Z1059">
        <v>6.4</v>
      </c>
      <c r="AA1059">
        <v>5.4</v>
      </c>
      <c r="AB1059">
        <v>3.5</v>
      </c>
      <c r="AC1059">
        <v>8.6</v>
      </c>
      <c r="AD1059" t="s">
        <v>37</v>
      </c>
      <c r="AE1059" t="str">
        <f>IF(AND(data[[#This Row],[Age]]&gt;=18,data[[#This Row],[Age]]&lt;=24),"18-24",IF(AND(data[[#This Row],[Age]]&gt;=25,data[[#This Row],[Age]]&lt;=34),"25-34",IF(AND(data[[#This Row],[Age]]&gt;35,data[[#This Row],[Age]]&lt;=44),"35-44",IF(data[[#This Row],[Age]]&gt;44,"45+",IF(data[[#This Row],[Age]]&lt;18,"below 18 ")))))</f>
        <v>25-34</v>
      </c>
    </row>
    <row r="1060" spans="1:31" x14ac:dyDescent="0.25">
      <c r="A1060" t="s">
        <v>1113</v>
      </c>
      <c r="B1060">
        <v>16</v>
      </c>
      <c r="C1060" t="s">
        <v>31</v>
      </c>
      <c r="D1060" t="s">
        <v>32</v>
      </c>
      <c r="E1060" t="s">
        <v>33</v>
      </c>
      <c r="F1060" t="s">
        <v>70</v>
      </c>
      <c r="G1060">
        <v>11.1</v>
      </c>
      <c r="H1060">
        <v>4</v>
      </c>
      <c r="I1060">
        <v>3</v>
      </c>
      <c r="J1060" t="s">
        <v>42</v>
      </c>
      <c r="K1060" t="s">
        <v>52</v>
      </c>
      <c r="L1060">
        <v>73</v>
      </c>
      <c r="M1060">
        <v>1</v>
      </c>
      <c r="N1060">
        <v>4.7</v>
      </c>
      <c r="O1060">
        <v>6.1</v>
      </c>
      <c r="P1060">
        <v>3.1</v>
      </c>
      <c r="Q1060" t="s">
        <v>35</v>
      </c>
      <c r="R1060" t="s">
        <v>42</v>
      </c>
      <c r="S1060">
        <v>2.2999999999999998</v>
      </c>
      <c r="T1060">
        <v>5.0999999999999996</v>
      </c>
      <c r="U1060">
        <v>5.9</v>
      </c>
      <c r="V1060">
        <v>6.4</v>
      </c>
      <c r="X1060">
        <v>5.8</v>
      </c>
      <c r="Y1060">
        <v>2.2000000000000002</v>
      </c>
      <c r="Z1060">
        <v>8.9</v>
      </c>
      <c r="AA1060">
        <v>2.2999999999999998</v>
      </c>
      <c r="AC1060">
        <v>7</v>
      </c>
      <c r="AD1060" t="s">
        <v>53</v>
      </c>
      <c r="AE1060" t="str">
        <f>IF(AND(data[[#This Row],[Age]]&gt;=18,data[[#This Row],[Age]]&lt;=24),"18-24",IF(AND(data[[#This Row],[Age]]&gt;=25,data[[#This Row],[Age]]&lt;=34),"25-34",IF(AND(data[[#This Row],[Age]]&gt;35,data[[#This Row],[Age]]&lt;=44),"35-44",IF(data[[#This Row],[Age]]&gt;44,"45+",IF(data[[#This Row],[Age]]&lt;18,"below 18 ")))))</f>
        <v xml:space="preserve">below 18 </v>
      </c>
    </row>
    <row r="1061" spans="1:31" x14ac:dyDescent="0.25">
      <c r="A1061" t="s">
        <v>1114</v>
      </c>
      <c r="B1061">
        <v>41</v>
      </c>
      <c r="C1061" t="s">
        <v>50</v>
      </c>
      <c r="D1061" t="s">
        <v>39</v>
      </c>
      <c r="E1061" t="s">
        <v>33</v>
      </c>
      <c r="F1061" t="s">
        <v>48</v>
      </c>
      <c r="G1061">
        <v>5</v>
      </c>
      <c r="H1061">
        <v>2</v>
      </c>
      <c r="I1061">
        <v>2</v>
      </c>
      <c r="K1061" t="s">
        <v>62</v>
      </c>
      <c r="L1061">
        <v>51</v>
      </c>
      <c r="M1061">
        <v>7.2</v>
      </c>
      <c r="N1061">
        <v>4.3</v>
      </c>
      <c r="O1061">
        <v>6.1</v>
      </c>
      <c r="P1061">
        <v>9</v>
      </c>
      <c r="Q1061" t="s">
        <v>42</v>
      </c>
      <c r="R1061" t="s">
        <v>35</v>
      </c>
      <c r="S1061">
        <v>3.3</v>
      </c>
      <c r="U1061">
        <v>5.0999999999999996</v>
      </c>
      <c r="V1061">
        <v>8.9</v>
      </c>
      <c r="W1061">
        <v>4.9000000000000004</v>
      </c>
      <c r="X1061">
        <v>3</v>
      </c>
      <c r="Y1061">
        <v>5.6</v>
      </c>
      <c r="Z1061">
        <v>5.6</v>
      </c>
      <c r="AA1061">
        <v>2.5</v>
      </c>
      <c r="AB1061">
        <v>3.4</v>
      </c>
      <c r="AC1061">
        <v>8.1999999999999993</v>
      </c>
      <c r="AD1061" t="s">
        <v>37</v>
      </c>
      <c r="AE1061" t="str">
        <f>IF(AND(data[[#This Row],[Age]]&gt;=18,data[[#This Row],[Age]]&lt;=24),"18-24",IF(AND(data[[#This Row],[Age]]&gt;=25,data[[#This Row],[Age]]&lt;=34),"25-34",IF(AND(data[[#This Row],[Age]]&gt;35,data[[#This Row],[Age]]&lt;=44),"35-44",IF(data[[#This Row],[Age]]&gt;44,"45+",IF(data[[#This Row],[Age]]&lt;18,"below 18 ")))))</f>
        <v>35-44</v>
      </c>
    </row>
    <row r="1062" spans="1:31" x14ac:dyDescent="0.25">
      <c r="A1062" t="s">
        <v>1115</v>
      </c>
      <c r="B1062">
        <v>15</v>
      </c>
      <c r="C1062" t="s">
        <v>47</v>
      </c>
      <c r="D1062" t="s">
        <v>32</v>
      </c>
      <c r="E1062" t="s">
        <v>40</v>
      </c>
      <c r="F1062" t="s">
        <v>51</v>
      </c>
      <c r="G1062">
        <v>2.7</v>
      </c>
      <c r="H1062">
        <v>3</v>
      </c>
      <c r="I1062">
        <v>3</v>
      </c>
      <c r="J1062" t="s">
        <v>42</v>
      </c>
      <c r="K1062" t="s">
        <v>52</v>
      </c>
      <c r="L1062">
        <v>41</v>
      </c>
      <c r="M1062">
        <v>8.4</v>
      </c>
      <c r="N1062">
        <v>4.8</v>
      </c>
      <c r="O1062">
        <v>5</v>
      </c>
      <c r="P1062">
        <v>2.9</v>
      </c>
      <c r="Q1062" t="s">
        <v>42</v>
      </c>
      <c r="R1062" t="s">
        <v>35</v>
      </c>
      <c r="S1062">
        <v>2.2000000000000002</v>
      </c>
      <c r="T1062">
        <v>4.4000000000000004</v>
      </c>
      <c r="U1062">
        <v>2.5</v>
      </c>
      <c r="V1062">
        <v>5.0999999999999996</v>
      </c>
      <c r="W1062">
        <v>6.1</v>
      </c>
      <c r="X1062">
        <v>8</v>
      </c>
      <c r="Y1062">
        <v>3.5</v>
      </c>
      <c r="Z1062">
        <v>8.1999999999999993</v>
      </c>
      <c r="AA1062">
        <v>0</v>
      </c>
      <c r="AB1062">
        <v>4.5</v>
      </c>
      <c r="AC1062">
        <v>7.4</v>
      </c>
      <c r="AD1062" t="s">
        <v>37</v>
      </c>
      <c r="AE1062" t="str">
        <f>IF(AND(data[[#This Row],[Age]]&gt;=18,data[[#This Row],[Age]]&lt;=24),"18-24",IF(AND(data[[#This Row],[Age]]&gt;=25,data[[#This Row],[Age]]&lt;=34),"25-34",IF(AND(data[[#This Row],[Age]]&gt;35,data[[#This Row],[Age]]&lt;=44),"35-44",IF(data[[#This Row],[Age]]&gt;44,"45+",IF(data[[#This Row],[Age]]&lt;18,"below 18 ")))))</f>
        <v xml:space="preserve">below 18 </v>
      </c>
    </row>
    <row r="1063" spans="1:31" x14ac:dyDescent="0.25">
      <c r="A1063" t="s">
        <v>1116</v>
      </c>
      <c r="B1063">
        <v>30</v>
      </c>
      <c r="C1063" t="s">
        <v>47</v>
      </c>
      <c r="D1063" t="s">
        <v>32</v>
      </c>
      <c r="E1063" t="s">
        <v>33</v>
      </c>
      <c r="F1063" t="s">
        <v>41</v>
      </c>
      <c r="G1063">
        <v>1</v>
      </c>
      <c r="H1063">
        <v>3</v>
      </c>
      <c r="I1063">
        <v>4</v>
      </c>
      <c r="J1063" t="s">
        <v>42</v>
      </c>
      <c r="K1063" t="s">
        <v>36</v>
      </c>
      <c r="L1063">
        <v>50</v>
      </c>
      <c r="M1063">
        <v>4.2</v>
      </c>
      <c r="N1063">
        <v>6.5</v>
      </c>
      <c r="O1063">
        <v>5.4</v>
      </c>
      <c r="P1063">
        <v>3.9</v>
      </c>
      <c r="Q1063" t="s">
        <v>35</v>
      </c>
      <c r="R1063" t="s">
        <v>42</v>
      </c>
      <c r="S1063">
        <v>6.1</v>
      </c>
      <c r="T1063">
        <v>6.5</v>
      </c>
      <c r="U1063">
        <v>4</v>
      </c>
      <c r="V1063">
        <v>1.9</v>
      </c>
      <c r="W1063">
        <v>8.5</v>
      </c>
      <c r="Y1063">
        <v>4.2</v>
      </c>
      <c r="Z1063">
        <v>1.6</v>
      </c>
      <c r="AA1063">
        <v>3.6</v>
      </c>
      <c r="AB1063">
        <v>3.8</v>
      </c>
      <c r="AC1063">
        <v>4.9000000000000004</v>
      </c>
      <c r="AD1063" t="s">
        <v>45</v>
      </c>
      <c r="AE1063" t="str">
        <f>IF(AND(data[[#This Row],[Age]]&gt;=18,data[[#This Row],[Age]]&lt;=24),"18-24",IF(AND(data[[#This Row],[Age]]&gt;=25,data[[#This Row],[Age]]&lt;=34),"25-34",IF(AND(data[[#This Row],[Age]]&gt;35,data[[#This Row],[Age]]&lt;=44),"35-44",IF(data[[#This Row],[Age]]&gt;44,"45+",IF(data[[#This Row],[Age]]&lt;18,"below 18 ")))))</f>
        <v>25-34</v>
      </c>
    </row>
    <row r="1064" spans="1:31" x14ac:dyDescent="0.25">
      <c r="A1064" t="s">
        <v>1117</v>
      </c>
      <c r="B1064">
        <v>41</v>
      </c>
      <c r="C1064" t="s">
        <v>50</v>
      </c>
      <c r="D1064" t="s">
        <v>64</v>
      </c>
      <c r="F1064" t="s">
        <v>51</v>
      </c>
      <c r="G1064">
        <v>2.5</v>
      </c>
      <c r="H1064">
        <v>2</v>
      </c>
      <c r="I1064">
        <v>5</v>
      </c>
      <c r="J1064" t="s">
        <v>42</v>
      </c>
      <c r="K1064" t="s">
        <v>36</v>
      </c>
      <c r="L1064">
        <v>128</v>
      </c>
      <c r="M1064">
        <v>10</v>
      </c>
      <c r="N1064">
        <v>6.7</v>
      </c>
      <c r="O1064">
        <v>4.5</v>
      </c>
      <c r="P1064">
        <v>7.6</v>
      </c>
      <c r="Q1064" t="s">
        <v>42</v>
      </c>
      <c r="R1064" t="s">
        <v>42</v>
      </c>
      <c r="S1064">
        <v>4.8</v>
      </c>
      <c r="T1064">
        <v>4.4000000000000004</v>
      </c>
      <c r="U1064">
        <v>1.1000000000000001</v>
      </c>
      <c r="V1064">
        <v>6.3</v>
      </c>
      <c r="W1064">
        <v>5.2</v>
      </c>
      <c r="X1064">
        <v>6.2</v>
      </c>
      <c r="Y1064">
        <v>3.5</v>
      </c>
      <c r="Z1064">
        <v>2.4</v>
      </c>
      <c r="AA1064">
        <v>1.9</v>
      </c>
      <c r="AB1064">
        <v>2.1</v>
      </c>
      <c r="AC1064">
        <v>4.3</v>
      </c>
      <c r="AD1064" t="s">
        <v>43</v>
      </c>
      <c r="AE1064" t="str">
        <f>IF(AND(data[[#This Row],[Age]]&gt;=18,data[[#This Row],[Age]]&lt;=24),"18-24",IF(AND(data[[#This Row],[Age]]&gt;=25,data[[#This Row],[Age]]&lt;=34),"25-34",IF(AND(data[[#This Row],[Age]]&gt;35,data[[#This Row],[Age]]&lt;=44),"35-44",IF(data[[#This Row],[Age]]&gt;44,"45+",IF(data[[#This Row],[Age]]&lt;18,"below 18 ")))))</f>
        <v>35-44</v>
      </c>
    </row>
    <row r="1065" spans="1:31" x14ac:dyDescent="0.25">
      <c r="A1065" t="s">
        <v>1118</v>
      </c>
      <c r="B1065">
        <v>28</v>
      </c>
      <c r="C1065" t="s">
        <v>31</v>
      </c>
      <c r="D1065" t="s">
        <v>39</v>
      </c>
      <c r="E1065" t="s">
        <v>58</v>
      </c>
      <c r="F1065" t="s">
        <v>59</v>
      </c>
      <c r="G1065">
        <v>5.4</v>
      </c>
      <c r="H1065">
        <v>2</v>
      </c>
      <c r="I1065">
        <v>5</v>
      </c>
      <c r="J1065" t="s">
        <v>35</v>
      </c>
      <c r="K1065" t="s">
        <v>52</v>
      </c>
      <c r="L1065">
        <v>66</v>
      </c>
      <c r="M1065">
        <v>4.0999999999999996</v>
      </c>
      <c r="N1065">
        <v>4.7</v>
      </c>
      <c r="O1065">
        <v>0</v>
      </c>
      <c r="P1065">
        <v>5.3</v>
      </c>
      <c r="Q1065" t="s">
        <v>42</v>
      </c>
      <c r="R1065" t="s">
        <v>42</v>
      </c>
      <c r="S1065">
        <v>3.2</v>
      </c>
      <c r="T1065">
        <v>1.3</v>
      </c>
      <c r="U1065">
        <v>8.6</v>
      </c>
      <c r="V1065">
        <v>5.9</v>
      </c>
      <c r="W1065">
        <v>6.6</v>
      </c>
      <c r="X1065">
        <v>6.4</v>
      </c>
      <c r="Y1065">
        <v>3.4</v>
      </c>
      <c r="Z1065">
        <v>3.9</v>
      </c>
      <c r="AA1065">
        <v>1.6</v>
      </c>
      <c r="AB1065">
        <v>2.4</v>
      </c>
      <c r="AC1065">
        <v>8</v>
      </c>
      <c r="AD1065" t="s">
        <v>37</v>
      </c>
      <c r="AE1065" t="str">
        <f>IF(AND(data[[#This Row],[Age]]&gt;=18,data[[#This Row],[Age]]&lt;=24),"18-24",IF(AND(data[[#This Row],[Age]]&gt;=25,data[[#This Row],[Age]]&lt;=34),"25-34",IF(AND(data[[#This Row],[Age]]&gt;35,data[[#This Row],[Age]]&lt;=44),"35-44",IF(data[[#This Row],[Age]]&gt;44,"45+",IF(data[[#This Row],[Age]]&lt;18,"below 18 ")))))</f>
        <v>25-34</v>
      </c>
    </row>
    <row r="1066" spans="1:31" x14ac:dyDescent="0.25">
      <c r="A1066" t="s">
        <v>1119</v>
      </c>
      <c r="B1066">
        <v>26</v>
      </c>
      <c r="C1066" t="s">
        <v>31</v>
      </c>
      <c r="D1066" t="s">
        <v>64</v>
      </c>
      <c r="E1066" t="s">
        <v>33</v>
      </c>
      <c r="F1066" t="s">
        <v>51</v>
      </c>
      <c r="G1066">
        <v>3.4</v>
      </c>
      <c r="H1066">
        <v>2</v>
      </c>
      <c r="I1066">
        <v>3</v>
      </c>
      <c r="J1066" t="s">
        <v>35</v>
      </c>
      <c r="K1066" t="s">
        <v>52</v>
      </c>
      <c r="L1066">
        <v>96</v>
      </c>
      <c r="M1066">
        <v>8.1999999999999993</v>
      </c>
      <c r="N1066">
        <v>5.3</v>
      </c>
      <c r="O1066">
        <v>5.7</v>
      </c>
      <c r="P1066">
        <v>5.4</v>
      </c>
      <c r="Q1066" t="s">
        <v>35</v>
      </c>
      <c r="R1066" t="s">
        <v>35</v>
      </c>
      <c r="S1066">
        <v>4.2</v>
      </c>
      <c r="T1066">
        <v>4.5</v>
      </c>
      <c r="U1066">
        <v>2.1</v>
      </c>
      <c r="V1066">
        <v>4.2</v>
      </c>
      <c r="W1066">
        <v>3.7</v>
      </c>
      <c r="X1066">
        <v>7.2</v>
      </c>
      <c r="Y1066">
        <v>7.6</v>
      </c>
      <c r="Z1066">
        <v>4.5</v>
      </c>
      <c r="AA1066">
        <v>1.1000000000000001</v>
      </c>
      <c r="AB1066">
        <v>2.9</v>
      </c>
      <c r="AC1066">
        <v>5.6</v>
      </c>
      <c r="AD1066" t="s">
        <v>45</v>
      </c>
      <c r="AE1066" t="str">
        <f>IF(AND(data[[#This Row],[Age]]&gt;=18,data[[#This Row],[Age]]&lt;=24),"18-24",IF(AND(data[[#This Row],[Age]]&gt;=25,data[[#This Row],[Age]]&lt;=34),"25-34",IF(AND(data[[#This Row],[Age]]&gt;35,data[[#This Row],[Age]]&lt;=44),"35-44",IF(data[[#This Row],[Age]]&gt;44,"45+",IF(data[[#This Row],[Age]]&lt;18,"below 18 ")))))</f>
        <v>25-34</v>
      </c>
    </row>
    <row r="1067" spans="1:31" x14ac:dyDescent="0.25">
      <c r="A1067" t="s">
        <v>1120</v>
      </c>
      <c r="B1067">
        <v>22</v>
      </c>
      <c r="C1067" t="s">
        <v>31</v>
      </c>
      <c r="D1067" t="s">
        <v>39</v>
      </c>
      <c r="E1067" t="s">
        <v>40</v>
      </c>
      <c r="F1067" t="s">
        <v>34</v>
      </c>
      <c r="G1067">
        <v>7</v>
      </c>
      <c r="H1067">
        <v>1</v>
      </c>
      <c r="I1067">
        <v>10</v>
      </c>
      <c r="J1067" t="s">
        <v>42</v>
      </c>
      <c r="K1067" t="s">
        <v>62</v>
      </c>
      <c r="L1067">
        <v>80</v>
      </c>
      <c r="N1067">
        <v>7.9</v>
      </c>
      <c r="O1067">
        <v>5.6</v>
      </c>
      <c r="P1067">
        <v>5.4</v>
      </c>
      <c r="Q1067" t="s">
        <v>42</v>
      </c>
      <c r="R1067" t="s">
        <v>42</v>
      </c>
      <c r="S1067">
        <v>4</v>
      </c>
      <c r="T1067">
        <v>3.9</v>
      </c>
      <c r="U1067">
        <v>9</v>
      </c>
      <c r="V1067">
        <v>0.7</v>
      </c>
      <c r="W1067">
        <v>8.1</v>
      </c>
      <c r="X1067">
        <v>7.4</v>
      </c>
      <c r="Y1067">
        <v>7.1</v>
      </c>
      <c r="Z1067">
        <v>4.2</v>
      </c>
      <c r="AA1067">
        <v>7.1</v>
      </c>
      <c r="AB1067">
        <v>5.5</v>
      </c>
      <c r="AC1067">
        <v>5.3</v>
      </c>
      <c r="AD1067" t="s">
        <v>45</v>
      </c>
      <c r="AE1067" t="str">
        <f>IF(AND(data[[#This Row],[Age]]&gt;=18,data[[#This Row],[Age]]&lt;=24),"18-24",IF(AND(data[[#This Row],[Age]]&gt;=25,data[[#This Row],[Age]]&lt;=34),"25-34",IF(AND(data[[#This Row],[Age]]&gt;35,data[[#This Row],[Age]]&lt;=44),"35-44",IF(data[[#This Row],[Age]]&gt;44,"45+",IF(data[[#This Row],[Age]]&lt;18,"below 18 ")))))</f>
        <v>18-24</v>
      </c>
    </row>
    <row r="1068" spans="1:31" x14ac:dyDescent="0.25">
      <c r="A1068" t="s">
        <v>1121</v>
      </c>
      <c r="B1068">
        <v>26</v>
      </c>
      <c r="C1068" t="s">
        <v>50</v>
      </c>
      <c r="D1068" t="s">
        <v>64</v>
      </c>
      <c r="E1068" t="s">
        <v>33</v>
      </c>
      <c r="F1068" t="s">
        <v>48</v>
      </c>
      <c r="G1068">
        <v>3.7</v>
      </c>
      <c r="H1068">
        <v>7</v>
      </c>
      <c r="I1068">
        <v>8</v>
      </c>
      <c r="J1068" t="s">
        <v>42</v>
      </c>
      <c r="K1068" t="s">
        <v>36</v>
      </c>
      <c r="L1068">
        <v>84</v>
      </c>
      <c r="M1068">
        <v>5.9</v>
      </c>
      <c r="N1068">
        <v>5.4</v>
      </c>
      <c r="O1068">
        <v>6.7</v>
      </c>
      <c r="P1068">
        <v>4.7</v>
      </c>
      <c r="Q1068" t="s">
        <v>35</v>
      </c>
      <c r="R1068" t="s">
        <v>35</v>
      </c>
      <c r="S1068">
        <v>4</v>
      </c>
      <c r="T1068">
        <v>5.2</v>
      </c>
      <c r="U1068">
        <v>4.9000000000000004</v>
      </c>
      <c r="V1068">
        <v>3.8</v>
      </c>
      <c r="W1068">
        <v>6.6</v>
      </c>
      <c r="X1068">
        <v>9.9</v>
      </c>
      <c r="AA1068">
        <v>5.3</v>
      </c>
      <c r="AB1068">
        <v>1.8</v>
      </c>
      <c r="AC1068">
        <v>5</v>
      </c>
      <c r="AD1068" t="s">
        <v>43</v>
      </c>
      <c r="AE1068" t="str">
        <f>IF(AND(data[[#This Row],[Age]]&gt;=18,data[[#This Row],[Age]]&lt;=24),"18-24",IF(AND(data[[#This Row],[Age]]&gt;=25,data[[#This Row],[Age]]&lt;=34),"25-34",IF(AND(data[[#This Row],[Age]]&gt;35,data[[#This Row],[Age]]&lt;=44),"35-44",IF(data[[#This Row],[Age]]&gt;44,"45+",IF(data[[#This Row],[Age]]&lt;18,"below 18 ")))))</f>
        <v>25-34</v>
      </c>
    </row>
    <row r="1069" spans="1:31" x14ac:dyDescent="0.25">
      <c r="A1069" t="s">
        <v>1122</v>
      </c>
      <c r="B1069">
        <v>16</v>
      </c>
      <c r="C1069" t="s">
        <v>47</v>
      </c>
      <c r="D1069" t="s">
        <v>39</v>
      </c>
      <c r="E1069" t="s">
        <v>33</v>
      </c>
      <c r="F1069" t="s">
        <v>51</v>
      </c>
      <c r="G1069">
        <v>2.2000000000000002</v>
      </c>
      <c r="H1069">
        <v>8</v>
      </c>
      <c r="I1069">
        <v>2</v>
      </c>
      <c r="J1069" t="s">
        <v>42</v>
      </c>
      <c r="K1069" t="s">
        <v>36</v>
      </c>
      <c r="L1069">
        <v>95</v>
      </c>
      <c r="M1069">
        <v>7.9</v>
      </c>
      <c r="N1069">
        <v>5.8</v>
      </c>
      <c r="O1069">
        <v>8.6999999999999993</v>
      </c>
      <c r="P1069">
        <v>5.2</v>
      </c>
      <c r="Q1069" t="s">
        <v>42</v>
      </c>
      <c r="R1069" t="s">
        <v>35</v>
      </c>
      <c r="S1069">
        <v>3.8</v>
      </c>
      <c r="U1069">
        <v>8.6999999999999993</v>
      </c>
      <c r="V1069">
        <v>5.0999999999999996</v>
      </c>
      <c r="W1069">
        <v>6.2</v>
      </c>
      <c r="X1069">
        <v>10</v>
      </c>
      <c r="Y1069">
        <v>9.4</v>
      </c>
      <c r="Z1069">
        <v>6.7</v>
      </c>
      <c r="AA1069">
        <v>1.6</v>
      </c>
      <c r="AB1069">
        <v>3.1</v>
      </c>
      <c r="AC1069">
        <v>4.0999999999999996</v>
      </c>
      <c r="AD1069" t="s">
        <v>43</v>
      </c>
      <c r="AE1069" t="str">
        <f>IF(AND(data[[#This Row],[Age]]&gt;=18,data[[#This Row],[Age]]&lt;=24),"18-24",IF(AND(data[[#This Row],[Age]]&gt;=25,data[[#This Row],[Age]]&lt;=34),"25-34",IF(AND(data[[#This Row],[Age]]&gt;35,data[[#This Row],[Age]]&lt;=44),"35-44",IF(data[[#This Row],[Age]]&gt;44,"45+",IF(data[[#This Row],[Age]]&lt;18,"below 18 ")))))</f>
        <v xml:space="preserve">below 18 </v>
      </c>
    </row>
    <row r="1070" spans="1:31" x14ac:dyDescent="0.25">
      <c r="A1070" t="s">
        <v>1123</v>
      </c>
      <c r="B1070">
        <v>20</v>
      </c>
      <c r="C1070" t="s">
        <v>31</v>
      </c>
      <c r="D1070" t="s">
        <v>39</v>
      </c>
      <c r="E1070" t="s">
        <v>40</v>
      </c>
      <c r="F1070" t="s">
        <v>41</v>
      </c>
      <c r="G1070">
        <v>3.8</v>
      </c>
      <c r="H1070">
        <v>2</v>
      </c>
      <c r="I1070">
        <v>4</v>
      </c>
      <c r="J1070" t="s">
        <v>35</v>
      </c>
      <c r="K1070" t="s">
        <v>36</v>
      </c>
      <c r="L1070">
        <v>23</v>
      </c>
      <c r="M1070">
        <v>7.6</v>
      </c>
      <c r="N1070">
        <v>5.4</v>
      </c>
      <c r="O1070">
        <v>4.9000000000000004</v>
      </c>
      <c r="P1070">
        <v>3.5</v>
      </c>
      <c r="Q1070" t="s">
        <v>35</v>
      </c>
      <c r="R1070" t="s">
        <v>42</v>
      </c>
      <c r="S1070">
        <v>9.3000000000000007</v>
      </c>
      <c r="T1070">
        <v>4.9000000000000004</v>
      </c>
      <c r="U1070">
        <v>3.8</v>
      </c>
      <c r="V1070">
        <v>0</v>
      </c>
      <c r="W1070">
        <v>5.2</v>
      </c>
      <c r="X1070">
        <v>5.7</v>
      </c>
      <c r="Y1070">
        <v>7.1</v>
      </c>
      <c r="Z1070">
        <v>4.2</v>
      </c>
      <c r="AA1070">
        <v>5.6</v>
      </c>
      <c r="AB1070">
        <v>2.7</v>
      </c>
      <c r="AC1070">
        <v>4.7</v>
      </c>
      <c r="AD1070" t="s">
        <v>43</v>
      </c>
      <c r="AE1070" t="str">
        <f>IF(AND(data[[#This Row],[Age]]&gt;=18,data[[#This Row],[Age]]&lt;=24),"18-24",IF(AND(data[[#This Row],[Age]]&gt;=25,data[[#This Row],[Age]]&lt;=34),"25-34",IF(AND(data[[#This Row],[Age]]&gt;35,data[[#This Row],[Age]]&lt;=44),"35-44",IF(data[[#This Row],[Age]]&gt;44,"45+",IF(data[[#This Row],[Age]]&lt;18,"below 18 ")))))</f>
        <v>18-24</v>
      </c>
    </row>
    <row r="1071" spans="1:31" x14ac:dyDescent="0.25">
      <c r="A1071" t="s">
        <v>1124</v>
      </c>
      <c r="B1071">
        <v>37</v>
      </c>
      <c r="C1071" t="s">
        <v>31</v>
      </c>
      <c r="D1071" t="s">
        <v>39</v>
      </c>
      <c r="E1071" t="s">
        <v>58</v>
      </c>
      <c r="F1071" t="s">
        <v>51</v>
      </c>
      <c r="G1071">
        <v>3.3</v>
      </c>
      <c r="H1071">
        <v>1</v>
      </c>
      <c r="I1071">
        <v>3</v>
      </c>
      <c r="J1071" t="s">
        <v>42</v>
      </c>
      <c r="K1071" t="s">
        <v>36</v>
      </c>
      <c r="L1071">
        <v>15</v>
      </c>
      <c r="M1071">
        <v>2.9</v>
      </c>
      <c r="N1071">
        <v>2.8</v>
      </c>
      <c r="O1071">
        <v>6.5</v>
      </c>
      <c r="P1071">
        <v>5.8</v>
      </c>
      <c r="Q1071" t="s">
        <v>42</v>
      </c>
      <c r="R1071" t="s">
        <v>42</v>
      </c>
      <c r="S1071">
        <v>3</v>
      </c>
      <c r="T1071">
        <v>3.2</v>
      </c>
      <c r="U1071">
        <v>2.2999999999999998</v>
      </c>
      <c r="V1071">
        <v>7.4</v>
      </c>
      <c r="W1071">
        <v>4.9000000000000004</v>
      </c>
      <c r="X1071">
        <v>9.9</v>
      </c>
      <c r="Y1071">
        <v>6.1</v>
      </c>
      <c r="Z1071">
        <v>4.7</v>
      </c>
      <c r="AA1071">
        <v>0.6</v>
      </c>
      <c r="AB1071">
        <v>4.4000000000000004</v>
      </c>
      <c r="AC1071">
        <v>7.1</v>
      </c>
      <c r="AD1071" t="s">
        <v>53</v>
      </c>
      <c r="AE1071" t="str">
        <f>IF(AND(data[[#This Row],[Age]]&gt;=18,data[[#This Row],[Age]]&lt;=24),"18-24",IF(AND(data[[#This Row],[Age]]&gt;=25,data[[#This Row],[Age]]&lt;=34),"25-34",IF(AND(data[[#This Row],[Age]]&gt;35,data[[#This Row],[Age]]&lt;=44),"35-44",IF(data[[#This Row],[Age]]&gt;44,"45+",IF(data[[#This Row],[Age]]&lt;18,"below 18 ")))))</f>
        <v>35-44</v>
      </c>
    </row>
    <row r="1072" spans="1:31" x14ac:dyDescent="0.25">
      <c r="A1072" t="s">
        <v>1125</v>
      </c>
      <c r="B1072">
        <v>39</v>
      </c>
      <c r="C1072" t="s">
        <v>31</v>
      </c>
      <c r="D1072" t="s">
        <v>32</v>
      </c>
      <c r="E1072" t="s">
        <v>58</v>
      </c>
      <c r="F1072" t="s">
        <v>51</v>
      </c>
      <c r="G1072">
        <v>4.0999999999999996</v>
      </c>
      <c r="H1072">
        <v>4</v>
      </c>
      <c r="I1072">
        <v>2</v>
      </c>
      <c r="J1072" t="s">
        <v>42</v>
      </c>
      <c r="K1072" t="s">
        <v>36</v>
      </c>
      <c r="L1072">
        <v>62</v>
      </c>
      <c r="M1072">
        <v>5.7</v>
      </c>
      <c r="N1072">
        <v>3.4</v>
      </c>
      <c r="O1072">
        <v>3.6</v>
      </c>
      <c r="P1072">
        <v>9.8000000000000007</v>
      </c>
      <c r="Q1072" t="s">
        <v>42</v>
      </c>
      <c r="R1072" t="s">
        <v>42</v>
      </c>
      <c r="S1072">
        <v>4.9000000000000004</v>
      </c>
      <c r="T1072">
        <v>3.2</v>
      </c>
      <c r="V1072">
        <v>9.4</v>
      </c>
      <c r="W1072">
        <v>7.4</v>
      </c>
      <c r="X1072">
        <v>7.8</v>
      </c>
      <c r="Y1072">
        <v>5.8</v>
      </c>
      <c r="Z1072">
        <v>3.3</v>
      </c>
      <c r="AA1072">
        <v>7</v>
      </c>
      <c r="AB1072">
        <v>2.2999999999999998</v>
      </c>
      <c r="AC1072">
        <v>5.0999999999999996</v>
      </c>
      <c r="AD1072" t="s">
        <v>43</v>
      </c>
      <c r="AE1072" t="str">
        <f>IF(AND(data[[#This Row],[Age]]&gt;=18,data[[#This Row],[Age]]&lt;=24),"18-24",IF(AND(data[[#This Row],[Age]]&gt;=25,data[[#This Row],[Age]]&lt;=34),"25-34",IF(AND(data[[#This Row],[Age]]&gt;35,data[[#This Row],[Age]]&lt;=44),"35-44",IF(data[[#This Row],[Age]]&gt;44,"45+",IF(data[[#This Row],[Age]]&lt;18,"below 18 ")))))</f>
        <v>35-44</v>
      </c>
    </row>
    <row r="1073" spans="1:31" x14ac:dyDescent="0.25">
      <c r="A1073" t="s">
        <v>1126</v>
      </c>
      <c r="B1073">
        <v>41</v>
      </c>
      <c r="C1073" t="s">
        <v>50</v>
      </c>
      <c r="D1073" t="s">
        <v>64</v>
      </c>
      <c r="E1073" t="s">
        <v>33</v>
      </c>
      <c r="F1073" t="s">
        <v>41</v>
      </c>
      <c r="G1073">
        <v>2</v>
      </c>
      <c r="H1073">
        <v>4</v>
      </c>
      <c r="I1073">
        <v>2</v>
      </c>
      <c r="J1073" t="s">
        <v>35</v>
      </c>
      <c r="K1073" t="s">
        <v>36</v>
      </c>
      <c r="L1073">
        <v>40</v>
      </c>
      <c r="M1073">
        <v>4.9000000000000004</v>
      </c>
      <c r="N1073">
        <v>2.2999999999999998</v>
      </c>
      <c r="O1073">
        <v>6.2</v>
      </c>
      <c r="P1073">
        <v>3.2</v>
      </c>
      <c r="Q1073" t="s">
        <v>42</v>
      </c>
      <c r="R1073" t="s">
        <v>42</v>
      </c>
      <c r="S1073">
        <v>5.4</v>
      </c>
      <c r="T1073">
        <v>10</v>
      </c>
      <c r="U1073">
        <v>2.6</v>
      </c>
      <c r="V1073">
        <v>3</v>
      </c>
      <c r="W1073">
        <v>5</v>
      </c>
      <c r="X1073">
        <v>5.4</v>
      </c>
      <c r="Y1073">
        <v>5.6</v>
      </c>
      <c r="Z1073">
        <v>5.2</v>
      </c>
      <c r="AA1073">
        <v>4.4000000000000004</v>
      </c>
      <c r="AC1073">
        <v>5.9</v>
      </c>
      <c r="AD1073" t="s">
        <v>53</v>
      </c>
      <c r="AE1073" t="str">
        <f>IF(AND(data[[#This Row],[Age]]&gt;=18,data[[#This Row],[Age]]&lt;=24),"18-24",IF(AND(data[[#This Row],[Age]]&gt;=25,data[[#This Row],[Age]]&lt;=34),"25-34",IF(AND(data[[#This Row],[Age]]&gt;35,data[[#This Row],[Age]]&lt;=44),"35-44",IF(data[[#This Row],[Age]]&gt;44,"45+",IF(data[[#This Row],[Age]]&lt;18,"below 18 ")))))</f>
        <v>35-44</v>
      </c>
    </row>
    <row r="1074" spans="1:31" x14ac:dyDescent="0.25">
      <c r="A1074" t="s">
        <v>1127</v>
      </c>
      <c r="B1074">
        <v>35</v>
      </c>
      <c r="C1074" t="s">
        <v>31</v>
      </c>
      <c r="D1074" t="s">
        <v>32</v>
      </c>
      <c r="E1074" t="s">
        <v>58</v>
      </c>
      <c r="F1074" t="s">
        <v>51</v>
      </c>
      <c r="G1074">
        <v>4.2</v>
      </c>
      <c r="H1074">
        <v>3</v>
      </c>
      <c r="I1074">
        <v>3</v>
      </c>
      <c r="J1074" t="s">
        <v>35</v>
      </c>
      <c r="K1074" t="s">
        <v>62</v>
      </c>
      <c r="L1074">
        <v>17</v>
      </c>
      <c r="M1074">
        <v>9.6</v>
      </c>
      <c r="N1074">
        <v>2.1</v>
      </c>
      <c r="O1074">
        <v>7.1</v>
      </c>
      <c r="P1074">
        <v>2.6</v>
      </c>
      <c r="R1074" t="s">
        <v>42</v>
      </c>
      <c r="S1074">
        <v>8.3000000000000007</v>
      </c>
      <c r="T1074">
        <v>3.5</v>
      </c>
      <c r="U1074">
        <v>3.6</v>
      </c>
      <c r="V1074">
        <v>4.2</v>
      </c>
      <c r="W1074">
        <v>4.7</v>
      </c>
      <c r="X1074">
        <v>5.0999999999999996</v>
      </c>
      <c r="Y1074">
        <v>8</v>
      </c>
      <c r="Z1074">
        <v>6.4</v>
      </c>
      <c r="AA1074">
        <v>6.4</v>
      </c>
      <c r="AB1074">
        <v>0.2</v>
      </c>
      <c r="AC1074">
        <v>6.7</v>
      </c>
      <c r="AD1074" t="s">
        <v>53</v>
      </c>
      <c r="AE1074" t="b">
        <f>IF(AND(data[[#This Row],[Age]]&gt;=18,data[[#This Row],[Age]]&lt;=24),"18-24",IF(AND(data[[#This Row],[Age]]&gt;=25,data[[#This Row],[Age]]&lt;=34),"25-34",IF(AND(data[[#This Row],[Age]]&gt;35,data[[#This Row],[Age]]&lt;=44),"35-44",IF(data[[#This Row],[Age]]&gt;44,"45+",IF(data[[#This Row],[Age]]&lt;18,"below 18 ")))))</f>
        <v>0</v>
      </c>
    </row>
    <row r="1075" spans="1:31" x14ac:dyDescent="0.25">
      <c r="A1075" t="s">
        <v>1128</v>
      </c>
      <c r="B1075">
        <v>15</v>
      </c>
      <c r="D1075" t="s">
        <v>39</v>
      </c>
      <c r="E1075" t="s">
        <v>58</v>
      </c>
      <c r="F1075" t="s">
        <v>48</v>
      </c>
      <c r="G1075">
        <v>0.5</v>
      </c>
      <c r="H1075">
        <v>4</v>
      </c>
      <c r="I1075">
        <v>4</v>
      </c>
      <c r="J1075" t="s">
        <v>42</v>
      </c>
      <c r="K1075" t="s">
        <v>62</v>
      </c>
      <c r="L1075">
        <v>56</v>
      </c>
      <c r="M1075">
        <v>7.1</v>
      </c>
      <c r="N1075">
        <v>3.5</v>
      </c>
      <c r="O1075">
        <v>5.6</v>
      </c>
      <c r="P1075">
        <v>8.9</v>
      </c>
      <c r="Q1075" t="s">
        <v>42</v>
      </c>
      <c r="R1075" t="s">
        <v>42</v>
      </c>
      <c r="S1075">
        <v>5.3</v>
      </c>
      <c r="T1075">
        <v>2.6</v>
      </c>
      <c r="U1075">
        <v>2.4</v>
      </c>
      <c r="W1075">
        <v>8</v>
      </c>
      <c r="X1075">
        <v>8.3000000000000007</v>
      </c>
      <c r="Y1075">
        <v>6.4</v>
      </c>
      <c r="Z1075">
        <v>5.5</v>
      </c>
      <c r="AA1075">
        <v>3.3</v>
      </c>
      <c r="AB1075">
        <v>2.8</v>
      </c>
      <c r="AC1075">
        <v>8.5</v>
      </c>
      <c r="AD1075" t="s">
        <v>37</v>
      </c>
      <c r="AE1075" t="str">
        <f>IF(AND(data[[#This Row],[Age]]&gt;=18,data[[#This Row],[Age]]&lt;=24),"18-24",IF(AND(data[[#This Row],[Age]]&gt;=25,data[[#This Row],[Age]]&lt;=34),"25-34",IF(AND(data[[#This Row],[Age]]&gt;35,data[[#This Row],[Age]]&lt;=44),"35-44",IF(data[[#This Row],[Age]]&gt;44,"45+",IF(data[[#This Row],[Age]]&lt;18,"below 18 ")))))</f>
        <v xml:space="preserve">below 18 </v>
      </c>
    </row>
    <row r="1076" spans="1:31" x14ac:dyDescent="0.25">
      <c r="A1076" t="s">
        <v>1129</v>
      </c>
      <c r="B1076">
        <v>21</v>
      </c>
      <c r="C1076" t="s">
        <v>47</v>
      </c>
      <c r="D1076" t="s">
        <v>57</v>
      </c>
      <c r="E1076" t="s">
        <v>40</v>
      </c>
      <c r="F1076" t="s">
        <v>70</v>
      </c>
      <c r="G1076">
        <v>4.8</v>
      </c>
      <c r="H1076">
        <v>5</v>
      </c>
      <c r="I1076">
        <v>1</v>
      </c>
      <c r="J1076" t="s">
        <v>35</v>
      </c>
      <c r="K1076" t="s">
        <v>52</v>
      </c>
      <c r="L1076">
        <v>48</v>
      </c>
      <c r="M1076">
        <v>8.1</v>
      </c>
      <c r="N1076">
        <v>6.2</v>
      </c>
      <c r="O1076">
        <v>6.8</v>
      </c>
      <c r="P1076">
        <v>6</v>
      </c>
      <c r="Q1076" t="s">
        <v>42</v>
      </c>
      <c r="R1076" t="s">
        <v>35</v>
      </c>
      <c r="S1076">
        <v>7.2</v>
      </c>
      <c r="T1076">
        <v>6.6</v>
      </c>
      <c r="U1076">
        <v>4.0999999999999996</v>
      </c>
      <c r="W1076">
        <v>4.0999999999999996</v>
      </c>
      <c r="X1076">
        <v>9.1999999999999993</v>
      </c>
      <c r="Y1076">
        <v>9</v>
      </c>
      <c r="Z1076">
        <v>6.8</v>
      </c>
      <c r="AA1076">
        <v>1.6</v>
      </c>
      <c r="AB1076">
        <v>0.9</v>
      </c>
      <c r="AC1076">
        <v>6.1</v>
      </c>
      <c r="AD1076" t="s">
        <v>45</v>
      </c>
      <c r="AE1076" t="str">
        <f>IF(AND(data[[#This Row],[Age]]&gt;=18,data[[#This Row],[Age]]&lt;=24),"18-24",IF(AND(data[[#This Row],[Age]]&gt;=25,data[[#This Row],[Age]]&lt;=34),"25-34",IF(AND(data[[#This Row],[Age]]&gt;35,data[[#This Row],[Age]]&lt;=44),"35-44",IF(data[[#This Row],[Age]]&gt;44,"45+",IF(data[[#This Row],[Age]]&lt;18,"below 18 ")))))</f>
        <v>18-24</v>
      </c>
    </row>
    <row r="1077" spans="1:31" x14ac:dyDescent="0.25">
      <c r="A1077" t="s">
        <v>1130</v>
      </c>
      <c r="B1077">
        <v>40</v>
      </c>
      <c r="C1077" t="s">
        <v>50</v>
      </c>
      <c r="D1077" t="s">
        <v>32</v>
      </c>
      <c r="F1077" t="s">
        <v>59</v>
      </c>
      <c r="G1077">
        <v>4.2</v>
      </c>
      <c r="H1077">
        <v>4</v>
      </c>
      <c r="I1077">
        <v>4</v>
      </c>
      <c r="J1077" t="s">
        <v>42</v>
      </c>
      <c r="K1077" t="s">
        <v>62</v>
      </c>
      <c r="L1077">
        <v>35</v>
      </c>
      <c r="M1077">
        <v>6.9</v>
      </c>
      <c r="N1077">
        <v>1.7</v>
      </c>
      <c r="O1077">
        <v>6.5</v>
      </c>
      <c r="P1077">
        <v>6.5</v>
      </c>
      <c r="Q1077" t="s">
        <v>42</v>
      </c>
      <c r="R1077" t="s">
        <v>42</v>
      </c>
      <c r="S1077">
        <v>4.0999999999999996</v>
      </c>
      <c r="T1077">
        <v>5.4</v>
      </c>
      <c r="U1077">
        <v>5.0999999999999996</v>
      </c>
      <c r="V1077">
        <v>7.8</v>
      </c>
      <c r="W1077">
        <v>4.0999999999999996</v>
      </c>
      <c r="X1077">
        <v>6</v>
      </c>
      <c r="Y1077">
        <v>7</v>
      </c>
      <c r="Z1077">
        <v>3.6</v>
      </c>
      <c r="AA1077">
        <v>3.4</v>
      </c>
      <c r="AB1077">
        <v>5.3</v>
      </c>
      <c r="AC1077">
        <v>6.3</v>
      </c>
      <c r="AD1077" t="s">
        <v>53</v>
      </c>
      <c r="AE1077" t="str">
        <f>IF(AND(data[[#This Row],[Age]]&gt;=18,data[[#This Row],[Age]]&lt;=24),"18-24",IF(AND(data[[#This Row],[Age]]&gt;=25,data[[#This Row],[Age]]&lt;=34),"25-34",IF(AND(data[[#This Row],[Age]]&gt;35,data[[#This Row],[Age]]&lt;=44),"35-44",IF(data[[#This Row],[Age]]&gt;44,"45+",IF(data[[#This Row],[Age]]&lt;18,"below 18 ")))))</f>
        <v>35-44</v>
      </c>
    </row>
    <row r="1078" spans="1:31" x14ac:dyDescent="0.25">
      <c r="A1078" t="s">
        <v>1131</v>
      </c>
      <c r="B1078">
        <v>34</v>
      </c>
      <c r="C1078" t="s">
        <v>47</v>
      </c>
      <c r="D1078" t="s">
        <v>32</v>
      </c>
      <c r="E1078" t="s">
        <v>58</v>
      </c>
      <c r="F1078" t="s">
        <v>34</v>
      </c>
      <c r="G1078">
        <v>4.0999999999999996</v>
      </c>
      <c r="H1078">
        <v>5</v>
      </c>
      <c r="I1078">
        <v>8</v>
      </c>
      <c r="J1078" t="s">
        <v>35</v>
      </c>
      <c r="K1078" t="s">
        <v>52</v>
      </c>
      <c r="L1078">
        <v>56</v>
      </c>
      <c r="M1078">
        <v>6</v>
      </c>
      <c r="N1078">
        <v>4.0999999999999996</v>
      </c>
      <c r="O1078">
        <v>4.3</v>
      </c>
      <c r="P1078">
        <v>8.1999999999999993</v>
      </c>
      <c r="Q1078" t="s">
        <v>35</v>
      </c>
      <c r="R1078" t="s">
        <v>42</v>
      </c>
      <c r="T1078">
        <v>4.5</v>
      </c>
      <c r="U1078">
        <v>3.4</v>
      </c>
      <c r="V1078">
        <v>5.6</v>
      </c>
      <c r="W1078">
        <v>5.5</v>
      </c>
      <c r="X1078">
        <v>7</v>
      </c>
      <c r="Y1078">
        <v>5.3</v>
      </c>
      <c r="Z1078">
        <v>7</v>
      </c>
      <c r="AA1078">
        <v>3.9</v>
      </c>
      <c r="AB1078">
        <v>5.0999999999999996</v>
      </c>
      <c r="AC1078">
        <v>6.9</v>
      </c>
      <c r="AD1078" t="s">
        <v>53</v>
      </c>
      <c r="AE1078" t="str">
        <f>IF(AND(data[[#This Row],[Age]]&gt;=18,data[[#This Row],[Age]]&lt;=24),"18-24",IF(AND(data[[#This Row],[Age]]&gt;=25,data[[#This Row],[Age]]&lt;=34),"25-34",IF(AND(data[[#This Row],[Age]]&gt;35,data[[#This Row],[Age]]&lt;=44),"35-44",IF(data[[#This Row],[Age]]&gt;44,"45+",IF(data[[#This Row],[Age]]&lt;18,"below 18 ")))))</f>
        <v>25-34</v>
      </c>
    </row>
    <row r="1079" spans="1:31" x14ac:dyDescent="0.25">
      <c r="A1079" t="s">
        <v>1132</v>
      </c>
      <c r="B1079">
        <v>43</v>
      </c>
      <c r="C1079" t="s">
        <v>31</v>
      </c>
      <c r="D1079" t="s">
        <v>32</v>
      </c>
      <c r="E1079" t="s">
        <v>58</v>
      </c>
      <c r="F1079" t="s">
        <v>51</v>
      </c>
      <c r="G1079">
        <v>2.7</v>
      </c>
      <c r="H1079">
        <v>3</v>
      </c>
      <c r="I1079">
        <v>2</v>
      </c>
      <c r="J1079" t="s">
        <v>35</v>
      </c>
      <c r="K1079" t="s">
        <v>36</v>
      </c>
      <c r="L1079">
        <v>98</v>
      </c>
      <c r="M1079">
        <v>5.6</v>
      </c>
      <c r="N1079">
        <v>5.0999999999999996</v>
      </c>
      <c r="O1079">
        <v>5.6</v>
      </c>
      <c r="P1079">
        <v>4.7</v>
      </c>
      <c r="Q1079" t="s">
        <v>42</v>
      </c>
      <c r="R1079" t="s">
        <v>42</v>
      </c>
      <c r="S1079">
        <v>9.6</v>
      </c>
      <c r="T1079">
        <v>0</v>
      </c>
      <c r="U1079">
        <v>5.0999999999999996</v>
      </c>
      <c r="V1079">
        <v>8.5</v>
      </c>
      <c r="W1079">
        <v>6.3</v>
      </c>
      <c r="X1079">
        <v>5.0999999999999996</v>
      </c>
      <c r="Y1079">
        <v>8.9</v>
      </c>
      <c r="Z1079">
        <v>5.6</v>
      </c>
      <c r="AA1079">
        <v>2.6</v>
      </c>
      <c r="AB1079">
        <v>4.2</v>
      </c>
      <c r="AC1079">
        <v>4.9000000000000004</v>
      </c>
      <c r="AD1079" t="s">
        <v>45</v>
      </c>
      <c r="AE1079" t="str">
        <f>IF(AND(data[[#This Row],[Age]]&gt;=18,data[[#This Row],[Age]]&lt;=24),"18-24",IF(AND(data[[#This Row],[Age]]&gt;=25,data[[#This Row],[Age]]&lt;=34),"25-34",IF(AND(data[[#This Row],[Age]]&gt;35,data[[#This Row],[Age]]&lt;=44),"35-44",IF(data[[#This Row],[Age]]&gt;44,"45+",IF(data[[#This Row],[Age]]&lt;18,"below 18 ")))))</f>
        <v>35-44</v>
      </c>
    </row>
    <row r="1080" spans="1:31" x14ac:dyDescent="0.25">
      <c r="A1080" t="s">
        <v>1133</v>
      </c>
      <c r="B1080">
        <v>33</v>
      </c>
      <c r="C1080" t="s">
        <v>47</v>
      </c>
      <c r="D1080" t="s">
        <v>39</v>
      </c>
      <c r="E1080" t="s">
        <v>40</v>
      </c>
      <c r="F1080" t="s">
        <v>59</v>
      </c>
      <c r="G1080">
        <v>4.4000000000000004</v>
      </c>
      <c r="H1080">
        <v>2</v>
      </c>
      <c r="I1080">
        <v>4</v>
      </c>
      <c r="K1080" t="s">
        <v>36</v>
      </c>
      <c r="L1080">
        <v>12</v>
      </c>
      <c r="M1080">
        <v>8.1</v>
      </c>
      <c r="N1080">
        <v>3.3</v>
      </c>
      <c r="O1080">
        <v>5.0999999999999996</v>
      </c>
      <c r="P1080">
        <v>5.4</v>
      </c>
      <c r="Q1080" t="s">
        <v>42</v>
      </c>
      <c r="R1080" t="s">
        <v>42</v>
      </c>
      <c r="S1080">
        <v>5</v>
      </c>
      <c r="T1080">
        <v>8.8000000000000007</v>
      </c>
      <c r="U1080">
        <v>2</v>
      </c>
      <c r="V1080">
        <v>5.3</v>
      </c>
      <c r="W1080">
        <v>5.3</v>
      </c>
      <c r="X1080">
        <v>6.4</v>
      </c>
      <c r="Y1080">
        <v>4.5</v>
      </c>
      <c r="Z1080">
        <v>5</v>
      </c>
      <c r="AA1080">
        <v>2.4</v>
      </c>
      <c r="AB1080">
        <v>1.1000000000000001</v>
      </c>
      <c r="AC1080">
        <v>5.9</v>
      </c>
      <c r="AD1080" t="s">
        <v>45</v>
      </c>
      <c r="AE1080" t="str">
        <f>IF(AND(data[[#This Row],[Age]]&gt;=18,data[[#This Row],[Age]]&lt;=24),"18-24",IF(AND(data[[#This Row],[Age]]&gt;=25,data[[#This Row],[Age]]&lt;=34),"25-34",IF(AND(data[[#This Row],[Age]]&gt;35,data[[#This Row],[Age]]&lt;=44),"35-44",IF(data[[#This Row],[Age]]&gt;44,"45+",IF(data[[#This Row],[Age]]&lt;18,"below 18 ")))))</f>
        <v>25-34</v>
      </c>
    </row>
    <row r="1081" spans="1:31" x14ac:dyDescent="0.25">
      <c r="A1081" t="s">
        <v>1134</v>
      </c>
      <c r="B1081">
        <v>31</v>
      </c>
      <c r="C1081" t="s">
        <v>50</v>
      </c>
      <c r="D1081" t="s">
        <v>32</v>
      </c>
      <c r="E1081" t="s">
        <v>33</v>
      </c>
      <c r="F1081" t="s">
        <v>48</v>
      </c>
      <c r="G1081">
        <v>4.9000000000000004</v>
      </c>
      <c r="H1081">
        <v>5</v>
      </c>
      <c r="I1081">
        <v>6</v>
      </c>
      <c r="J1081" t="s">
        <v>42</v>
      </c>
      <c r="K1081" t="s">
        <v>52</v>
      </c>
      <c r="L1081">
        <v>90</v>
      </c>
      <c r="M1081">
        <v>0.9</v>
      </c>
      <c r="N1081">
        <v>0</v>
      </c>
      <c r="P1081">
        <v>7.1</v>
      </c>
      <c r="Q1081" t="s">
        <v>35</v>
      </c>
      <c r="R1081" t="s">
        <v>42</v>
      </c>
      <c r="S1081">
        <v>0.2</v>
      </c>
      <c r="T1081">
        <v>6.4</v>
      </c>
      <c r="U1081">
        <v>5.8</v>
      </c>
      <c r="V1081">
        <v>6.6</v>
      </c>
      <c r="W1081">
        <v>3.2</v>
      </c>
      <c r="X1081">
        <v>7.1</v>
      </c>
      <c r="Y1081">
        <v>5.5</v>
      </c>
      <c r="Z1081">
        <v>5</v>
      </c>
      <c r="AA1081">
        <v>5.0999999999999996</v>
      </c>
      <c r="AC1081">
        <v>7.5</v>
      </c>
      <c r="AD1081" t="s">
        <v>37</v>
      </c>
      <c r="AE1081" t="str">
        <f>IF(AND(data[[#This Row],[Age]]&gt;=18,data[[#This Row],[Age]]&lt;=24),"18-24",IF(AND(data[[#This Row],[Age]]&gt;=25,data[[#This Row],[Age]]&lt;=34),"25-34",IF(AND(data[[#This Row],[Age]]&gt;35,data[[#This Row],[Age]]&lt;=44),"35-44",IF(data[[#This Row],[Age]]&gt;44,"45+",IF(data[[#This Row],[Age]]&lt;18,"below 18 ")))))</f>
        <v>25-34</v>
      </c>
    </row>
    <row r="1082" spans="1:31" x14ac:dyDescent="0.25">
      <c r="A1082" t="s">
        <v>1135</v>
      </c>
      <c r="B1082">
        <v>16</v>
      </c>
      <c r="C1082" t="s">
        <v>50</v>
      </c>
      <c r="D1082" t="s">
        <v>32</v>
      </c>
      <c r="E1082" t="s">
        <v>33</v>
      </c>
      <c r="F1082" t="s">
        <v>41</v>
      </c>
      <c r="G1082">
        <v>0.7</v>
      </c>
      <c r="H1082">
        <v>3</v>
      </c>
      <c r="I1082">
        <v>4</v>
      </c>
      <c r="J1082" t="s">
        <v>42</v>
      </c>
      <c r="K1082" t="s">
        <v>52</v>
      </c>
      <c r="L1082">
        <v>102</v>
      </c>
      <c r="M1082">
        <v>0</v>
      </c>
      <c r="N1082">
        <v>5.4</v>
      </c>
      <c r="O1082">
        <v>6.3</v>
      </c>
      <c r="P1082">
        <v>10</v>
      </c>
      <c r="Q1082" t="s">
        <v>42</v>
      </c>
      <c r="R1082" t="s">
        <v>35</v>
      </c>
      <c r="S1082">
        <v>4</v>
      </c>
      <c r="T1082">
        <v>5</v>
      </c>
      <c r="U1082">
        <v>3.4</v>
      </c>
      <c r="V1082">
        <v>7.7</v>
      </c>
      <c r="W1082">
        <v>4.7</v>
      </c>
      <c r="X1082">
        <v>7.4</v>
      </c>
      <c r="Y1082">
        <v>3.8</v>
      </c>
      <c r="Z1082">
        <v>5.0999999999999996</v>
      </c>
      <c r="AA1082">
        <v>2.1</v>
      </c>
      <c r="AB1082">
        <v>6.8</v>
      </c>
      <c r="AC1082">
        <v>8.8000000000000007</v>
      </c>
      <c r="AD1082" t="s">
        <v>37</v>
      </c>
      <c r="AE1082" t="str">
        <f>IF(AND(data[[#This Row],[Age]]&gt;=18,data[[#This Row],[Age]]&lt;=24),"18-24",IF(AND(data[[#This Row],[Age]]&gt;=25,data[[#This Row],[Age]]&lt;=34),"25-34",IF(AND(data[[#This Row],[Age]]&gt;35,data[[#This Row],[Age]]&lt;=44),"35-44",IF(data[[#This Row],[Age]]&gt;44,"45+",IF(data[[#This Row],[Age]]&lt;18,"below 18 ")))))</f>
        <v xml:space="preserve">below 18 </v>
      </c>
    </row>
    <row r="1083" spans="1:31" x14ac:dyDescent="0.25">
      <c r="A1083" t="s">
        <v>1136</v>
      </c>
      <c r="B1083">
        <v>27</v>
      </c>
      <c r="C1083" t="s">
        <v>31</v>
      </c>
      <c r="D1083" t="s">
        <v>39</v>
      </c>
      <c r="E1083" t="s">
        <v>33</v>
      </c>
      <c r="F1083" t="s">
        <v>51</v>
      </c>
      <c r="G1083">
        <v>6.6</v>
      </c>
      <c r="H1083">
        <v>5</v>
      </c>
      <c r="I1083">
        <v>6</v>
      </c>
      <c r="J1083" t="s">
        <v>35</v>
      </c>
      <c r="K1083" t="s">
        <v>36</v>
      </c>
      <c r="L1083">
        <v>73</v>
      </c>
      <c r="M1083">
        <v>7.3</v>
      </c>
      <c r="N1083">
        <v>5.4</v>
      </c>
      <c r="O1083">
        <v>2.1</v>
      </c>
      <c r="P1083">
        <v>6.3</v>
      </c>
      <c r="Q1083" t="s">
        <v>42</v>
      </c>
      <c r="R1083" t="s">
        <v>42</v>
      </c>
      <c r="S1083">
        <v>8.6999999999999993</v>
      </c>
      <c r="T1083">
        <v>4.5</v>
      </c>
      <c r="U1083">
        <v>7.1</v>
      </c>
      <c r="V1083">
        <v>4.8</v>
      </c>
      <c r="X1083">
        <v>7.9</v>
      </c>
      <c r="Y1083">
        <v>5.2</v>
      </c>
      <c r="Z1083">
        <v>3.9</v>
      </c>
      <c r="AA1083">
        <v>4.5999999999999996</v>
      </c>
      <c r="AB1083">
        <v>2.7</v>
      </c>
      <c r="AC1083">
        <v>4.7</v>
      </c>
      <c r="AD1083" t="s">
        <v>43</v>
      </c>
      <c r="AE1083" t="str">
        <f>IF(AND(data[[#This Row],[Age]]&gt;=18,data[[#This Row],[Age]]&lt;=24),"18-24",IF(AND(data[[#This Row],[Age]]&gt;=25,data[[#This Row],[Age]]&lt;=34),"25-34",IF(AND(data[[#This Row],[Age]]&gt;35,data[[#This Row],[Age]]&lt;=44),"35-44",IF(data[[#This Row],[Age]]&gt;44,"45+",IF(data[[#This Row],[Age]]&lt;18,"below 18 ")))))</f>
        <v>25-34</v>
      </c>
    </row>
    <row r="1084" spans="1:31" x14ac:dyDescent="0.25">
      <c r="A1084" t="s">
        <v>1137</v>
      </c>
      <c r="B1084">
        <v>25</v>
      </c>
      <c r="C1084" t="s">
        <v>47</v>
      </c>
      <c r="D1084" t="s">
        <v>39</v>
      </c>
      <c r="E1084" t="s">
        <v>40</v>
      </c>
      <c r="F1084" t="s">
        <v>34</v>
      </c>
      <c r="G1084">
        <v>4.0999999999999996</v>
      </c>
      <c r="H1084">
        <v>3</v>
      </c>
      <c r="I1084">
        <v>8</v>
      </c>
      <c r="J1084" t="s">
        <v>35</v>
      </c>
      <c r="K1084" t="s">
        <v>62</v>
      </c>
      <c r="L1084">
        <v>36</v>
      </c>
      <c r="M1084">
        <v>2.9</v>
      </c>
      <c r="N1084">
        <v>8.6999999999999993</v>
      </c>
      <c r="O1084">
        <v>3.1</v>
      </c>
      <c r="P1084">
        <v>3.5</v>
      </c>
      <c r="Q1084" t="s">
        <v>35</v>
      </c>
      <c r="R1084" t="s">
        <v>42</v>
      </c>
      <c r="S1084">
        <v>3.5</v>
      </c>
      <c r="T1084">
        <v>4.0999999999999996</v>
      </c>
      <c r="U1084">
        <v>3.6</v>
      </c>
      <c r="V1084">
        <v>10</v>
      </c>
      <c r="W1084">
        <v>6.5</v>
      </c>
      <c r="X1084">
        <v>7</v>
      </c>
      <c r="Y1084">
        <v>5.3</v>
      </c>
      <c r="Z1084">
        <v>7.5</v>
      </c>
      <c r="AA1084">
        <v>1.6</v>
      </c>
      <c r="AB1084">
        <v>4.8</v>
      </c>
      <c r="AC1084">
        <v>8.3000000000000007</v>
      </c>
      <c r="AD1084" t="s">
        <v>37</v>
      </c>
      <c r="AE1084" t="str">
        <f>IF(AND(data[[#This Row],[Age]]&gt;=18,data[[#This Row],[Age]]&lt;=24),"18-24",IF(AND(data[[#This Row],[Age]]&gt;=25,data[[#This Row],[Age]]&lt;=34),"25-34",IF(AND(data[[#This Row],[Age]]&gt;35,data[[#This Row],[Age]]&lt;=44),"35-44",IF(data[[#This Row],[Age]]&gt;44,"45+",IF(data[[#This Row],[Age]]&lt;18,"below 18 ")))))</f>
        <v>25-34</v>
      </c>
    </row>
    <row r="1085" spans="1:31" x14ac:dyDescent="0.25">
      <c r="A1085" t="s">
        <v>1138</v>
      </c>
      <c r="B1085">
        <v>25</v>
      </c>
      <c r="D1085" t="s">
        <v>39</v>
      </c>
      <c r="E1085" t="s">
        <v>58</v>
      </c>
      <c r="F1085" t="s">
        <v>48</v>
      </c>
      <c r="G1085">
        <v>5.5</v>
      </c>
      <c r="H1085">
        <v>3</v>
      </c>
      <c r="I1085">
        <v>3</v>
      </c>
      <c r="J1085" t="s">
        <v>42</v>
      </c>
      <c r="K1085" t="s">
        <v>36</v>
      </c>
      <c r="L1085">
        <v>143</v>
      </c>
      <c r="M1085">
        <v>4</v>
      </c>
      <c r="N1085">
        <v>3.5</v>
      </c>
      <c r="O1085">
        <v>6.1</v>
      </c>
      <c r="P1085">
        <v>6.9</v>
      </c>
      <c r="Q1085" t="s">
        <v>35</v>
      </c>
      <c r="R1085" t="s">
        <v>42</v>
      </c>
      <c r="S1085">
        <v>4</v>
      </c>
      <c r="T1085">
        <v>4.0999999999999996</v>
      </c>
      <c r="U1085">
        <v>5.5</v>
      </c>
      <c r="V1085">
        <v>8.1</v>
      </c>
      <c r="W1085">
        <v>2.5</v>
      </c>
      <c r="X1085">
        <v>9.3000000000000007</v>
      </c>
      <c r="Y1085">
        <v>3.1</v>
      </c>
      <c r="Z1085">
        <v>5.6</v>
      </c>
      <c r="AA1085">
        <v>0.7</v>
      </c>
      <c r="AC1085">
        <v>4.9000000000000004</v>
      </c>
      <c r="AD1085" t="s">
        <v>43</v>
      </c>
      <c r="AE1085" t="str">
        <f>IF(AND(data[[#This Row],[Age]]&gt;=18,data[[#This Row],[Age]]&lt;=24),"18-24",IF(AND(data[[#This Row],[Age]]&gt;=25,data[[#This Row],[Age]]&lt;=34),"25-34",IF(AND(data[[#This Row],[Age]]&gt;35,data[[#This Row],[Age]]&lt;=44),"35-44",IF(data[[#This Row],[Age]]&gt;44,"45+",IF(data[[#This Row],[Age]]&lt;18,"below 18 ")))))</f>
        <v>25-34</v>
      </c>
    </row>
    <row r="1086" spans="1:31" x14ac:dyDescent="0.25">
      <c r="A1086" t="s">
        <v>1139</v>
      </c>
      <c r="B1086">
        <v>31</v>
      </c>
      <c r="C1086" t="s">
        <v>31</v>
      </c>
      <c r="D1086" t="s">
        <v>64</v>
      </c>
      <c r="E1086" t="s">
        <v>33</v>
      </c>
      <c r="F1086" t="s">
        <v>41</v>
      </c>
      <c r="G1086">
        <v>7.8</v>
      </c>
      <c r="H1086">
        <v>2</v>
      </c>
      <c r="I1086">
        <v>2</v>
      </c>
      <c r="J1086" t="s">
        <v>42</v>
      </c>
      <c r="K1086" t="s">
        <v>36</v>
      </c>
      <c r="L1086">
        <v>57</v>
      </c>
      <c r="M1086">
        <v>3.3</v>
      </c>
      <c r="N1086">
        <v>8.1999999999999993</v>
      </c>
      <c r="O1086">
        <v>5</v>
      </c>
      <c r="P1086">
        <v>5.2</v>
      </c>
      <c r="Q1086" t="s">
        <v>42</v>
      </c>
      <c r="R1086" t="s">
        <v>42</v>
      </c>
      <c r="S1086">
        <v>6.6</v>
      </c>
      <c r="T1086">
        <v>5.7</v>
      </c>
      <c r="U1086">
        <v>3.3</v>
      </c>
      <c r="V1086">
        <v>5</v>
      </c>
      <c r="W1086">
        <v>2.8</v>
      </c>
      <c r="X1086">
        <v>4.8</v>
      </c>
      <c r="Z1086">
        <v>4.7</v>
      </c>
      <c r="AA1086">
        <v>1.8</v>
      </c>
      <c r="AB1086">
        <v>4.0999999999999996</v>
      </c>
      <c r="AC1086">
        <v>4.5999999999999996</v>
      </c>
      <c r="AD1086" t="s">
        <v>43</v>
      </c>
      <c r="AE1086" t="str">
        <f>IF(AND(data[[#This Row],[Age]]&gt;=18,data[[#This Row],[Age]]&lt;=24),"18-24",IF(AND(data[[#This Row],[Age]]&gt;=25,data[[#This Row],[Age]]&lt;=34),"25-34",IF(AND(data[[#This Row],[Age]]&gt;35,data[[#This Row],[Age]]&lt;=44),"35-44",IF(data[[#This Row],[Age]]&gt;44,"45+",IF(data[[#This Row],[Age]]&lt;18,"below 18 ")))))</f>
        <v>25-34</v>
      </c>
    </row>
    <row r="1087" spans="1:31" x14ac:dyDescent="0.25">
      <c r="A1087" t="s">
        <v>1140</v>
      </c>
      <c r="B1087">
        <v>23</v>
      </c>
      <c r="C1087" t="s">
        <v>31</v>
      </c>
      <c r="D1087" t="s">
        <v>32</v>
      </c>
      <c r="E1087" t="s">
        <v>40</v>
      </c>
      <c r="F1087" t="s">
        <v>41</v>
      </c>
      <c r="G1087">
        <v>1.8</v>
      </c>
      <c r="H1087">
        <v>4</v>
      </c>
      <c r="I1087">
        <v>6</v>
      </c>
      <c r="J1087" t="s">
        <v>35</v>
      </c>
      <c r="K1087" t="s">
        <v>52</v>
      </c>
      <c r="L1087">
        <v>5</v>
      </c>
      <c r="M1087">
        <v>7.8</v>
      </c>
      <c r="N1087">
        <v>5.9</v>
      </c>
      <c r="O1087">
        <v>4.3</v>
      </c>
      <c r="P1087">
        <v>8.1999999999999993</v>
      </c>
      <c r="Q1087" t="s">
        <v>42</v>
      </c>
      <c r="R1087" t="s">
        <v>35</v>
      </c>
      <c r="S1087">
        <v>6.2</v>
      </c>
      <c r="T1087">
        <v>3.1</v>
      </c>
      <c r="U1087">
        <v>4.9000000000000004</v>
      </c>
      <c r="V1087">
        <v>8.1999999999999993</v>
      </c>
      <c r="W1087">
        <v>4.4000000000000004</v>
      </c>
      <c r="X1087">
        <v>8.3000000000000007</v>
      </c>
      <c r="Y1087">
        <v>2.6</v>
      </c>
      <c r="Z1087">
        <v>4.8</v>
      </c>
      <c r="AA1087">
        <v>3</v>
      </c>
      <c r="AB1087">
        <v>5.9</v>
      </c>
      <c r="AC1087">
        <v>7</v>
      </c>
      <c r="AD1087" t="s">
        <v>53</v>
      </c>
      <c r="AE1087" t="str">
        <f>IF(AND(data[[#This Row],[Age]]&gt;=18,data[[#This Row],[Age]]&lt;=24),"18-24",IF(AND(data[[#This Row],[Age]]&gt;=25,data[[#This Row],[Age]]&lt;=34),"25-34",IF(AND(data[[#This Row],[Age]]&gt;35,data[[#This Row],[Age]]&lt;=44),"35-44",IF(data[[#This Row],[Age]]&gt;44,"45+",IF(data[[#This Row],[Age]]&lt;18,"below 18 ")))))</f>
        <v>18-24</v>
      </c>
    </row>
    <row r="1088" spans="1:31" x14ac:dyDescent="0.25">
      <c r="A1088" t="s">
        <v>1141</v>
      </c>
      <c r="B1088">
        <v>17</v>
      </c>
      <c r="C1088" t="s">
        <v>31</v>
      </c>
      <c r="D1088" t="s">
        <v>32</v>
      </c>
      <c r="E1088" t="s">
        <v>58</v>
      </c>
      <c r="F1088" t="s">
        <v>48</v>
      </c>
      <c r="G1088">
        <v>2.2999999999999998</v>
      </c>
      <c r="H1088">
        <v>1</v>
      </c>
      <c r="I1088">
        <v>4</v>
      </c>
      <c r="J1088" t="s">
        <v>42</v>
      </c>
      <c r="K1088" t="s">
        <v>36</v>
      </c>
      <c r="L1088">
        <v>47</v>
      </c>
      <c r="M1088">
        <v>7.6</v>
      </c>
      <c r="N1088">
        <v>5.8</v>
      </c>
      <c r="O1088">
        <v>6.2</v>
      </c>
      <c r="P1088">
        <v>7.1</v>
      </c>
      <c r="Q1088" t="s">
        <v>42</v>
      </c>
      <c r="R1088" t="s">
        <v>35</v>
      </c>
      <c r="S1088">
        <v>6</v>
      </c>
      <c r="T1088">
        <v>5.7</v>
      </c>
      <c r="U1088">
        <v>5.5</v>
      </c>
      <c r="V1088">
        <v>4.5999999999999996</v>
      </c>
      <c r="W1088">
        <v>6</v>
      </c>
      <c r="X1088">
        <v>6.6</v>
      </c>
      <c r="Y1088">
        <v>1.4</v>
      </c>
      <c r="AA1088">
        <v>0</v>
      </c>
      <c r="AB1088">
        <v>1.7</v>
      </c>
      <c r="AC1088">
        <v>5.0999999999999996</v>
      </c>
      <c r="AD1088" t="s">
        <v>45</v>
      </c>
      <c r="AE1088" t="str">
        <f>IF(AND(data[[#This Row],[Age]]&gt;=18,data[[#This Row],[Age]]&lt;=24),"18-24",IF(AND(data[[#This Row],[Age]]&gt;=25,data[[#This Row],[Age]]&lt;=34),"25-34",IF(AND(data[[#This Row],[Age]]&gt;35,data[[#This Row],[Age]]&lt;=44),"35-44",IF(data[[#This Row],[Age]]&gt;44,"45+",IF(data[[#This Row],[Age]]&lt;18,"below 18 ")))))</f>
        <v xml:space="preserve">below 18 </v>
      </c>
    </row>
    <row r="1089" spans="1:31" x14ac:dyDescent="0.25">
      <c r="A1089" t="s">
        <v>1142</v>
      </c>
      <c r="B1089">
        <v>22</v>
      </c>
      <c r="C1089" t="s">
        <v>47</v>
      </c>
      <c r="D1089" t="s">
        <v>64</v>
      </c>
      <c r="E1089" t="s">
        <v>33</v>
      </c>
      <c r="F1089" t="s">
        <v>34</v>
      </c>
      <c r="G1089">
        <v>2.4</v>
      </c>
      <c r="H1089">
        <v>1</v>
      </c>
      <c r="I1089">
        <v>2</v>
      </c>
      <c r="J1089" t="s">
        <v>42</v>
      </c>
      <c r="K1089" t="s">
        <v>36</v>
      </c>
      <c r="L1089">
        <v>5</v>
      </c>
      <c r="M1089">
        <v>4</v>
      </c>
      <c r="N1089">
        <v>2.8</v>
      </c>
      <c r="O1089">
        <v>4</v>
      </c>
      <c r="P1089">
        <v>4.2</v>
      </c>
      <c r="Q1089" t="s">
        <v>42</v>
      </c>
      <c r="R1089" t="s">
        <v>42</v>
      </c>
      <c r="S1089">
        <v>9.3000000000000007</v>
      </c>
      <c r="T1089">
        <v>4.8</v>
      </c>
      <c r="U1089">
        <v>0.5</v>
      </c>
      <c r="V1089">
        <v>7.2</v>
      </c>
      <c r="W1089">
        <v>4.0999999999999996</v>
      </c>
      <c r="X1089">
        <v>6.5</v>
      </c>
      <c r="Y1089">
        <v>6.2</v>
      </c>
      <c r="Z1089">
        <v>3.6</v>
      </c>
      <c r="AA1089">
        <v>0.7</v>
      </c>
      <c r="AB1089">
        <v>5.2</v>
      </c>
      <c r="AC1089">
        <v>7.2</v>
      </c>
      <c r="AD1089" t="s">
        <v>53</v>
      </c>
      <c r="AE1089" t="str">
        <f>IF(AND(data[[#This Row],[Age]]&gt;=18,data[[#This Row],[Age]]&lt;=24),"18-24",IF(AND(data[[#This Row],[Age]]&gt;=25,data[[#This Row],[Age]]&lt;=34),"25-34",IF(AND(data[[#This Row],[Age]]&gt;35,data[[#This Row],[Age]]&lt;=44),"35-44",IF(data[[#This Row],[Age]]&gt;44,"45+",IF(data[[#This Row],[Age]]&lt;18,"below 18 ")))))</f>
        <v>18-24</v>
      </c>
    </row>
    <row r="1090" spans="1:31" x14ac:dyDescent="0.25">
      <c r="A1090" t="s">
        <v>1143</v>
      </c>
      <c r="B1090">
        <v>32</v>
      </c>
      <c r="C1090" t="s">
        <v>31</v>
      </c>
      <c r="D1090" t="s">
        <v>39</v>
      </c>
      <c r="E1090" t="s">
        <v>58</v>
      </c>
      <c r="F1090" t="s">
        <v>41</v>
      </c>
      <c r="G1090">
        <v>4.5999999999999996</v>
      </c>
      <c r="H1090">
        <v>2</v>
      </c>
      <c r="I1090">
        <v>4</v>
      </c>
      <c r="J1090" t="s">
        <v>42</v>
      </c>
      <c r="K1090" t="s">
        <v>52</v>
      </c>
      <c r="L1090">
        <v>76</v>
      </c>
      <c r="M1090">
        <v>6.3</v>
      </c>
      <c r="N1090">
        <v>4.5</v>
      </c>
      <c r="O1090">
        <v>3.5</v>
      </c>
      <c r="P1090">
        <v>5.5</v>
      </c>
      <c r="Q1090" t="s">
        <v>42</v>
      </c>
      <c r="R1090" t="s">
        <v>35</v>
      </c>
      <c r="S1090">
        <v>5.8</v>
      </c>
      <c r="T1090">
        <v>4</v>
      </c>
      <c r="U1090">
        <v>3.6</v>
      </c>
      <c r="W1090">
        <v>3.8</v>
      </c>
      <c r="X1090">
        <v>6.7</v>
      </c>
      <c r="Y1090">
        <v>4.7</v>
      </c>
      <c r="Z1090">
        <v>3.8</v>
      </c>
      <c r="AA1090">
        <v>3.2</v>
      </c>
      <c r="AB1090">
        <v>5.5</v>
      </c>
      <c r="AC1090">
        <v>6.8</v>
      </c>
      <c r="AD1090" t="s">
        <v>53</v>
      </c>
      <c r="AE1090" t="str">
        <f>IF(AND(data[[#This Row],[Age]]&gt;=18,data[[#This Row],[Age]]&lt;=24),"18-24",IF(AND(data[[#This Row],[Age]]&gt;=25,data[[#This Row],[Age]]&lt;=34),"25-34",IF(AND(data[[#This Row],[Age]]&gt;35,data[[#This Row],[Age]]&lt;=44),"35-44",IF(data[[#This Row],[Age]]&gt;44,"45+",IF(data[[#This Row],[Age]]&lt;18,"below 18 ")))))</f>
        <v>25-34</v>
      </c>
    </row>
    <row r="1091" spans="1:31" x14ac:dyDescent="0.25">
      <c r="A1091" t="s">
        <v>1144</v>
      </c>
      <c r="B1091">
        <v>30</v>
      </c>
      <c r="C1091" t="s">
        <v>47</v>
      </c>
      <c r="D1091" t="s">
        <v>32</v>
      </c>
      <c r="E1091" t="s">
        <v>40</v>
      </c>
      <c r="F1091" t="s">
        <v>51</v>
      </c>
      <c r="G1091">
        <v>2.2999999999999998</v>
      </c>
      <c r="H1091">
        <v>3</v>
      </c>
      <c r="I1091">
        <v>3</v>
      </c>
      <c r="J1091" t="s">
        <v>42</v>
      </c>
      <c r="K1091" t="s">
        <v>52</v>
      </c>
      <c r="L1091">
        <v>39</v>
      </c>
      <c r="M1091">
        <v>9.1</v>
      </c>
      <c r="N1091">
        <v>10</v>
      </c>
      <c r="O1091">
        <v>3.2</v>
      </c>
      <c r="P1091">
        <v>6.1</v>
      </c>
      <c r="Q1091" t="s">
        <v>42</v>
      </c>
      <c r="R1091" t="s">
        <v>42</v>
      </c>
      <c r="S1091">
        <v>4.5999999999999996</v>
      </c>
      <c r="T1091">
        <v>6.5</v>
      </c>
      <c r="U1091">
        <v>2.1</v>
      </c>
      <c r="V1091">
        <v>7.1</v>
      </c>
      <c r="W1091">
        <v>5.6</v>
      </c>
      <c r="X1091">
        <v>8.5</v>
      </c>
      <c r="Y1091">
        <v>5.0999999999999996</v>
      </c>
      <c r="Z1091">
        <v>5.6</v>
      </c>
      <c r="AA1091">
        <v>2.1</v>
      </c>
      <c r="AB1091">
        <v>3.9</v>
      </c>
      <c r="AC1091">
        <v>5.9</v>
      </c>
      <c r="AD1091" t="s">
        <v>45</v>
      </c>
      <c r="AE1091" t="str">
        <f>IF(AND(data[[#This Row],[Age]]&gt;=18,data[[#This Row],[Age]]&lt;=24),"18-24",IF(AND(data[[#This Row],[Age]]&gt;=25,data[[#This Row],[Age]]&lt;=34),"25-34",IF(AND(data[[#This Row],[Age]]&gt;35,data[[#This Row],[Age]]&lt;=44),"35-44",IF(data[[#This Row],[Age]]&gt;44,"45+",IF(data[[#This Row],[Age]]&lt;18,"below 18 ")))))</f>
        <v>25-34</v>
      </c>
    </row>
    <row r="1092" spans="1:31" x14ac:dyDescent="0.25">
      <c r="A1092" t="s">
        <v>1145</v>
      </c>
      <c r="B1092">
        <v>28</v>
      </c>
      <c r="C1092" t="s">
        <v>47</v>
      </c>
      <c r="D1092" t="s">
        <v>32</v>
      </c>
      <c r="E1092" t="s">
        <v>58</v>
      </c>
      <c r="F1092" t="s">
        <v>51</v>
      </c>
      <c r="G1092">
        <v>2.6</v>
      </c>
      <c r="H1092">
        <v>2</v>
      </c>
      <c r="I1092">
        <v>4</v>
      </c>
      <c r="J1092" t="s">
        <v>35</v>
      </c>
      <c r="K1092" t="s">
        <v>52</v>
      </c>
      <c r="L1092">
        <v>80</v>
      </c>
      <c r="M1092">
        <v>2.8</v>
      </c>
      <c r="N1092">
        <v>5.2</v>
      </c>
      <c r="P1092">
        <v>3.3</v>
      </c>
      <c r="Q1092" t="s">
        <v>35</v>
      </c>
      <c r="R1092" t="s">
        <v>35</v>
      </c>
      <c r="S1092">
        <v>7.9</v>
      </c>
      <c r="U1092">
        <v>5.6</v>
      </c>
      <c r="V1092">
        <v>5.6</v>
      </c>
      <c r="W1092">
        <v>4.3</v>
      </c>
      <c r="X1092">
        <v>7</v>
      </c>
      <c r="Y1092">
        <v>6.5</v>
      </c>
      <c r="Z1092">
        <v>5.4</v>
      </c>
      <c r="AA1092">
        <v>4.3</v>
      </c>
      <c r="AB1092">
        <v>3.6</v>
      </c>
      <c r="AC1092">
        <v>7.2</v>
      </c>
      <c r="AD1092" t="s">
        <v>37</v>
      </c>
      <c r="AE1092" t="str">
        <f>IF(AND(data[[#This Row],[Age]]&gt;=18,data[[#This Row],[Age]]&lt;=24),"18-24",IF(AND(data[[#This Row],[Age]]&gt;=25,data[[#This Row],[Age]]&lt;=34),"25-34",IF(AND(data[[#This Row],[Age]]&gt;35,data[[#This Row],[Age]]&lt;=44),"35-44",IF(data[[#This Row],[Age]]&gt;44,"45+",IF(data[[#This Row],[Age]]&lt;18,"below 18 ")))))</f>
        <v>25-34</v>
      </c>
    </row>
    <row r="1093" spans="1:31" x14ac:dyDescent="0.25">
      <c r="A1093" t="s">
        <v>1146</v>
      </c>
      <c r="B1093">
        <v>40</v>
      </c>
      <c r="C1093" t="s">
        <v>50</v>
      </c>
      <c r="D1093" t="s">
        <v>39</v>
      </c>
      <c r="E1093" t="s">
        <v>33</v>
      </c>
      <c r="F1093" t="s">
        <v>41</v>
      </c>
      <c r="G1093">
        <v>8.3000000000000007</v>
      </c>
      <c r="H1093">
        <v>5</v>
      </c>
      <c r="I1093">
        <v>4</v>
      </c>
      <c r="J1093" t="s">
        <v>35</v>
      </c>
      <c r="K1093" t="s">
        <v>52</v>
      </c>
      <c r="L1093">
        <v>5</v>
      </c>
      <c r="M1093">
        <v>6.5</v>
      </c>
      <c r="N1093">
        <v>5.2</v>
      </c>
      <c r="O1093">
        <v>10</v>
      </c>
      <c r="P1093">
        <v>6.7</v>
      </c>
      <c r="Q1093" t="s">
        <v>42</v>
      </c>
      <c r="R1093" t="s">
        <v>42</v>
      </c>
      <c r="S1093">
        <v>4.2</v>
      </c>
      <c r="T1093">
        <v>4.7</v>
      </c>
      <c r="U1093">
        <v>7.6</v>
      </c>
      <c r="V1093">
        <v>6.7</v>
      </c>
      <c r="W1093">
        <v>2.8</v>
      </c>
      <c r="X1093">
        <v>7.1</v>
      </c>
      <c r="Y1093">
        <v>2.2999999999999998</v>
      </c>
      <c r="Z1093">
        <v>4.5999999999999996</v>
      </c>
      <c r="AA1093">
        <v>3.5</v>
      </c>
      <c r="AB1093">
        <v>1.9</v>
      </c>
      <c r="AC1093">
        <v>4.5999999999999996</v>
      </c>
      <c r="AD1093" t="s">
        <v>43</v>
      </c>
      <c r="AE1093" t="str">
        <f>IF(AND(data[[#This Row],[Age]]&gt;=18,data[[#This Row],[Age]]&lt;=24),"18-24",IF(AND(data[[#This Row],[Age]]&gt;=25,data[[#This Row],[Age]]&lt;=34),"25-34",IF(AND(data[[#This Row],[Age]]&gt;35,data[[#This Row],[Age]]&lt;=44),"35-44",IF(data[[#This Row],[Age]]&gt;44,"45+",IF(data[[#This Row],[Age]]&lt;18,"below 18 ")))))</f>
        <v>35-44</v>
      </c>
    </row>
    <row r="1094" spans="1:31" x14ac:dyDescent="0.25">
      <c r="A1094" t="s">
        <v>1147</v>
      </c>
      <c r="B1094">
        <v>21</v>
      </c>
      <c r="C1094" t="s">
        <v>47</v>
      </c>
      <c r="D1094" t="s">
        <v>64</v>
      </c>
      <c r="E1094" t="s">
        <v>33</v>
      </c>
      <c r="F1094" t="s">
        <v>48</v>
      </c>
      <c r="G1094">
        <v>3.9</v>
      </c>
      <c r="H1094">
        <v>3</v>
      </c>
      <c r="I1094">
        <v>3</v>
      </c>
      <c r="J1094" t="s">
        <v>35</v>
      </c>
      <c r="K1094" t="s">
        <v>36</v>
      </c>
      <c r="L1094">
        <v>93</v>
      </c>
      <c r="M1094">
        <v>2.2000000000000002</v>
      </c>
      <c r="N1094">
        <v>5.3</v>
      </c>
      <c r="O1094">
        <v>6.6</v>
      </c>
      <c r="P1094">
        <v>8.9</v>
      </c>
      <c r="Q1094" t="s">
        <v>35</v>
      </c>
      <c r="R1094" t="s">
        <v>42</v>
      </c>
      <c r="S1094">
        <v>6.5</v>
      </c>
      <c r="T1094">
        <v>6.9</v>
      </c>
      <c r="U1094">
        <v>3.1</v>
      </c>
      <c r="V1094">
        <v>4.7</v>
      </c>
      <c r="W1094">
        <v>8.5</v>
      </c>
      <c r="Y1094">
        <v>7.3</v>
      </c>
      <c r="Z1094">
        <v>3.9</v>
      </c>
      <c r="AA1094">
        <v>3.5</v>
      </c>
      <c r="AB1094">
        <v>1.2</v>
      </c>
      <c r="AC1094">
        <v>5.8</v>
      </c>
      <c r="AD1094" t="s">
        <v>53</v>
      </c>
      <c r="AE1094" t="str">
        <f>IF(AND(data[[#This Row],[Age]]&gt;=18,data[[#This Row],[Age]]&lt;=24),"18-24",IF(AND(data[[#This Row],[Age]]&gt;=25,data[[#This Row],[Age]]&lt;=34),"25-34",IF(AND(data[[#This Row],[Age]]&gt;35,data[[#This Row],[Age]]&lt;=44),"35-44",IF(data[[#This Row],[Age]]&gt;44,"45+",IF(data[[#This Row],[Age]]&lt;18,"below 18 ")))))</f>
        <v>18-24</v>
      </c>
    </row>
    <row r="1095" spans="1:31" x14ac:dyDescent="0.25">
      <c r="A1095" t="s">
        <v>1148</v>
      </c>
      <c r="B1095">
        <v>40</v>
      </c>
      <c r="C1095" t="s">
        <v>47</v>
      </c>
      <c r="D1095" t="s">
        <v>32</v>
      </c>
      <c r="E1095" t="s">
        <v>33</v>
      </c>
      <c r="F1095" t="s">
        <v>41</v>
      </c>
      <c r="G1095">
        <v>5.4</v>
      </c>
      <c r="H1095">
        <v>3</v>
      </c>
      <c r="I1095">
        <v>4</v>
      </c>
      <c r="K1095" t="s">
        <v>36</v>
      </c>
      <c r="L1095">
        <v>30</v>
      </c>
      <c r="M1095">
        <v>5.5</v>
      </c>
      <c r="N1095">
        <v>4.8</v>
      </c>
      <c r="O1095">
        <v>2.2000000000000002</v>
      </c>
      <c r="P1095">
        <v>2.2000000000000002</v>
      </c>
      <c r="Q1095" t="s">
        <v>42</v>
      </c>
      <c r="R1095" t="s">
        <v>35</v>
      </c>
      <c r="S1095">
        <v>7.3</v>
      </c>
      <c r="T1095">
        <v>2.5</v>
      </c>
      <c r="U1095">
        <v>6</v>
      </c>
      <c r="V1095">
        <v>7.1</v>
      </c>
      <c r="W1095">
        <v>1.9</v>
      </c>
      <c r="X1095">
        <v>6.9</v>
      </c>
      <c r="Y1095">
        <v>7.1</v>
      </c>
      <c r="Z1095">
        <v>4.5</v>
      </c>
      <c r="AA1095">
        <v>2.4</v>
      </c>
      <c r="AB1095">
        <v>3.1</v>
      </c>
      <c r="AC1095">
        <v>5</v>
      </c>
      <c r="AD1095" t="s">
        <v>43</v>
      </c>
      <c r="AE1095" t="str">
        <f>IF(AND(data[[#This Row],[Age]]&gt;=18,data[[#This Row],[Age]]&lt;=24),"18-24",IF(AND(data[[#This Row],[Age]]&gt;=25,data[[#This Row],[Age]]&lt;=34),"25-34",IF(AND(data[[#This Row],[Age]]&gt;35,data[[#This Row],[Age]]&lt;=44),"35-44",IF(data[[#This Row],[Age]]&gt;44,"45+",IF(data[[#This Row],[Age]]&lt;18,"below 18 ")))))</f>
        <v>35-44</v>
      </c>
    </row>
    <row r="1096" spans="1:31" x14ac:dyDescent="0.25">
      <c r="A1096" t="s">
        <v>1149</v>
      </c>
      <c r="B1096">
        <v>35</v>
      </c>
      <c r="C1096" t="s">
        <v>31</v>
      </c>
      <c r="D1096" t="s">
        <v>32</v>
      </c>
      <c r="E1096" t="s">
        <v>58</v>
      </c>
      <c r="F1096" t="s">
        <v>41</v>
      </c>
      <c r="G1096">
        <v>6.7</v>
      </c>
      <c r="H1096">
        <v>5</v>
      </c>
      <c r="I1096">
        <v>10</v>
      </c>
      <c r="J1096" t="s">
        <v>35</v>
      </c>
      <c r="K1096" t="s">
        <v>52</v>
      </c>
      <c r="L1096">
        <v>85</v>
      </c>
      <c r="M1096">
        <v>6.3</v>
      </c>
      <c r="N1096">
        <v>4.0999999999999996</v>
      </c>
      <c r="O1096">
        <v>8.8000000000000007</v>
      </c>
      <c r="P1096">
        <v>6.9</v>
      </c>
      <c r="Q1096" t="s">
        <v>35</v>
      </c>
      <c r="R1096" t="s">
        <v>35</v>
      </c>
      <c r="S1096">
        <v>6.1</v>
      </c>
      <c r="T1096">
        <v>3.5</v>
      </c>
      <c r="U1096">
        <v>5.4</v>
      </c>
      <c r="V1096">
        <v>5.5</v>
      </c>
      <c r="W1096">
        <v>3.3</v>
      </c>
      <c r="X1096">
        <v>7.3</v>
      </c>
      <c r="Y1096">
        <v>7.6</v>
      </c>
      <c r="AA1096">
        <v>5.4</v>
      </c>
      <c r="AB1096">
        <v>5.7</v>
      </c>
      <c r="AC1096">
        <v>4.9000000000000004</v>
      </c>
      <c r="AD1096" t="s">
        <v>43</v>
      </c>
      <c r="AE1096" t="b">
        <f>IF(AND(data[[#This Row],[Age]]&gt;=18,data[[#This Row],[Age]]&lt;=24),"18-24",IF(AND(data[[#This Row],[Age]]&gt;=25,data[[#This Row],[Age]]&lt;=34),"25-34",IF(AND(data[[#This Row],[Age]]&gt;35,data[[#This Row],[Age]]&lt;=44),"35-44",IF(data[[#This Row],[Age]]&gt;44,"45+",IF(data[[#This Row],[Age]]&lt;18,"below 18 ")))))</f>
        <v>0</v>
      </c>
    </row>
    <row r="1097" spans="1:31" x14ac:dyDescent="0.25">
      <c r="A1097" t="s">
        <v>1150</v>
      </c>
      <c r="B1097">
        <v>37</v>
      </c>
      <c r="C1097" t="s">
        <v>31</v>
      </c>
      <c r="D1097" t="s">
        <v>32</v>
      </c>
      <c r="E1097" t="s">
        <v>40</v>
      </c>
      <c r="F1097" t="s">
        <v>51</v>
      </c>
      <c r="G1097">
        <v>7.7</v>
      </c>
      <c r="H1097">
        <v>5</v>
      </c>
      <c r="I1097">
        <v>4</v>
      </c>
      <c r="J1097" t="s">
        <v>35</v>
      </c>
      <c r="K1097" t="s">
        <v>62</v>
      </c>
      <c r="L1097">
        <v>31</v>
      </c>
      <c r="M1097">
        <v>6.8</v>
      </c>
      <c r="N1097">
        <v>6.8</v>
      </c>
      <c r="O1097">
        <v>6.4</v>
      </c>
      <c r="P1097">
        <v>7.2</v>
      </c>
      <c r="Q1097" t="s">
        <v>35</v>
      </c>
      <c r="R1097" t="s">
        <v>35</v>
      </c>
      <c r="S1097">
        <v>2.5</v>
      </c>
      <c r="T1097">
        <v>2.4</v>
      </c>
      <c r="U1097">
        <v>3.7</v>
      </c>
      <c r="V1097">
        <v>5.4</v>
      </c>
      <c r="W1097">
        <v>1.3</v>
      </c>
      <c r="X1097">
        <v>7</v>
      </c>
      <c r="Y1097">
        <v>5.9</v>
      </c>
      <c r="Z1097">
        <v>8.9</v>
      </c>
      <c r="AA1097">
        <v>0</v>
      </c>
      <c r="AB1097">
        <v>1.3</v>
      </c>
      <c r="AC1097">
        <v>6.2</v>
      </c>
      <c r="AD1097" t="s">
        <v>53</v>
      </c>
      <c r="AE1097" t="str">
        <f>IF(AND(data[[#This Row],[Age]]&gt;=18,data[[#This Row],[Age]]&lt;=24),"18-24",IF(AND(data[[#This Row],[Age]]&gt;=25,data[[#This Row],[Age]]&lt;=34),"25-34",IF(AND(data[[#This Row],[Age]]&gt;35,data[[#This Row],[Age]]&lt;=44),"35-44",IF(data[[#This Row],[Age]]&gt;44,"45+",IF(data[[#This Row],[Age]]&lt;18,"below 18 ")))))</f>
        <v>35-44</v>
      </c>
    </row>
    <row r="1098" spans="1:31" x14ac:dyDescent="0.25">
      <c r="A1098" t="s">
        <v>1151</v>
      </c>
      <c r="B1098">
        <v>23</v>
      </c>
      <c r="C1098" t="s">
        <v>50</v>
      </c>
      <c r="D1098" t="s">
        <v>32</v>
      </c>
      <c r="E1098" t="s">
        <v>33</v>
      </c>
      <c r="F1098" t="s">
        <v>51</v>
      </c>
      <c r="G1098">
        <v>1.4</v>
      </c>
      <c r="H1098">
        <v>3</v>
      </c>
      <c r="I1098">
        <v>1</v>
      </c>
      <c r="J1098" t="s">
        <v>35</v>
      </c>
      <c r="K1098" t="s">
        <v>52</v>
      </c>
      <c r="L1098">
        <v>98</v>
      </c>
      <c r="M1098">
        <v>4.5</v>
      </c>
      <c r="N1098">
        <v>8.4</v>
      </c>
      <c r="O1098">
        <v>6.5</v>
      </c>
      <c r="P1098">
        <v>6.8</v>
      </c>
      <c r="Q1098" t="s">
        <v>42</v>
      </c>
      <c r="R1098" t="s">
        <v>35</v>
      </c>
      <c r="S1098">
        <v>4.2</v>
      </c>
      <c r="T1098">
        <v>6.9</v>
      </c>
      <c r="U1098">
        <v>3.9</v>
      </c>
      <c r="V1098">
        <v>9.4</v>
      </c>
      <c r="W1098">
        <v>7.4</v>
      </c>
      <c r="X1098">
        <v>8.3000000000000007</v>
      </c>
      <c r="Y1098">
        <v>3.7</v>
      </c>
      <c r="Z1098">
        <v>4</v>
      </c>
      <c r="AA1098">
        <v>3.7</v>
      </c>
      <c r="AB1098">
        <v>1.3</v>
      </c>
      <c r="AC1098">
        <v>7.2</v>
      </c>
      <c r="AD1098" t="s">
        <v>53</v>
      </c>
      <c r="AE1098" t="str">
        <f>IF(AND(data[[#This Row],[Age]]&gt;=18,data[[#This Row],[Age]]&lt;=24),"18-24",IF(AND(data[[#This Row],[Age]]&gt;=25,data[[#This Row],[Age]]&lt;=34),"25-34",IF(AND(data[[#This Row],[Age]]&gt;35,data[[#This Row],[Age]]&lt;=44),"35-44",IF(data[[#This Row],[Age]]&gt;44,"45+",IF(data[[#This Row],[Age]]&lt;18,"below 18 ")))))</f>
        <v>18-24</v>
      </c>
    </row>
    <row r="1099" spans="1:31" x14ac:dyDescent="0.25">
      <c r="A1099" t="s">
        <v>1152</v>
      </c>
      <c r="B1099">
        <v>32</v>
      </c>
      <c r="C1099" t="s">
        <v>47</v>
      </c>
      <c r="D1099" t="s">
        <v>32</v>
      </c>
      <c r="E1099" t="s">
        <v>33</v>
      </c>
      <c r="F1099" t="s">
        <v>70</v>
      </c>
      <c r="G1099">
        <v>5.4</v>
      </c>
      <c r="H1099">
        <v>1</v>
      </c>
      <c r="I1099">
        <v>5</v>
      </c>
      <c r="J1099" t="s">
        <v>42</v>
      </c>
      <c r="K1099" t="s">
        <v>52</v>
      </c>
      <c r="L1099">
        <v>28</v>
      </c>
      <c r="M1099">
        <v>6.3</v>
      </c>
      <c r="N1099">
        <v>4.9000000000000004</v>
      </c>
      <c r="O1099">
        <v>4.0999999999999996</v>
      </c>
      <c r="P1099">
        <v>5.3</v>
      </c>
      <c r="Q1099" t="s">
        <v>35</v>
      </c>
      <c r="R1099" t="s">
        <v>35</v>
      </c>
      <c r="S1099">
        <v>7.5</v>
      </c>
      <c r="T1099">
        <v>8.5</v>
      </c>
      <c r="U1099">
        <v>7.1</v>
      </c>
      <c r="V1099">
        <v>8.1999999999999993</v>
      </c>
      <c r="W1099">
        <v>4.7</v>
      </c>
      <c r="X1099">
        <v>7.2</v>
      </c>
      <c r="Y1099">
        <v>6.6</v>
      </c>
      <c r="Z1099">
        <v>7.8</v>
      </c>
      <c r="AB1099">
        <v>3.4</v>
      </c>
      <c r="AC1099">
        <v>7</v>
      </c>
      <c r="AD1099" t="s">
        <v>53</v>
      </c>
      <c r="AE1099" t="str">
        <f>IF(AND(data[[#This Row],[Age]]&gt;=18,data[[#This Row],[Age]]&lt;=24),"18-24",IF(AND(data[[#This Row],[Age]]&gt;=25,data[[#This Row],[Age]]&lt;=34),"25-34",IF(AND(data[[#This Row],[Age]]&gt;35,data[[#This Row],[Age]]&lt;=44),"35-44",IF(data[[#This Row],[Age]]&gt;44,"45+",IF(data[[#This Row],[Age]]&lt;18,"below 18 ")))))</f>
        <v>25-34</v>
      </c>
    </row>
    <row r="1100" spans="1:31" x14ac:dyDescent="0.25">
      <c r="A1100" t="s">
        <v>1153</v>
      </c>
      <c r="B1100">
        <v>22</v>
      </c>
      <c r="C1100" t="s">
        <v>31</v>
      </c>
      <c r="D1100" t="s">
        <v>39</v>
      </c>
      <c r="E1100" t="s">
        <v>58</v>
      </c>
      <c r="F1100" t="s">
        <v>70</v>
      </c>
      <c r="G1100">
        <v>6.2</v>
      </c>
      <c r="H1100">
        <v>2</v>
      </c>
      <c r="I1100">
        <v>2</v>
      </c>
      <c r="J1100" t="s">
        <v>42</v>
      </c>
      <c r="K1100" t="s">
        <v>36</v>
      </c>
      <c r="L1100">
        <v>95</v>
      </c>
      <c r="M1100">
        <v>8</v>
      </c>
      <c r="N1100">
        <v>4.7</v>
      </c>
      <c r="O1100">
        <v>7.1</v>
      </c>
      <c r="P1100">
        <v>9.6</v>
      </c>
      <c r="Q1100" t="s">
        <v>42</v>
      </c>
      <c r="R1100" t="s">
        <v>42</v>
      </c>
      <c r="S1100">
        <v>6.8</v>
      </c>
      <c r="T1100">
        <v>3.1</v>
      </c>
      <c r="U1100">
        <v>3</v>
      </c>
      <c r="V1100">
        <v>7.7</v>
      </c>
      <c r="W1100">
        <v>4.8</v>
      </c>
      <c r="X1100">
        <v>5.6</v>
      </c>
      <c r="Y1100">
        <v>5.6</v>
      </c>
      <c r="Z1100">
        <v>5.3</v>
      </c>
      <c r="AA1100">
        <v>2.8</v>
      </c>
      <c r="AB1100">
        <v>0</v>
      </c>
      <c r="AC1100">
        <v>2.5</v>
      </c>
      <c r="AD1100" t="s">
        <v>43</v>
      </c>
      <c r="AE1100" t="str">
        <f>IF(AND(data[[#This Row],[Age]]&gt;=18,data[[#This Row],[Age]]&lt;=24),"18-24",IF(AND(data[[#This Row],[Age]]&gt;=25,data[[#This Row],[Age]]&lt;=34),"25-34",IF(AND(data[[#This Row],[Age]]&gt;35,data[[#This Row],[Age]]&lt;=44),"35-44",IF(data[[#This Row],[Age]]&gt;44,"45+",IF(data[[#This Row],[Age]]&lt;18,"below 18 ")))))</f>
        <v>18-24</v>
      </c>
    </row>
    <row r="1101" spans="1:31" x14ac:dyDescent="0.25">
      <c r="A1101" t="s">
        <v>1154</v>
      </c>
      <c r="B1101">
        <v>25</v>
      </c>
      <c r="C1101" t="s">
        <v>47</v>
      </c>
      <c r="D1101" t="s">
        <v>32</v>
      </c>
      <c r="E1101" t="s">
        <v>58</v>
      </c>
      <c r="F1101" t="s">
        <v>51</v>
      </c>
      <c r="G1101">
        <v>7</v>
      </c>
      <c r="H1101">
        <v>4</v>
      </c>
      <c r="I1101">
        <v>4</v>
      </c>
      <c r="J1101" t="s">
        <v>35</v>
      </c>
      <c r="K1101" t="s">
        <v>36</v>
      </c>
      <c r="L1101">
        <v>77</v>
      </c>
      <c r="N1101">
        <v>2.2999999999999998</v>
      </c>
      <c r="O1101">
        <v>3.7</v>
      </c>
      <c r="P1101">
        <v>6.8</v>
      </c>
      <c r="Q1101" t="s">
        <v>42</v>
      </c>
      <c r="R1101" t="s">
        <v>35</v>
      </c>
      <c r="S1101">
        <v>3.1</v>
      </c>
      <c r="T1101">
        <v>4.9000000000000004</v>
      </c>
      <c r="U1101">
        <v>3.9</v>
      </c>
      <c r="V1101">
        <v>5.3</v>
      </c>
      <c r="W1101">
        <v>7.9</v>
      </c>
      <c r="X1101">
        <v>4.5999999999999996</v>
      </c>
      <c r="Y1101">
        <v>8.8000000000000007</v>
      </c>
      <c r="Z1101">
        <v>2.5</v>
      </c>
      <c r="AA1101">
        <v>4.8</v>
      </c>
      <c r="AB1101">
        <v>0.5</v>
      </c>
      <c r="AC1101">
        <v>5.6</v>
      </c>
      <c r="AD1101" t="s">
        <v>45</v>
      </c>
      <c r="AE1101" t="str">
        <f>IF(AND(data[[#This Row],[Age]]&gt;=18,data[[#This Row],[Age]]&lt;=24),"18-24",IF(AND(data[[#This Row],[Age]]&gt;=25,data[[#This Row],[Age]]&lt;=34),"25-34",IF(AND(data[[#This Row],[Age]]&gt;35,data[[#This Row],[Age]]&lt;=44),"35-44",IF(data[[#This Row],[Age]]&gt;44,"45+",IF(data[[#This Row],[Age]]&lt;18,"below 18 ")))))</f>
        <v>25-34</v>
      </c>
    </row>
    <row r="1102" spans="1:31" x14ac:dyDescent="0.25">
      <c r="A1102" t="s">
        <v>1155</v>
      </c>
      <c r="B1102">
        <v>24</v>
      </c>
      <c r="C1102" t="s">
        <v>47</v>
      </c>
      <c r="D1102" t="s">
        <v>64</v>
      </c>
      <c r="E1102" t="s">
        <v>40</v>
      </c>
      <c r="F1102" t="s">
        <v>41</v>
      </c>
      <c r="H1102">
        <v>2</v>
      </c>
      <c r="I1102">
        <v>4</v>
      </c>
      <c r="J1102" t="s">
        <v>42</v>
      </c>
      <c r="K1102" t="s">
        <v>36</v>
      </c>
      <c r="L1102">
        <v>22</v>
      </c>
      <c r="M1102">
        <v>7.6</v>
      </c>
      <c r="N1102">
        <v>7.7</v>
      </c>
      <c r="O1102">
        <v>0.8</v>
      </c>
      <c r="P1102">
        <v>9.8000000000000007</v>
      </c>
      <c r="Q1102" t="s">
        <v>42</v>
      </c>
      <c r="R1102" t="s">
        <v>42</v>
      </c>
      <c r="S1102">
        <v>7.7</v>
      </c>
      <c r="T1102">
        <v>2.2999999999999998</v>
      </c>
      <c r="V1102">
        <v>1.9</v>
      </c>
      <c r="W1102">
        <v>5.8</v>
      </c>
      <c r="X1102">
        <v>6.6</v>
      </c>
      <c r="Z1102">
        <v>7.6</v>
      </c>
      <c r="AA1102">
        <v>4.5999999999999996</v>
      </c>
      <c r="AB1102">
        <v>4.9000000000000004</v>
      </c>
      <c r="AC1102">
        <v>4.9000000000000004</v>
      </c>
      <c r="AD1102" t="s">
        <v>43</v>
      </c>
      <c r="AE1102" t="str">
        <f>IF(AND(data[[#This Row],[Age]]&gt;=18,data[[#This Row],[Age]]&lt;=24),"18-24",IF(AND(data[[#This Row],[Age]]&gt;=25,data[[#This Row],[Age]]&lt;=34),"25-34",IF(AND(data[[#This Row],[Age]]&gt;35,data[[#This Row],[Age]]&lt;=44),"35-44",IF(data[[#This Row],[Age]]&gt;44,"45+",IF(data[[#This Row],[Age]]&lt;18,"below 18 ")))))</f>
        <v>18-24</v>
      </c>
    </row>
    <row r="1103" spans="1:31" x14ac:dyDescent="0.25">
      <c r="A1103" t="s">
        <v>1156</v>
      </c>
      <c r="B1103">
        <v>42</v>
      </c>
      <c r="C1103" t="s">
        <v>47</v>
      </c>
      <c r="D1103" t="s">
        <v>32</v>
      </c>
      <c r="E1103" t="s">
        <v>58</v>
      </c>
      <c r="F1103" t="s">
        <v>41</v>
      </c>
      <c r="G1103">
        <v>3.6</v>
      </c>
      <c r="H1103">
        <v>2</v>
      </c>
      <c r="I1103">
        <v>5</v>
      </c>
      <c r="J1103" t="s">
        <v>42</v>
      </c>
      <c r="K1103" t="s">
        <v>36</v>
      </c>
      <c r="L1103">
        <v>19</v>
      </c>
      <c r="M1103">
        <v>2.1</v>
      </c>
      <c r="N1103">
        <v>8.1999999999999993</v>
      </c>
      <c r="O1103">
        <v>3.4</v>
      </c>
      <c r="P1103">
        <v>4.0999999999999996</v>
      </c>
      <c r="R1103" t="s">
        <v>42</v>
      </c>
      <c r="T1103">
        <v>7.1</v>
      </c>
      <c r="V1103">
        <v>7.7</v>
      </c>
      <c r="W1103">
        <v>4.8</v>
      </c>
      <c r="X1103">
        <v>4.4000000000000004</v>
      </c>
      <c r="Y1103">
        <v>4.4000000000000004</v>
      </c>
      <c r="Z1103">
        <v>5.8</v>
      </c>
      <c r="AA1103">
        <v>1.6</v>
      </c>
      <c r="AC1103">
        <v>6.9</v>
      </c>
      <c r="AD1103" t="s">
        <v>53</v>
      </c>
      <c r="AE1103" t="str">
        <f>IF(AND(data[[#This Row],[Age]]&gt;=18,data[[#This Row],[Age]]&lt;=24),"18-24",IF(AND(data[[#This Row],[Age]]&gt;=25,data[[#This Row],[Age]]&lt;=34),"25-34",IF(AND(data[[#This Row],[Age]]&gt;35,data[[#This Row],[Age]]&lt;=44),"35-44",IF(data[[#This Row],[Age]]&gt;44,"45+",IF(data[[#This Row],[Age]]&lt;18,"below 18 ")))))</f>
        <v>35-44</v>
      </c>
    </row>
    <row r="1104" spans="1:31" x14ac:dyDescent="0.25">
      <c r="A1104" t="s">
        <v>1157</v>
      </c>
      <c r="B1104">
        <v>20</v>
      </c>
      <c r="C1104" t="s">
        <v>47</v>
      </c>
      <c r="D1104" t="s">
        <v>39</v>
      </c>
      <c r="E1104" t="s">
        <v>58</v>
      </c>
      <c r="F1104" t="s">
        <v>59</v>
      </c>
      <c r="G1104">
        <v>4.9000000000000004</v>
      </c>
      <c r="H1104">
        <v>6</v>
      </c>
      <c r="I1104">
        <v>5</v>
      </c>
      <c r="K1104" t="s">
        <v>62</v>
      </c>
      <c r="L1104">
        <v>61</v>
      </c>
      <c r="M1104">
        <v>10</v>
      </c>
      <c r="N1104">
        <v>2.8</v>
      </c>
      <c r="O1104">
        <v>0</v>
      </c>
      <c r="P1104">
        <v>3.3</v>
      </c>
      <c r="Q1104" t="s">
        <v>35</v>
      </c>
      <c r="R1104" t="s">
        <v>35</v>
      </c>
      <c r="S1104">
        <v>5.3</v>
      </c>
      <c r="T1104">
        <v>2.2000000000000002</v>
      </c>
      <c r="U1104">
        <v>8.9</v>
      </c>
      <c r="V1104">
        <v>4.5</v>
      </c>
      <c r="W1104">
        <v>8.8000000000000007</v>
      </c>
      <c r="X1104">
        <v>7.9</v>
      </c>
      <c r="Y1104">
        <v>5.3</v>
      </c>
      <c r="Z1104">
        <v>2.9</v>
      </c>
      <c r="AA1104">
        <v>2.8</v>
      </c>
      <c r="AB1104">
        <v>2.6</v>
      </c>
      <c r="AC1104">
        <v>8.9</v>
      </c>
      <c r="AD1104" t="s">
        <v>37</v>
      </c>
      <c r="AE1104" t="str">
        <f>IF(AND(data[[#This Row],[Age]]&gt;=18,data[[#This Row],[Age]]&lt;=24),"18-24",IF(AND(data[[#This Row],[Age]]&gt;=25,data[[#This Row],[Age]]&lt;=34),"25-34",IF(AND(data[[#This Row],[Age]]&gt;35,data[[#This Row],[Age]]&lt;=44),"35-44",IF(data[[#This Row],[Age]]&gt;44,"45+",IF(data[[#This Row],[Age]]&lt;18,"below 18 ")))))</f>
        <v>18-24</v>
      </c>
    </row>
    <row r="1105" spans="1:31" x14ac:dyDescent="0.25">
      <c r="A1105" t="s">
        <v>1158</v>
      </c>
      <c r="B1105">
        <v>44</v>
      </c>
      <c r="C1105" t="s">
        <v>50</v>
      </c>
      <c r="D1105" t="s">
        <v>64</v>
      </c>
      <c r="E1105" t="s">
        <v>58</v>
      </c>
      <c r="F1105" t="s">
        <v>70</v>
      </c>
      <c r="G1105">
        <v>4.5999999999999996</v>
      </c>
      <c r="H1105">
        <v>2</v>
      </c>
      <c r="I1105">
        <v>3</v>
      </c>
      <c r="J1105" t="s">
        <v>35</v>
      </c>
      <c r="K1105" t="s">
        <v>62</v>
      </c>
      <c r="L1105">
        <v>76</v>
      </c>
      <c r="M1105">
        <v>7.4</v>
      </c>
      <c r="N1105">
        <v>6.1</v>
      </c>
      <c r="O1105">
        <v>3.7</v>
      </c>
      <c r="P1105">
        <v>4.3</v>
      </c>
      <c r="Q1105" t="s">
        <v>42</v>
      </c>
      <c r="R1105" t="s">
        <v>42</v>
      </c>
      <c r="S1105">
        <v>1.3</v>
      </c>
      <c r="T1105">
        <v>4.7</v>
      </c>
      <c r="U1105">
        <v>2.9</v>
      </c>
      <c r="V1105">
        <v>3.3</v>
      </c>
      <c r="W1105">
        <v>6.7</v>
      </c>
      <c r="X1105">
        <v>6</v>
      </c>
      <c r="Y1105">
        <v>6.9</v>
      </c>
      <c r="AA1105">
        <v>2</v>
      </c>
      <c r="AB1105">
        <v>1.7</v>
      </c>
      <c r="AC1105">
        <v>7.7</v>
      </c>
      <c r="AD1105" t="s">
        <v>53</v>
      </c>
      <c r="AE1105" t="str">
        <f>IF(AND(data[[#This Row],[Age]]&gt;=18,data[[#This Row],[Age]]&lt;=24),"18-24",IF(AND(data[[#This Row],[Age]]&gt;=25,data[[#This Row],[Age]]&lt;=34),"25-34",IF(AND(data[[#This Row],[Age]]&gt;35,data[[#This Row],[Age]]&lt;=44),"35-44",IF(data[[#This Row],[Age]]&gt;44,"45+",IF(data[[#This Row],[Age]]&lt;18,"below 18 ")))))</f>
        <v>35-44</v>
      </c>
    </row>
    <row r="1106" spans="1:31" x14ac:dyDescent="0.25">
      <c r="A1106" t="s">
        <v>1159</v>
      </c>
      <c r="B1106">
        <v>41</v>
      </c>
      <c r="C1106" t="s">
        <v>47</v>
      </c>
      <c r="D1106" t="s">
        <v>32</v>
      </c>
      <c r="E1106" t="s">
        <v>58</v>
      </c>
      <c r="F1106" t="s">
        <v>41</v>
      </c>
      <c r="G1106">
        <v>3.8</v>
      </c>
      <c r="H1106">
        <v>1</v>
      </c>
      <c r="I1106">
        <v>1</v>
      </c>
      <c r="J1106" t="s">
        <v>42</v>
      </c>
      <c r="K1106" t="s">
        <v>52</v>
      </c>
      <c r="L1106">
        <v>84</v>
      </c>
      <c r="M1106">
        <v>9.4</v>
      </c>
      <c r="N1106">
        <v>0</v>
      </c>
      <c r="O1106">
        <v>5.4</v>
      </c>
      <c r="P1106">
        <v>6.5</v>
      </c>
      <c r="Q1106" t="s">
        <v>42</v>
      </c>
      <c r="R1106" t="s">
        <v>35</v>
      </c>
      <c r="S1106">
        <v>2.2999999999999998</v>
      </c>
      <c r="T1106">
        <v>6.5</v>
      </c>
      <c r="U1106">
        <v>2.6</v>
      </c>
      <c r="V1106">
        <v>3.9</v>
      </c>
      <c r="W1106">
        <v>1.5</v>
      </c>
      <c r="X1106">
        <v>7</v>
      </c>
      <c r="Y1106">
        <v>5.6</v>
      </c>
      <c r="Z1106">
        <v>6.5</v>
      </c>
      <c r="AA1106">
        <v>1.7</v>
      </c>
      <c r="AB1106">
        <v>0</v>
      </c>
      <c r="AC1106">
        <v>6.1</v>
      </c>
      <c r="AD1106" t="s">
        <v>45</v>
      </c>
      <c r="AE1106" t="str">
        <f>IF(AND(data[[#This Row],[Age]]&gt;=18,data[[#This Row],[Age]]&lt;=24),"18-24",IF(AND(data[[#This Row],[Age]]&gt;=25,data[[#This Row],[Age]]&lt;=34),"25-34",IF(AND(data[[#This Row],[Age]]&gt;35,data[[#This Row],[Age]]&lt;=44),"35-44",IF(data[[#This Row],[Age]]&gt;44,"45+",IF(data[[#This Row],[Age]]&lt;18,"below 18 ")))))</f>
        <v>35-44</v>
      </c>
    </row>
    <row r="1107" spans="1:31" x14ac:dyDescent="0.25">
      <c r="A1107" t="s">
        <v>1160</v>
      </c>
      <c r="B1107">
        <v>23</v>
      </c>
      <c r="C1107" t="s">
        <v>47</v>
      </c>
      <c r="D1107" t="s">
        <v>39</v>
      </c>
      <c r="E1107" t="s">
        <v>33</v>
      </c>
      <c r="F1107" t="s">
        <v>41</v>
      </c>
      <c r="G1107">
        <v>3.2</v>
      </c>
      <c r="H1107">
        <v>5</v>
      </c>
      <c r="I1107">
        <v>3</v>
      </c>
      <c r="J1107" t="s">
        <v>42</v>
      </c>
      <c r="K1107" t="s">
        <v>52</v>
      </c>
      <c r="L1107">
        <v>26</v>
      </c>
      <c r="M1107">
        <v>5.6</v>
      </c>
      <c r="N1107">
        <v>8</v>
      </c>
      <c r="O1107">
        <v>6</v>
      </c>
      <c r="P1107">
        <v>5.3</v>
      </c>
      <c r="Q1107" t="s">
        <v>35</v>
      </c>
      <c r="R1107" t="s">
        <v>42</v>
      </c>
      <c r="S1107">
        <v>5.2</v>
      </c>
      <c r="T1107">
        <v>2.9</v>
      </c>
      <c r="U1107">
        <v>1.7</v>
      </c>
      <c r="V1107">
        <v>7.6</v>
      </c>
      <c r="W1107">
        <v>8.1</v>
      </c>
      <c r="X1107">
        <v>7.2</v>
      </c>
      <c r="Y1107">
        <v>7.3</v>
      </c>
      <c r="Z1107">
        <v>4.5999999999999996</v>
      </c>
      <c r="AA1107">
        <v>1.2</v>
      </c>
      <c r="AB1107">
        <v>5.8</v>
      </c>
      <c r="AC1107">
        <v>5.0999999999999996</v>
      </c>
      <c r="AD1107" t="s">
        <v>43</v>
      </c>
      <c r="AE1107" t="str">
        <f>IF(AND(data[[#This Row],[Age]]&gt;=18,data[[#This Row],[Age]]&lt;=24),"18-24",IF(AND(data[[#This Row],[Age]]&gt;=25,data[[#This Row],[Age]]&lt;=34),"25-34",IF(AND(data[[#This Row],[Age]]&gt;35,data[[#This Row],[Age]]&lt;=44),"35-44",IF(data[[#This Row],[Age]]&gt;44,"45+",IF(data[[#This Row],[Age]]&lt;18,"below 18 ")))))</f>
        <v>18-24</v>
      </c>
    </row>
    <row r="1108" spans="1:31" x14ac:dyDescent="0.25">
      <c r="A1108" t="s">
        <v>1161</v>
      </c>
      <c r="B1108">
        <v>21</v>
      </c>
      <c r="C1108" t="s">
        <v>31</v>
      </c>
      <c r="D1108" t="s">
        <v>32</v>
      </c>
      <c r="E1108" t="s">
        <v>40</v>
      </c>
      <c r="F1108" t="s">
        <v>70</v>
      </c>
      <c r="G1108">
        <v>4.3</v>
      </c>
      <c r="H1108">
        <v>4</v>
      </c>
      <c r="I1108">
        <v>6</v>
      </c>
      <c r="J1108" t="s">
        <v>42</v>
      </c>
      <c r="K1108" t="s">
        <v>52</v>
      </c>
      <c r="L1108">
        <v>46</v>
      </c>
      <c r="N1108">
        <v>5.5</v>
      </c>
      <c r="O1108">
        <v>6.8</v>
      </c>
      <c r="P1108">
        <v>7.2</v>
      </c>
      <c r="Q1108" t="s">
        <v>35</v>
      </c>
      <c r="R1108" t="s">
        <v>35</v>
      </c>
      <c r="S1108">
        <v>3.9</v>
      </c>
      <c r="T1108">
        <v>2.2999999999999998</v>
      </c>
      <c r="U1108">
        <v>3.4</v>
      </c>
      <c r="V1108">
        <v>3.9</v>
      </c>
      <c r="W1108">
        <v>4.5999999999999996</v>
      </c>
      <c r="X1108">
        <v>5.9</v>
      </c>
      <c r="Y1108">
        <v>9</v>
      </c>
      <c r="AA1108">
        <v>3.1</v>
      </c>
      <c r="AB1108">
        <v>4.5</v>
      </c>
      <c r="AC1108">
        <v>4.9000000000000004</v>
      </c>
      <c r="AD1108" t="s">
        <v>43</v>
      </c>
      <c r="AE1108" t="str">
        <f>IF(AND(data[[#This Row],[Age]]&gt;=18,data[[#This Row],[Age]]&lt;=24),"18-24",IF(AND(data[[#This Row],[Age]]&gt;=25,data[[#This Row],[Age]]&lt;=34),"25-34",IF(AND(data[[#This Row],[Age]]&gt;35,data[[#This Row],[Age]]&lt;=44),"35-44",IF(data[[#This Row],[Age]]&gt;44,"45+",IF(data[[#This Row],[Age]]&lt;18,"below 18 ")))))</f>
        <v>18-24</v>
      </c>
    </row>
    <row r="1109" spans="1:31" x14ac:dyDescent="0.25">
      <c r="A1109" t="s">
        <v>1162</v>
      </c>
      <c r="B1109">
        <v>32</v>
      </c>
      <c r="C1109" t="s">
        <v>47</v>
      </c>
      <c r="D1109" t="s">
        <v>39</v>
      </c>
      <c r="E1109" t="s">
        <v>33</v>
      </c>
      <c r="F1109" t="s">
        <v>51</v>
      </c>
      <c r="G1109">
        <v>3.9</v>
      </c>
      <c r="H1109">
        <v>2</v>
      </c>
      <c r="I1109">
        <v>1</v>
      </c>
      <c r="J1109" t="s">
        <v>35</v>
      </c>
      <c r="K1109" t="s">
        <v>52</v>
      </c>
      <c r="L1109">
        <v>85</v>
      </c>
      <c r="M1109">
        <v>3.5</v>
      </c>
      <c r="N1109">
        <v>7.3</v>
      </c>
      <c r="O1109">
        <v>3.3</v>
      </c>
      <c r="P1109">
        <v>6.3</v>
      </c>
      <c r="Q1109" t="s">
        <v>35</v>
      </c>
      <c r="R1109" t="s">
        <v>42</v>
      </c>
      <c r="S1109">
        <v>5.7</v>
      </c>
      <c r="T1109">
        <v>4.7</v>
      </c>
      <c r="U1109">
        <v>5</v>
      </c>
      <c r="V1109">
        <v>5.2</v>
      </c>
      <c r="W1109">
        <v>4.8</v>
      </c>
      <c r="X1109">
        <v>7.4</v>
      </c>
      <c r="Y1109">
        <v>6</v>
      </c>
      <c r="Z1109">
        <v>4.9000000000000004</v>
      </c>
      <c r="AA1109">
        <v>2.1</v>
      </c>
      <c r="AB1109">
        <v>5</v>
      </c>
      <c r="AC1109">
        <v>7.2</v>
      </c>
      <c r="AD1109" t="s">
        <v>53</v>
      </c>
      <c r="AE1109" t="str">
        <f>IF(AND(data[[#This Row],[Age]]&gt;=18,data[[#This Row],[Age]]&lt;=24),"18-24",IF(AND(data[[#This Row],[Age]]&gt;=25,data[[#This Row],[Age]]&lt;=34),"25-34",IF(AND(data[[#This Row],[Age]]&gt;35,data[[#This Row],[Age]]&lt;=44),"35-44",IF(data[[#This Row],[Age]]&gt;44,"45+",IF(data[[#This Row],[Age]]&lt;18,"below 18 ")))))</f>
        <v>25-34</v>
      </c>
    </row>
    <row r="1110" spans="1:31" x14ac:dyDescent="0.25">
      <c r="A1110" t="s">
        <v>1163</v>
      </c>
      <c r="B1110">
        <v>29</v>
      </c>
      <c r="C1110" t="s">
        <v>47</v>
      </c>
      <c r="D1110" t="s">
        <v>32</v>
      </c>
      <c r="E1110" t="s">
        <v>40</v>
      </c>
      <c r="F1110" t="s">
        <v>48</v>
      </c>
      <c r="G1110">
        <v>5.0999999999999996</v>
      </c>
      <c r="H1110">
        <v>2</v>
      </c>
      <c r="I1110">
        <v>3</v>
      </c>
      <c r="J1110" t="s">
        <v>42</v>
      </c>
      <c r="K1110" t="s">
        <v>52</v>
      </c>
      <c r="L1110">
        <v>26</v>
      </c>
      <c r="M1110">
        <v>6.4</v>
      </c>
      <c r="N1110">
        <v>8.6</v>
      </c>
      <c r="P1110">
        <v>6.6</v>
      </c>
      <c r="Q1110" t="s">
        <v>42</v>
      </c>
      <c r="R1110" t="s">
        <v>35</v>
      </c>
      <c r="S1110">
        <v>3.1</v>
      </c>
      <c r="T1110">
        <v>0.1</v>
      </c>
      <c r="U1110">
        <v>3.3</v>
      </c>
      <c r="V1110">
        <v>9.6</v>
      </c>
      <c r="W1110">
        <v>2.8</v>
      </c>
      <c r="X1110">
        <v>4.0999999999999996</v>
      </c>
      <c r="Y1110">
        <v>3.9</v>
      </c>
      <c r="Z1110">
        <v>4.5</v>
      </c>
      <c r="AA1110">
        <v>1.5</v>
      </c>
      <c r="AB1110">
        <v>1.4</v>
      </c>
      <c r="AC1110">
        <v>6.2</v>
      </c>
      <c r="AD1110" t="s">
        <v>53</v>
      </c>
      <c r="AE1110" t="str">
        <f>IF(AND(data[[#This Row],[Age]]&gt;=18,data[[#This Row],[Age]]&lt;=24),"18-24",IF(AND(data[[#This Row],[Age]]&gt;=25,data[[#This Row],[Age]]&lt;=34),"25-34",IF(AND(data[[#This Row],[Age]]&gt;35,data[[#This Row],[Age]]&lt;=44),"35-44",IF(data[[#This Row],[Age]]&gt;44,"45+",IF(data[[#This Row],[Age]]&lt;18,"below 18 ")))))</f>
        <v>25-34</v>
      </c>
    </row>
    <row r="1111" spans="1:31" x14ac:dyDescent="0.25">
      <c r="A1111" t="s">
        <v>1164</v>
      </c>
      <c r="B1111">
        <v>15</v>
      </c>
      <c r="C1111" t="s">
        <v>31</v>
      </c>
      <c r="D1111" t="s">
        <v>32</v>
      </c>
      <c r="E1111" t="s">
        <v>33</v>
      </c>
      <c r="F1111" t="s">
        <v>59</v>
      </c>
      <c r="G1111">
        <v>3.1</v>
      </c>
      <c r="H1111">
        <v>2</v>
      </c>
      <c r="I1111">
        <v>1</v>
      </c>
      <c r="J1111" t="s">
        <v>35</v>
      </c>
      <c r="K1111" t="s">
        <v>52</v>
      </c>
      <c r="L1111">
        <v>86</v>
      </c>
      <c r="N1111">
        <v>4.9000000000000004</v>
      </c>
      <c r="O1111">
        <v>3.7</v>
      </c>
      <c r="P1111">
        <v>2.9</v>
      </c>
      <c r="Q1111" t="s">
        <v>42</v>
      </c>
      <c r="R1111" t="s">
        <v>35</v>
      </c>
      <c r="S1111">
        <v>4.2</v>
      </c>
      <c r="T1111">
        <v>8.1</v>
      </c>
      <c r="U1111">
        <v>2.7</v>
      </c>
      <c r="V1111">
        <v>4.0999999999999996</v>
      </c>
      <c r="W1111">
        <v>4.9000000000000004</v>
      </c>
      <c r="X1111">
        <v>9.1</v>
      </c>
      <c r="Y1111">
        <v>3.9</v>
      </c>
      <c r="Z1111">
        <v>8</v>
      </c>
      <c r="AA1111">
        <v>4</v>
      </c>
      <c r="AB1111">
        <v>2.2999999999999998</v>
      </c>
      <c r="AC1111">
        <v>8.6</v>
      </c>
      <c r="AD1111" t="s">
        <v>37</v>
      </c>
      <c r="AE1111" t="str">
        <f>IF(AND(data[[#This Row],[Age]]&gt;=18,data[[#This Row],[Age]]&lt;=24),"18-24",IF(AND(data[[#This Row],[Age]]&gt;=25,data[[#This Row],[Age]]&lt;=34),"25-34",IF(AND(data[[#This Row],[Age]]&gt;35,data[[#This Row],[Age]]&lt;=44),"35-44",IF(data[[#This Row],[Age]]&gt;44,"45+",IF(data[[#This Row],[Age]]&lt;18,"below 18 ")))))</f>
        <v xml:space="preserve">below 18 </v>
      </c>
    </row>
    <row r="1112" spans="1:31" x14ac:dyDescent="0.25">
      <c r="A1112" t="s">
        <v>1165</v>
      </c>
      <c r="B1112">
        <v>38</v>
      </c>
      <c r="D1112" t="s">
        <v>39</v>
      </c>
      <c r="E1112" t="s">
        <v>40</v>
      </c>
      <c r="F1112" t="s">
        <v>41</v>
      </c>
      <c r="G1112">
        <v>2.2999999999999998</v>
      </c>
      <c r="H1112">
        <v>2</v>
      </c>
      <c r="I1112">
        <v>4</v>
      </c>
      <c r="J1112" t="s">
        <v>42</v>
      </c>
      <c r="K1112" t="s">
        <v>52</v>
      </c>
      <c r="L1112">
        <v>59</v>
      </c>
      <c r="M1112">
        <v>1.5</v>
      </c>
      <c r="N1112">
        <v>4.4000000000000004</v>
      </c>
      <c r="O1112">
        <v>2.9</v>
      </c>
      <c r="P1112">
        <v>8.8000000000000007</v>
      </c>
      <c r="Q1112" t="s">
        <v>42</v>
      </c>
      <c r="R1112" t="s">
        <v>42</v>
      </c>
      <c r="S1112">
        <v>6.5</v>
      </c>
      <c r="T1112">
        <v>1.7</v>
      </c>
      <c r="U1112">
        <v>2</v>
      </c>
      <c r="V1112">
        <v>5.5</v>
      </c>
      <c r="W1112">
        <v>3.8</v>
      </c>
      <c r="X1112">
        <v>5.7</v>
      </c>
      <c r="Y1112">
        <v>5.9</v>
      </c>
      <c r="Z1112">
        <v>1.8</v>
      </c>
      <c r="AA1112">
        <v>2.5</v>
      </c>
      <c r="AB1112">
        <v>2.1</v>
      </c>
      <c r="AC1112">
        <v>5.7</v>
      </c>
      <c r="AD1112" t="s">
        <v>45</v>
      </c>
      <c r="AE1112" t="str">
        <f>IF(AND(data[[#This Row],[Age]]&gt;=18,data[[#This Row],[Age]]&lt;=24),"18-24",IF(AND(data[[#This Row],[Age]]&gt;=25,data[[#This Row],[Age]]&lt;=34),"25-34",IF(AND(data[[#This Row],[Age]]&gt;35,data[[#This Row],[Age]]&lt;=44),"35-44",IF(data[[#This Row],[Age]]&gt;44,"45+",IF(data[[#This Row],[Age]]&lt;18,"below 18 ")))))</f>
        <v>35-44</v>
      </c>
    </row>
    <row r="1113" spans="1:31" x14ac:dyDescent="0.25">
      <c r="A1113" t="s">
        <v>1166</v>
      </c>
      <c r="B1113">
        <v>15</v>
      </c>
      <c r="C1113" t="s">
        <v>47</v>
      </c>
      <c r="D1113" t="s">
        <v>39</v>
      </c>
      <c r="E1113" t="s">
        <v>58</v>
      </c>
      <c r="F1113" t="s">
        <v>41</v>
      </c>
      <c r="G1113">
        <v>3.5</v>
      </c>
      <c r="H1113">
        <v>2</v>
      </c>
      <c r="I1113">
        <v>2</v>
      </c>
      <c r="J1113" t="s">
        <v>35</v>
      </c>
      <c r="K1113" t="s">
        <v>36</v>
      </c>
      <c r="L1113">
        <v>104</v>
      </c>
      <c r="M1113">
        <v>1.7</v>
      </c>
      <c r="N1113">
        <v>5.4</v>
      </c>
      <c r="O1113">
        <v>3.8</v>
      </c>
      <c r="P1113">
        <v>6.3</v>
      </c>
      <c r="Q1113" t="s">
        <v>35</v>
      </c>
      <c r="R1113" t="s">
        <v>42</v>
      </c>
      <c r="S1113">
        <v>7.6</v>
      </c>
      <c r="T1113">
        <v>4.2</v>
      </c>
      <c r="U1113">
        <v>6.5</v>
      </c>
      <c r="V1113">
        <v>6.2</v>
      </c>
      <c r="Y1113">
        <v>5.7</v>
      </c>
      <c r="Z1113">
        <v>3.7</v>
      </c>
      <c r="AA1113">
        <v>4.2</v>
      </c>
      <c r="AB1113">
        <v>5.6</v>
      </c>
      <c r="AC1113">
        <v>6.2</v>
      </c>
      <c r="AD1113" t="s">
        <v>45</v>
      </c>
      <c r="AE1113" t="str">
        <f>IF(AND(data[[#This Row],[Age]]&gt;=18,data[[#This Row],[Age]]&lt;=24),"18-24",IF(AND(data[[#This Row],[Age]]&gt;=25,data[[#This Row],[Age]]&lt;=34),"25-34",IF(AND(data[[#This Row],[Age]]&gt;35,data[[#This Row],[Age]]&lt;=44),"35-44",IF(data[[#This Row],[Age]]&gt;44,"45+",IF(data[[#This Row],[Age]]&lt;18,"below 18 ")))))</f>
        <v xml:space="preserve">below 18 </v>
      </c>
    </row>
    <row r="1114" spans="1:31" x14ac:dyDescent="0.25">
      <c r="A1114" t="s">
        <v>1167</v>
      </c>
      <c r="B1114">
        <v>22</v>
      </c>
      <c r="C1114" t="s">
        <v>31</v>
      </c>
      <c r="D1114" t="s">
        <v>32</v>
      </c>
      <c r="E1114" t="s">
        <v>40</v>
      </c>
      <c r="F1114" t="s">
        <v>48</v>
      </c>
      <c r="G1114">
        <v>4</v>
      </c>
      <c r="H1114">
        <v>4</v>
      </c>
      <c r="I1114">
        <v>4</v>
      </c>
      <c r="J1114" t="s">
        <v>35</v>
      </c>
      <c r="K1114" t="s">
        <v>36</v>
      </c>
      <c r="L1114">
        <v>57</v>
      </c>
      <c r="M1114">
        <v>7.7</v>
      </c>
      <c r="N1114">
        <v>4.9000000000000004</v>
      </c>
      <c r="O1114">
        <v>5</v>
      </c>
      <c r="P1114">
        <v>5.5</v>
      </c>
      <c r="Q1114" t="s">
        <v>42</v>
      </c>
      <c r="R1114" t="s">
        <v>35</v>
      </c>
      <c r="S1114">
        <v>3.5</v>
      </c>
      <c r="T1114">
        <v>7.4</v>
      </c>
      <c r="U1114">
        <v>6.9</v>
      </c>
      <c r="V1114">
        <v>9.4</v>
      </c>
      <c r="W1114">
        <v>6.3</v>
      </c>
      <c r="X1114">
        <v>8</v>
      </c>
      <c r="Y1114">
        <v>3.8</v>
      </c>
      <c r="Z1114">
        <v>6.8</v>
      </c>
      <c r="AA1114">
        <v>0.6</v>
      </c>
      <c r="AB1114">
        <v>3.5</v>
      </c>
      <c r="AC1114">
        <v>8.3000000000000007</v>
      </c>
      <c r="AD1114" t="s">
        <v>37</v>
      </c>
      <c r="AE1114" t="str">
        <f>IF(AND(data[[#This Row],[Age]]&gt;=18,data[[#This Row],[Age]]&lt;=24),"18-24",IF(AND(data[[#This Row],[Age]]&gt;=25,data[[#This Row],[Age]]&lt;=34),"25-34",IF(AND(data[[#This Row],[Age]]&gt;35,data[[#This Row],[Age]]&lt;=44),"35-44",IF(data[[#This Row],[Age]]&gt;44,"45+",IF(data[[#This Row],[Age]]&lt;18,"below 18 ")))))</f>
        <v>18-24</v>
      </c>
    </row>
    <row r="1115" spans="1:31" x14ac:dyDescent="0.25">
      <c r="A1115" t="s">
        <v>1168</v>
      </c>
      <c r="B1115">
        <v>15</v>
      </c>
      <c r="C1115" t="s">
        <v>31</v>
      </c>
      <c r="D1115" t="s">
        <v>39</v>
      </c>
      <c r="E1115" t="s">
        <v>33</v>
      </c>
      <c r="F1115" t="s">
        <v>34</v>
      </c>
      <c r="G1115">
        <v>6.9</v>
      </c>
      <c r="H1115">
        <v>5</v>
      </c>
      <c r="I1115">
        <v>2</v>
      </c>
      <c r="J1115" t="s">
        <v>35</v>
      </c>
      <c r="K1115" t="s">
        <v>52</v>
      </c>
      <c r="L1115">
        <v>19</v>
      </c>
      <c r="M1115">
        <v>6.5</v>
      </c>
      <c r="N1115">
        <v>5.2</v>
      </c>
      <c r="O1115">
        <v>6.6</v>
      </c>
      <c r="P1115">
        <v>3.5</v>
      </c>
      <c r="Q1115" t="s">
        <v>35</v>
      </c>
      <c r="R1115" t="s">
        <v>42</v>
      </c>
      <c r="S1115">
        <v>6.8</v>
      </c>
      <c r="T1115">
        <v>5.0999999999999996</v>
      </c>
      <c r="U1115">
        <v>5</v>
      </c>
      <c r="V1115">
        <v>6</v>
      </c>
      <c r="W1115">
        <v>3.3</v>
      </c>
      <c r="X1115">
        <v>8.5</v>
      </c>
      <c r="Y1115">
        <v>5.2</v>
      </c>
      <c r="Z1115">
        <v>5.3</v>
      </c>
      <c r="AA1115">
        <v>0</v>
      </c>
      <c r="AB1115">
        <v>0.5</v>
      </c>
      <c r="AC1115">
        <v>5.3</v>
      </c>
      <c r="AD1115" t="s">
        <v>45</v>
      </c>
      <c r="AE1115" t="str">
        <f>IF(AND(data[[#This Row],[Age]]&gt;=18,data[[#This Row],[Age]]&lt;=24),"18-24",IF(AND(data[[#This Row],[Age]]&gt;=25,data[[#This Row],[Age]]&lt;=34),"25-34",IF(AND(data[[#This Row],[Age]]&gt;35,data[[#This Row],[Age]]&lt;=44),"35-44",IF(data[[#This Row],[Age]]&gt;44,"45+",IF(data[[#This Row],[Age]]&lt;18,"below 18 ")))))</f>
        <v xml:space="preserve">below 18 </v>
      </c>
    </row>
    <row r="1116" spans="1:31" x14ac:dyDescent="0.25">
      <c r="A1116" t="s">
        <v>1169</v>
      </c>
      <c r="B1116">
        <v>42</v>
      </c>
      <c r="C1116" t="s">
        <v>31</v>
      </c>
      <c r="D1116" t="s">
        <v>64</v>
      </c>
      <c r="E1116" t="s">
        <v>40</v>
      </c>
      <c r="F1116" t="s">
        <v>70</v>
      </c>
      <c r="G1116">
        <v>3.6</v>
      </c>
      <c r="H1116">
        <v>6</v>
      </c>
      <c r="I1116">
        <v>5</v>
      </c>
      <c r="J1116" t="s">
        <v>42</v>
      </c>
      <c r="K1116" t="s">
        <v>36</v>
      </c>
      <c r="L1116">
        <v>78</v>
      </c>
      <c r="M1116">
        <v>4.7</v>
      </c>
      <c r="N1116">
        <v>2.7</v>
      </c>
      <c r="O1116">
        <v>5.5</v>
      </c>
      <c r="P1116">
        <v>1.3</v>
      </c>
      <c r="Q1116" t="s">
        <v>42</v>
      </c>
      <c r="R1116" t="s">
        <v>42</v>
      </c>
      <c r="S1116">
        <v>7.7</v>
      </c>
      <c r="T1116">
        <v>5</v>
      </c>
      <c r="U1116">
        <v>7.6</v>
      </c>
      <c r="V1116">
        <v>6.3</v>
      </c>
      <c r="W1116">
        <v>7.1</v>
      </c>
      <c r="X1116">
        <v>7.7</v>
      </c>
      <c r="Y1116">
        <v>3.7</v>
      </c>
      <c r="Z1116">
        <v>7.6</v>
      </c>
      <c r="AA1116">
        <v>2.2000000000000002</v>
      </c>
      <c r="AB1116">
        <v>1.7</v>
      </c>
      <c r="AC1116">
        <v>5.7</v>
      </c>
      <c r="AD1116" t="s">
        <v>53</v>
      </c>
      <c r="AE1116" t="str">
        <f>IF(AND(data[[#This Row],[Age]]&gt;=18,data[[#This Row],[Age]]&lt;=24),"18-24",IF(AND(data[[#This Row],[Age]]&gt;=25,data[[#This Row],[Age]]&lt;=34),"25-34",IF(AND(data[[#This Row],[Age]]&gt;35,data[[#This Row],[Age]]&lt;=44),"35-44",IF(data[[#This Row],[Age]]&gt;44,"45+",IF(data[[#This Row],[Age]]&lt;18,"below 18 ")))))</f>
        <v>35-44</v>
      </c>
    </row>
    <row r="1117" spans="1:31" x14ac:dyDescent="0.25">
      <c r="A1117" t="s">
        <v>1170</v>
      </c>
      <c r="B1117">
        <v>42</v>
      </c>
      <c r="C1117" t="s">
        <v>47</v>
      </c>
      <c r="D1117" t="s">
        <v>32</v>
      </c>
      <c r="E1117" t="s">
        <v>58</v>
      </c>
      <c r="F1117" t="s">
        <v>41</v>
      </c>
      <c r="G1117">
        <v>0.5</v>
      </c>
      <c r="H1117">
        <v>1</v>
      </c>
      <c r="I1117">
        <v>5</v>
      </c>
      <c r="J1117" t="s">
        <v>42</v>
      </c>
      <c r="K1117" t="s">
        <v>62</v>
      </c>
      <c r="L1117">
        <v>41</v>
      </c>
      <c r="M1117">
        <v>4.9000000000000004</v>
      </c>
      <c r="N1117">
        <v>2.7</v>
      </c>
      <c r="P1117">
        <v>1.8</v>
      </c>
      <c r="Q1117" t="s">
        <v>35</v>
      </c>
      <c r="R1117" t="s">
        <v>42</v>
      </c>
      <c r="S1117">
        <v>5.2</v>
      </c>
      <c r="T1117">
        <v>5.9</v>
      </c>
      <c r="U1117">
        <v>5.6</v>
      </c>
      <c r="V1117">
        <v>3.4</v>
      </c>
      <c r="W1117">
        <v>5.2</v>
      </c>
      <c r="X1117">
        <v>3.5</v>
      </c>
      <c r="Y1117">
        <v>9.4</v>
      </c>
      <c r="Z1117">
        <v>3.8</v>
      </c>
      <c r="AA1117">
        <v>1.1000000000000001</v>
      </c>
      <c r="AB1117">
        <v>5.6</v>
      </c>
      <c r="AC1117">
        <v>6.9</v>
      </c>
      <c r="AD1117" t="s">
        <v>37</v>
      </c>
      <c r="AE1117" t="str">
        <f>IF(AND(data[[#This Row],[Age]]&gt;=18,data[[#This Row],[Age]]&lt;=24),"18-24",IF(AND(data[[#This Row],[Age]]&gt;=25,data[[#This Row],[Age]]&lt;=34),"25-34",IF(AND(data[[#This Row],[Age]]&gt;35,data[[#This Row],[Age]]&lt;=44),"35-44",IF(data[[#This Row],[Age]]&gt;44,"45+",IF(data[[#This Row],[Age]]&lt;18,"below 18 ")))))</f>
        <v>35-44</v>
      </c>
    </row>
    <row r="1118" spans="1:31" x14ac:dyDescent="0.25">
      <c r="A1118" t="s">
        <v>1171</v>
      </c>
      <c r="B1118">
        <v>18</v>
      </c>
      <c r="C1118" t="s">
        <v>31</v>
      </c>
      <c r="D1118" t="s">
        <v>39</v>
      </c>
      <c r="E1118" t="s">
        <v>58</v>
      </c>
      <c r="F1118" t="s">
        <v>51</v>
      </c>
      <c r="G1118">
        <v>9.4</v>
      </c>
      <c r="H1118">
        <v>3</v>
      </c>
      <c r="I1118">
        <v>4</v>
      </c>
      <c r="K1118" t="s">
        <v>62</v>
      </c>
      <c r="L1118">
        <v>56</v>
      </c>
      <c r="N1118">
        <v>3.5</v>
      </c>
      <c r="O1118">
        <v>4.0999999999999996</v>
      </c>
      <c r="P1118">
        <v>6.9</v>
      </c>
      <c r="Q1118" t="s">
        <v>42</v>
      </c>
      <c r="R1118" t="s">
        <v>42</v>
      </c>
      <c r="S1118">
        <v>6</v>
      </c>
      <c r="T1118">
        <v>7</v>
      </c>
      <c r="U1118">
        <v>1.7</v>
      </c>
      <c r="V1118">
        <v>0.4</v>
      </c>
      <c r="W1118">
        <v>4.2</v>
      </c>
      <c r="X1118">
        <v>7.7</v>
      </c>
      <c r="Y1118">
        <v>4.0999999999999996</v>
      </c>
      <c r="Z1118">
        <v>7.1</v>
      </c>
      <c r="AA1118">
        <v>7.6</v>
      </c>
      <c r="AB1118">
        <v>4.8</v>
      </c>
      <c r="AC1118">
        <v>5.7</v>
      </c>
      <c r="AD1118" t="s">
        <v>43</v>
      </c>
      <c r="AE1118" t="str">
        <f>IF(AND(data[[#This Row],[Age]]&gt;=18,data[[#This Row],[Age]]&lt;=24),"18-24",IF(AND(data[[#This Row],[Age]]&gt;=25,data[[#This Row],[Age]]&lt;=34),"25-34",IF(AND(data[[#This Row],[Age]]&gt;35,data[[#This Row],[Age]]&lt;=44),"35-44",IF(data[[#This Row],[Age]]&gt;44,"45+",IF(data[[#This Row],[Age]]&lt;18,"below 18 ")))))</f>
        <v>18-24</v>
      </c>
    </row>
    <row r="1119" spans="1:31" x14ac:dyDescent="0.25">
      <c r="A1119" t="s">
        <v>1172</v>
      </c>
      <c r="B1119">
        <v>41</v>
      </c>
      <c r="C1119" t="s">
        <v>31</v>
      </c>
      <c r="D1119" t="s">
        <v>32</v>
      </c>
      <c r="E1119" t="s">
        <v>58</v>
      </c>
      <c r="F1119" t="s">
        <v>34</v>
      </c>
      <c r="G1119">
        <v>7.2</v>
      </c>
      <c r="H1119">
        <v>3</v>
      </c>
      <c r="I1119">
        <v>1</v>
      </c>
      <c r="J1119" t="s">
        <v>42</v>
      </c>
      <c r="K1119" t="s">
        <v>52</v>
      </c>
      <c r="L1119">
        <v>75</v>
      </c>
      <c r="M1119">
        <v>4.4000000000000004</v>
      </c>
      <c r="N1119">
        <v>8.5</v>
      </c>
      <c r="P1119">
        <v>4.5999999999999996</v>
      </c>
      <c r="Q1119" t="s">
        <v>42</v>
      </c>
      <c r="R1119" t="s">
        <v>35</v>
      </c>
      <c r="S1119">
        <v>6</v>
      </c>
      <c r="T1119">
        <v>5</v>
      </c>
      <c r="U1119">
        <v>1.5</v>
      </c>
      <c r="V1119">
        <v>6.8</v>
      </c>
      <c r="W1119">
        <v>5.2</v>
      </c>
      <c r="Y1119">
        <v>5.9</v>
      </c>
      <c r="Z1119">
        <v>8.3000000000000007</v>
      </c>
      <c r="AA1119">
        <v>3.2</v>
      </c>
      <c r="AC1119">
        <v>6.8</v>
      </c>
      <c r="AD1119" t="s">
        <v>53</v>
      </c>
      <c r="AE1119" t="str">
        <f>IF(AND(data[[#This Row],[Age]]&gt;=18,data[[#This Row],[Age]]&lt;=24),"18-24",IF(AND(data[[#This Row],[Age]]&gt;=25,data[[#This Row],[Age]]&lt;=34),"25-34",IF(AND(data[[#This Row],[Age]]&gt;35,data[[#This Row],[Age]]&lt;=44),"35-44",IF(data[[#This Row],[Age]]&gt;44,"45+",IF(data[[#This Row],[Age]]&lt;18,"below 18 ")))))</f>
        <v>35-44</v>
      </c>
    </row>
    <row r="1120" spans="1:31" x14ac:dyDescent="0.25">
      <c r="A1120" t="s">
        <v>1173</v>
      </c>
      <c r="B1120">
        <v>31</v>
      </c>
      <c r="C1120" t="s">
        <v>31</v>
      </c>
      <c r="D1120" t="s">
        <v>32</v>
      </c>
      <c r="E1120" t="s">
        <v>58</v>
      </c>
      <c r="F1120" t="s">
        <v>51</v>
      </c>
      <c r="G1120">
        <v>5.8</v>
      </c>
      <c r="H1120">
        <v>2</v>
      </c>
      <c r="I1120">
        <v>4</v>
      </c>
      <c r="J1120" t="s">
        <v>42</v>
      </c>
      <c r="K1120" t="s">
        <v>36</v>
      </c>
      <c r="L1120">
        <v>71</v>
      </c>
      <c r="M1120">
        <v>4.4000000000000004</v>
      </c>
      <c r="N1120">
        <v>6.5</v>
      </c>
      <c r="O1120">
        <v>4.9000000000000004</v>
      </c>
      <c r="P1120">
        <v>6.7</v>
      </c>
      <c r="Q1120" t="s">
        <v>35</v>
      </c>
      <c r="R1120" t="s">
        <v>35</v>
      </c>
      <c r="S1120">
        <v>6</v>
      </c>
      <c r="T1120">
        <v>4.0999999999999996</v>
      </c>
      <c r="U1120">
        <v>2.5</v>
      </c>
      <c r="V1120">
        <v>8.4</v>
      </c>
      <c r="W1120">
        <v>4</v>
      </c>
      <c r="X1120">
        <v>7.5</v>
      </c>
      <c r="Y1120">
        <v>6.9</v>
      </c>
      <c r="Z1120">
        <v>4.5999999999999996</v>
      </c>
      <c r="AA1120">
        <v>3.2</v>
      </c>
      <c r="AB1120">
        <v>3.8</v>
      </c>
      <c r="AC1120">
        <v>6.3</v>
      </c>
      <c r="AD1120" t="s">
        <v>45</v>
      </c>
      <c r="AE1120" t="str">
        <f>IF(AND(data[[#This Row],[Age]]&gt;=18,data[[#This Row],[Age]]&lt;=24),"18-24",IF(AND(data[[#This Row],[Age]]&gt;=25,data[[#This Row],[Age]]&lt;=34),"25-34",IF(AND(data[[#This Row],[Age]]&gt;35,data[[#This Row],[Age]]&lt;=44),"35-44",IF(data[[#This Row],[Age]]&gt;44,"45+",IF(data[[#This Row],[Age]]&lt;18,"below 18 ")))))</f>
        <v>25-34</v>
      </c>
    </row>
    <row r="1121" spans="1:31" x14ac:dyDescent="0.25">
      <c r="A1121" t="s">
        <v>1174</v>
      </c>
      <c r="B1121">
        <v>35</v>
      </c>
      <c r="C1121" t="s">
        <v>47</v>
      </c>
      <c r="D1121" t="s">
        <v>39</v>
      </c>
      <c r="E1121" t="s">
        <v>58</v>
      </c>
      <c r="F1121" t="s">
        <v>48</v>
      </c>
      <c r="G1121">
        <v>5.6</v>
      </c>
      <c r="H1121">
        <v>3</v>
      </c>
      <c r="I1121">
        <v>5</v>
      </c>
      <c r="J1121" t="s">
        <v>42</v>
      </c>
      <c r="K1121" t="s">
        <v>36</v>
      </c>
      <c r="L1121">
        <v>56</v>
      </c>
      <c r="M1121">
        <v>4.0999999999999996</v>
      </c>
      <c r="N1121">
        <v>7.3</v>
      </c>
      <c r="O1121">
        <v>1.5</v>
      </c>
      <c r="P1121">
        <v>4.8</v>
      </c>
      <c r="Q1121" t="s">
        <v>42</v>
      </c>
      <c r="R1121" t="s">
        <v>35</v>
      </c>
      <c r="S1121">
        <v>2.6</v>
      </c>
      <c r="T1121">
        <v>5.6</v>
      </c>
      <c r="U1121">
        <v>4.8</v>
      </c>
      <c r="V1121">
        <v>6.8</v>
      </c>
      <c r="W1121">
        <v>5.6</v>
      </c>
      <c r="X1121">
        <v>8.8000000000000007</v>
      </c>
      <c r="Y1121">
        <v>2.5</v>
      </c>
      <c r="Z1121">
        <v>2.1</v>
      </c>
      <c r="AA1121">
        <v>7</v>
      </c>
      <c r="AB1121">
        <v>4.5</v>
      </c>
      <c r="AC1121">
        <v>7.2</v>
      </c>
      <c r="AD1121" t="s">
        <v>37</v>
      </c>
      <c r="AE1121" t="b">
        <f>IF(AND(data[[#This Row],[Age]]&gt;=18,data[[#This Row],[Age]]&lt;=24),"18-24",IF(AND(data[[#This Row],[Age]]&gt;=25,data[[#This Row],[Age]]&lt;=34),"25-34",IF(AND(data[[#This Row],[Age]]&gt;35,data[[#This Row],[Age]]&lt;=44),"35-44",IF(data[[#This Row],[Age]]&gt;44,"45+",IF(data[[#This Row],[Age]]&lt;18,"below 18 ")))))</f>
        <v>0</v>
      </c>
    </row>
    <row r="1122" spans="1:31" x14ac:dyDescent="0.25">
      <c r="A1122" t="s">
        <v>1175</v>
      </c>
      <c r="B1122">
        <v>15</v>
      </c>
      <c r="C1122" t="s">
        <v>31</v>
      </c>
      <c r="D1122" t="s">
        <v>32</v>
      </c>
      <c r="E1122" t="s">
        <v>33</v>
      </c>
      <c r="F1122" t="s">
        <v>59</v>
      </c>
      <c r="G1122">
        <v>4.5999999999999996</v>
      </c>
      <c r="H1122">
        <v>4</v>
      </c>
      <c r="I1122">
        <v>7</v>
      </c>
      <c r="J1122" t="s">
        <v>42</v>
      </c>
      <c r="K1122" t="s">
        <v>36</v>
      </c>
      <c r="L1122">
        <v>66</v>
      </c>
      <c r="M1122">
        <v>3.8</v>
      </c>
      <c r="N1122">
        <v>8.8000000000000007</v>
      </c>
      <c r="O1122">
        <v>3.7</v>
      </c>
      <c r="P1122">
        <v>3.9</v>
      </c>
      <c r="Q1122" t="s">
        <v>35</v>
      </c>
      <c r="R1122" t="s">
        <v>42</v>
      </c>
      <c r="S1122">
        <v>3.2</v>
      </c>
      <c r="T1122">
        <v>6.6</v>
      </c>
      <c r="U1122">
        <v>4.9000000000000004</v>
      </c>
      <c r="V1122">
        <v>7.2</v>
      </c>
      <c r="W1122">
        <v>7.7</v>
      </c>
      <c r="X1122">
        <v>6.5</v>
      </c>
      <c r="Y1122">
        <v>3.1</v>
      </c>
      <c r="Z1122">
        <v>4.0999999999999996</v>
      </c>
      <c r="AA1122">
        <v>3.8</v>
      </c>
      <c r="AB1122">
        <v>3.4</v>
      </c>
      <c r="AC1122">
        <v>6.1</v>
      </c>
      <c r="AD1122" t="s">
        <v>45</v>
      </c>
      <c r="AE1122" t="str">
        <f>IF(AND(data[[#This Row],[Age]]&gt;=18,data[[#This Row],[Age]]&lt;=24),"18-24",IF(AND(data[[#This Row],[Age]]&gt;=25,data[[#This Row],[Age]]&lt;=34),"25-34",IF(AND(data[[#This Row],[Age]]&gt;35,data[[#This Row],[Age]]&lt;=44),"35-44",IF(data[[#This Row],[Age]]&gt;44,"45+",IF(data[[#This Row],[Age]]&lt;18,"below 18 ")))))</f>
        <v xml:space="preserve">below 18 </v>
      </c>
    </row>
    <row r="1123" spans="1:31" x14ac:dyDescent="0.25">
      <c r="A1123" t="s">
        <v>1176</v>
      </c>
      <c r="B1123">
        <v>42</v>
      </c>
      <c r="C1123" t="s">
        <v>47</v>
      </c>
      <c r="D1123" t="s">
        <v>32</v>
      </c>
      <c r="E1123" t="s">
        <v>58</v>
      </c>
      <c r="F1123" t="s">
        <v>41</v>
      </c>
      <c r="G1123">
        <v>8.4</v>
      </c>
      <c r="H1123">
        <v>1</v>
      </c>
      <c r="I1123">
        <v>4</v>
      </c>
      <c r="J1123" t="s">
        <v>42</v>
      </c>
      <c r="K1123" t="s">
        <v>36</v>
      </c>
      <c r="L1123">
        <v>126</v>
      </c>
      <c r="M1123">
        <v>4.9000000000000004</v>
      </c>
      <c r="N1123">
        <v>2.7</v>
      </c>
      <c r="O1123">
        <v>4.3</v>
      </c>
      <c r="P1123">
        <v>9</v>
      </c>
      <c r="Q1123" t="s">
        <v>35</v>
      </c>
      <c r="R1123" t="s">
        <v>35</v>
      </c>
      <c r="S1123">
        <v>5.2</v>
      </c>
      <c r="T1123">
        <v>7.7</v>
      </c>
      <c r="U1123">
        <v>4.2</v>
      </c>
      <c r="V1123">
        <v>2.6</v>
      </c>
      <c r="W1123">
        <v>7.6</v>
      </c>
      <c r="X1123">
        <v>4.0999999999999996</v>
      </c>
      <c r="Y1123">
        <v>3.9</v>
      </c>
      <c r="Z1123">
        <v>1.3</v>
      </c>
      <c r="AA1123">
        <v>3.2</v>
      </c>
      <c r="AB1123">
        <v>7</v>
      </c>
      <c r="AC1123">
        <v>6</v>
      </c>
      <c r="AD1123" t="s">
        <v>45</v>
      </c>
      <c r="AE1123" t="str">
        <f>IF(AND(data[[#This Row],[Age]]&gt;=18,data[[#This Row],[Age]]&lt;=24),"18-24",IF(AND(data[[#This Row],[Age]]&gt;=25,data[[#This Row],[Age]]&lt;=34),"25-34",IF(AND(data[[#This Row],[Age]]&gt;35,data[[#This Row],[Age]]&lt;=44),"35-44",IF(data[[#This Row],[Age]]&gt;44,"45+",IF(data[[#This Row],[Age]]&lt;18,"below 18 ")))))</f>
        <v>35-44</v>
      </c>
    </row>
    <row r="1124" spans="1:31" x14ac:dyDescent="0.25">
      <c r="A1124" t="s">
        <v>1177</v>
      </c>
      <c r="B1124">
        <v>23</v>
      </c>
      <c r="C1124" t="s">
        <v>47</v>
      </c>
      <c r="D1124" t="s">
        <v>32</v>
      </c>
      <c r="E1124" t="s">
        <v>58</v>
      </c>
      <c r="F1124" t="s">
        <v>41</v>
      </c>
      <c r="G1124">
        <v>1.8</v>
      </c>
      <c r="H1124">
        <v>7</v>
      </c>
      <c r="I1124">
        <v>1</v>
      </c>
      <c r="J1124" t="s">
        <v>42</v>
      </c>
      <c r="K1124" t="s">
        <v>36</v>
      </c>
      <c r="L1124">
        <v>80</v>
      </c>
      <c r="M1124">
        <v>2.6</v>
      </c>
      <c r="N1124">
        <v>3.1</v>
      </c>
      <c r="O1124">
        <v>6.5</v>
      </c>
      <c r="P1124">
        <v>0.7</v>
      </c>
      <c r="Q1124" t="s">
        <v>42</v>
      </c>
      <c r="R1124" t="s">
        <v>42</v>
      </c>
      <c r="S1124">
        <v>2.6</v>
      </c>
      <c r="T1124">
        <v>4.3</v>
      </c>
      <c r="U1124">
        <v>2.7</v>
      </c>
      <c r="V1124">
        <v>5.2</v>
      </c>
      <c r="W1124">
        <v>0</v>
      </c>
      <c r="X1124">
        <v>5.4</v>
      </c>
      <c r="Y1124">
        <v>1.8</v>
      </c>
      <c r="AA1124">
        <v>0</v>
      </c>
      <c r="AB1124">
        <v>2.8</v>
      </c>
      <c r="AC1124">
        <v>5.9</v>
      </c>
      <c r="AD1124" t="s">
        <v>53</v>
      </c>
      <c r="AE1124" t="str">
        <f>IF(AND(data[[#This Row],[Age]]&gt;=18,data[[#This Row],[Age]]&lt;=24),"18-24",IF(AND(data[[#This Row],[Age]]&gt;=25,data[[#This Row],[Age]]&lt;=34),"25-34",IF(AND(data[[#This Row],[Age]]&gt;35,data[[#This Row],[Age]]&lt;=44),"35-44",IF(data[[#This Row],[Age]]&gt;44,"45+",IF(data[[#This Row],[Age]]&lt;18,"below 18 ")))))</f>
        <v>18-24</v>
      </c>
    </row>
    <row r="1125" spans="1:31" x14ac:dyDescent="0.25">
      <c r="A1125" t="s">
        <v>1178</v>
      </c>
      <c r="B1125">
        <v>37</v>
      </c>
      <c r="C1125" t="s">
        <v>31</v>
      </c>
      <c r="D1125" t="s">
        <v>39</v>
      </c>
      <c r="E1125" t="s">
        <v>33</v>
      </c>
      <c r="F1125" t="s">
        <v>48</v>
      </c>
      <c r="G1125">
        <v>6.2</v>
      </c>
      <c r="H1125">
        <v>4</v>
      </c>
      <c r="I1125">
        <v>2</v>
      </c>
      <c r="J1125" t="s">
        <v>42</v>
      </c>
      <c r="K1125" t="s">
        <v>52</v>
      </c>
      <c r="L1125">
        <v>37</v>
      </c>
      <c r="M1125">
        <v>5.0999999999999996</v>
      </c>
      <c r="N1125">
        <v>6.2</v>
      </c>
      <c r="O1125">
        <v>5.3</v>
      </c>
      <c r="P1125">
        <v>1.5</v>
      </c>
      <c r="Q1125" t="s">
        <v>42</v>
      </c>
      <c r="R1125" t="s">
        <v>42</v>
      </c>
      <c r="S1125">
        <v>6</v>
      </c>
      <c r="T1125">
        <v>4.8</v>
      </c>
      <c r="U1125">
        <v>4.9000000000000004</v>
      </c>
      <c r="V1125">
        <v>4.3</v>
      </c>
      <c r="W1125">
        <v>5.6</v>
      </c>
      <c r="X1125">
        <v>7.9</v>
      </c>
      <c r="Y1125">
        <v>5.9</v>
      </c>
      <c r="AA1125">
        <v>4.5</v>
      </c>
      <c r="AB1125">
        <v>5.8</v>
      </c>
      <c r="AC1125">
        <v>6</v>
      </c>
      <c r="AD1125" t="s">
        <v>45</v>
      </c>
      <c r="AE1125" t="str">
        <f>IF(AND(data[[#This Row],[Age]]&gt;=18,data[[#This Row],[Age]]&lt;=24),"18-24",IF(AND(data[[#This Row],[Age]]&gt;=25,data[[#This Row],[Age]]&lt;=34),"25-34",IF(AND(data[[#This Row],[Age]]&gt;35,data[[#This Row],[Age]]&lt;=44),"35-44",IF(data[[#This Row],[Age]]&gt;44,"45+",IF(data[[#This Row],[Age]]&lt;18,"below 18 ")))))</f>
        <v>35-44</v>
      </c>
    </row>
    <row r="1126" spans="1:31" x14ac:dyDescent="0.25">
      <c r="A1126" t="s">
        <v>1179</v>
      </c>
      <c r="B1126">
        <v>17</v>
      </c>
      <c r="C1126" t="s">
        <v>31</v>
      </c>
      <c r="D1126" t="s">
        <v>32</v>
      </c>
      <c r="E1126" t="s">
        <v>58</v>
      </c>
      <c r="F1126" t="s">
        <v>51</v>
      </c>
      <c r="G1126">
        <v>6.2</v>
      </c>
      <c r="H1126">
        <v>5</v>
      </c>
      <c r="I1126">
        <v>4</v>
      </c>
      <c r="J1126" t="s">
        <v>42</v>
      </c>
      <c r="K1126" t="s">
        <v>36</v>
      </c>
      <c r="L1126">
        <v>60</v>
      </c>
      <c r="M1126">
        <v>1.8</v>
      </c>
      <c r="N1126">
        <v>2.6</v>
      </c>
      <c r="O1126">
        <v>5.0999999999999996</v>
      </c>
      <c r="P1126">
        <v>4.0999999999999996</v>
      </c>
      <c r="Q1126" t="s">
        <v>42</v>
      </c>
      <c r="R1126" t="s">
        <v>42</v>
      </c>
      <c r="S1126">
        <v>4.7</v>
      </c>
      <c r="T1126">
        <v>5.9</v>
      </c>
      <c r="U1126">
        <v>3.9</v>
      </c>
      <c r="V1126">
        <v>5.2</v>
      </c>
      <c r="W1126">
        <v>1.9</v>
      </c>
      <c r="X1126">
        <v>7.8</v>
      </c>
      <c r="Y1126">
        <v>4.0999999999999996</v>
      </c>
      <c r="Z1126">
        <v>8.6</v>
      </c>
      <c r="AA1126">
        <v>0.7</v>
      </c>
      <c r="AB1126">
        <v>5.8</v>
      </c>
      <c r="AC1126">
        <v>6.2</v>
      </c>
      <c r="AD1126" t="s">
        <v>45</v>
      </c>
      <c r="AE1126" t="str">
        <f>IF(AND(data[[#This Row],[Age]]&gt;=18,data[[#This Row],[Age]]&lt;=24),"18-24",IF(AND(data[[#This Row],[Age]]&gt;=25,data[[#This Row],[Age]]&lt;=34),"25-34",IF(AND(data[[#This Row],[Age]]&gt;35,data[[#This Row],[Age]]&lt;=44),"35-44",IF(data[[#This Row],[Age]]&gt;44,"45+",IF(data[[#This Row],[Age]]&lt;18,"below 18 ")))))</f>
        <v xml:space="preserve">below 18 </v>
      </c>
    </row>
    <row r="1127" spans="1:31" x14ac:dyDescent="0.25">
      <c r="A1127" t="s">
        <v>1180</v>
      </c>
      <c r="B1127">
        <v>21</v>
      </c>
      <c r="C1127" t="s">
        <v>47</v>
      </c>
      <c r="E1127" t="s">
        <v>40</v>
      </c>
      <c r="F1127" t="s">
        <v>59</v>
      </c>
      <c r="G1127">
        <v>9.8000000000000007</v>
      </c>
      <c r="H1127">
        <v>2</v>
      </c>
      <c r="I1127">
        <v>5</v>
      </c>
      <c r="J1127" t="s">
        <v>35</v>
      </c>
      <c r="K1127" t="s">
        <v>36</v>
      </c>
      <c r="L1127">
        <v>56</v>
      </c>
      <c r="M1127">
        <v>4.5999999999999996</v>
      </c>
      <c r="N1127">
        <v>7.4</v>
      </c>
      <c r="O1127">
        <v>6.6</v>
      </c>
      <c r="P1127">
        <v>6.7</v>
      </c>
      <c r="Q1127" t="s">
        <v>35</v>
      </c>
      <c r="R1127" t="s">
        <v>42</v>
      </c>
      <c r="S1127">
        <v>3.3</v>
      </c>
      <c r="T1127">
        <v>7.8</v>
      </c>
      <c r="U1127">
        <v>5</v>
      </c>
      <c r="V1127">
        <v>7.1</v>
      </c>
      <c r="W1127">
        <v>5</v>
      </c>
      <c r="X1127">
        <v>6.9</v>
      </c>
      <c r="Y1127">
        <v>5.9</v>
      </c>
      <c r="Z1127">
        <v>7.6</v>
      </c>
      <c r="AA1127">
        <v>3.8</v>
      </c>
      <c r="AB1127">
        <v>3</v>
      </c>
      <c r="AC1127">
        <v>5.7</v>
      </c>
      <c r="AD1127" t="s">
        <v>43</v>
      </c>
      <c r="AE1127" t="str">
        <f>IF(AND(data[[#This Row],[Age]]&gt;=18,data[[#This Row],[Age]]&lt;=24),"18-24",IF(AND(data[[#This Row],[Age]]&gt;=25,data[[#This Row],[Age]]&lt;=34),"25-34",IF(AND(data[[#This Row],[Age]]&gt;35,data[[#This Row],[Age]]&lt;=44),"35-44",IF(data[[#This Row],[Age]]&gt;44,"45+",IF(data[[#This Row],[Age]]&lt;18,"below 18 ")))))</f>
        <v>18-24</v>
      </c>
    </row>
    <row r="1128" spans="1:31" x14ac:dyDescent="0.25">
      <c r="A1128" t="s">
        <v>1181</v>
      </c>
      <c r="B1128">
        <v>17</v>
      </c>
      <c r="C1128" t="s">
        <v>31</v>
      </c>
      <c r="D1128" t="s">
        <v>32</v>
      </c>
      <c r="E1128" t="s">
        <v>58</v>
      </c>
      <c r="F1128" t="s">
        <v>51</v>
      </c>
      <c r="G1128">
        <v>4.4000000000000004</v>
      </c>
      <c r="H1128">
        <v>4</v>
      </c>
      <c r="I1128">
        <v>4</v>
      </c>
      <c r="J1128" t="s">
        <v>35</v>
      </c>
      <c r="K1128" t="s">
        <v>52</v>
      </c>
      <c r="L1128">
        <v>123</v>
      </c>
      <c r="M1128">
        <v>1.3</v>
      </c>
      <c r="N1128">
        <v>8.3000000000000007</v>
      </c>
      <c r="O1128">
        <v>3.3</v>
      </c>
      <c r="P1128">
        <v>3.3</v>
      </c>
      <c r="Q1128" t="s">
        <v>35</v>
      </c>
      <c r="R1128" t="s">
        <v>42</v>
      </c>
      <c r="S1128">
        <v>4.8</v>
      </c>
      <c r="T1128">
        <v>1.7</v>
      </c>
      <c r="U1128">
        <v>4.7</v>
      </c>
      <c r="V1128">
        <v>1.5</v>
      </c>
      <c r="W1128">
        <v>5</v>
      </c>
      <c r="X1128">
        <v>6.3</v>
      </c>
      <c r="Y1128">
        <v>7</v>
      </c>
      <c r="Z1128">
        <v>10</v>
      </c>
      <c r="AA1128">
        <v>1.7</v>
      </c>
      <c r="AB1128">
        <v>4.3</v>
      </c>
      <c r="AC1128">
        <v>7</v>
      </c>
      <c r="AD1128" t="s">
        <v>53</v>
      </c>
      <c r="AE1128" t="str">
        <f>IF(AND(data[[#This Row],[Age]]&gt;=18,data[[#This Row],[Age]]&lt;=24),"18-24",IF(AND(data[[#This Row],[Age]]&gt;=25,data[[#This Row],[Age]]&lt;=34),"25-34",IF(AND(data[[#This Row],[Age]]&gt;35,data[[#This Row],[Age]]&lt;=44),"35-44",IF(data[[#This Row],[Age]]&gt;44,"45+",IF(data[[#This Row],[Age]]&lt;18,"below 18 ")))))</f>
        <v xml:space="preserve">below 18 </v>
      </c>
    </row>
    <row r="1129" spans="1:31" x14ac:dyDescent="0.25">
      <c r="A1129" t="s">
        <v>1182</v>
      </c>
      <c r="B1129">
        <v>31</v>
      </c>
      <c r="C1129" t="s">
        <v>31</v>
      </c>
      <c r="D1129" t="s">
        <v>39</v>
      </c>
      <c r="E1129" t="s">
        <v>58</v>
      </c>
      <c r="F1129" t="s">
        <v>34</v>
      </c>
      <c r="G1129">
        <v>7.9</v>
      </c>
      <c r="H1129">
        <v>2</v>
      </c>
      <c r="I1129">
        <v>2</v>
      </c>
      <c r="J1129" t="s">
        <v>35</v>
      </c>
      <c r="K1129" t="s">
        <v>52</v>
      </c>
      <c r="L1129">
        <v>98</v>
      </c>
      <c r="M1129">
        <v>7</v>
      </c>
      <c r="N1129">
        <v>7.5</v>
      </c>
      <c r="O1129">
        <v>5.9</v>
      </c>
      <c r="P1129">
        <v>7.2</v>
      </c>
      <c r="Q1129" t="s">
        <v>42</v>
      </c>
      <c r="R1129" t="s">
        <v>42</v>
      </c>
      <c r="S1129">
        <v>5.4</v>
      </c>
      <c r="T1129">
        <v>5.8</v>
      </c>
      <c r="U1129">
        <v>4.9000000000000004</v>
      </c>
      <c r="V1129">
        <v>1.7</v>
      </c>
      <c r="W1129">
        <v>3.6</v>
      </c>
      <c r="X1129">
        <v>4.4000000000000004</v>
      </c>
      <c r="Y1129">
        <v>3.5</v>
      </c>
      <c r="Z1129">
        <v>6</v>
      </c>
      <c r="AA1129">
        <v>4.9000000000000004</v>
      </c>
      <c r="AB1129">
        <v>5</v>
      </c>
      <c r="AC1129">
        <v>6.3</v>
      </c>
      <c r="AD1129" t="s">
        <v>45</v>
      </c>
      <c r="AE1129" t="str">
        <f>IF(AND(data[[#This Row],[Age]]&gt;=18,data[[#This Row],[Age]]&lt;=24),"18-24",IF(AND(data[[#This Row],[Age]]&gt;=25,data[[#This Row],[Age]]&lt;=34),"25-34",IF(AND(data[[#This Row],[Age]]&gt;35,data[[#This Row],[Age]]&lt;=44),"35-44",IF(data[[#This Row],[Age]]&gt;44,"45+",IF(data[[#This Row],[Age]]&lt;18,"below 18 ")))))</f>
        <v>25-34</v>
      </c>
    </row>
    <row r="1130" spans="1:31" x14ac:dyDescent="0.25">
      <c r="A1130" t="s">
        <v>1183</v>
      </c>
      <c r="B1130">
        <v>32</v>
      </c>
      <c r="C1130" t="s">
        <v>31</v>
      </c>
      <c r="D1130" t="s">
        <v>39</v>
      </c>
      <c r="E1130" t="s">
        <v>58</v>
      </c>
      <c r="F1130" t="s">
        <v>51</v>
      </c>
      <c r="G1130">
        <v>5.5</v>
      </c>
      <c r="H1130">
        <v>1</v>
      </c>
      <c r="I1130">
        <v>6</v>
      </c>
      <c r="J1130" t="s">
        <v>42</v>
      </c>
      <c r="K1130" t="s">
        <v>36</v>
      </c>
      <c r="L1130">
        <v>56</v>
      </c>
      <c r="M1130">
        <v>8.1999999999999993</v>
      </c>
      <c r="N1130">
        <v>8.4</v>
      </c>
      <c r="O1130">
        <v>7.5</v>
      </c>
      <c r="P1130">
        <v>4.4000000000000004</v>
      </c>
      <c r="Q1130" t="s">
        <v>35</v>
      </c>
      <c r="R1130" t="s">
        <v>42</v>
      </c>
      <c r="S1130">
        <v>0.6</v>
      </c>
      <c r="T1130">
        <v>5.0999999999999996</v>
      </c>
      <c r="U1130">
        <v>3.9</v>
      </c>
      <c r="V1130">
        <v>9</v>
      </c>
      <c r="W1130">
        <v>6.7</v>
      </c>
      <c r="X1130">
        <v>6.9</v>
      </c>
      <c r="Y1130">
        <v>8.5</v>
      </c>
      <c r="Z1130">
        <v>3.4</v>
      </c>
      <c r="AA1130">
        <v>4.8</v>
      </c>
      <c r="AB1130">
        <v>2.1</v>
      </c>
      <c r="AC1130">
        <v>3.7</v>
      </c>
      <c r="AD1130" t="s">
        <v>43</v>
      </c>
      <c r="AE1130" t="str">
        <f>IF(AND(data[[#This Row],[Age]]&gt;=18,data[[#This Row],[Age]]&lt;=24),"18-24",IF(AND(data[[#This Row],[Age]]&gt;=25,data[[#This Row],[Age]]&lt;=34),"25-34",IF(AND(data[[#This Row],[Age]]&gt;35,data[[#This Row],[Age]]&lt;=44),"35-44",IF(data[[#This Row],[Age]]&gt;44,"45+",IF(data[[#This Row],[Age]]&lt;18,"below 18 ")))))</f>
        <v>25-34</v>
      </c>
    </row>
    <row r="1131" spans="1:31" x14ac:dyDescent="0.25">
      <c r="A1131" t="s">
        <v>1184</v>
      </c>
      <c r="B1131">
        <v>28</v>
      </c>
      <c r="C1131" t="s">
        <v>31</v>
      </c>
      <c r="D1131" t="s">
        <v>64</v>
      </c>
      <c r="E1131" t="s">
        <v>58</v>
      </c>
      <c r="F1131" t="s">
        <v>34</v>
      </c>
      <c r="G1131">
        <v>2.4</v>
      </c>
      <c r="H1131">
        <v>2</v>
      </c>
      <c r="I1131">
        <v>3</v>
      </c>
      <c r="J1131" t="s">
        <v>35</v>
      </c>
      <c r="K1131" t="s">
        <v>52</v>
      </c>
      <c r="L1131">
        <v>55</v>
      </c>
      <c r="M1131">
        <v>5.7</v>
      </c>
      <c r="N1131">
        <v>10</v>
      </c>
      <c r="O1131">
        <v>3.1</v>
      </c>
      <c r="P1131">
        <v>4.5</v>
      </c>
      <c r="Q1131" t="s">
        <v>42</v>
      </c>
      <c r="R1131" t="s">
        <v>42</v>
      </c>
      <c r="S1131">
        <v>0.4</v>
      </c>
      <c r="T1131">
        <v>5.5</v>
      </c>
      <c r="U1131">
        <v>1.8</v>
      </c>
      <c r="V1131">
        <v>5.5</v>
      </c>
      <c r="W1131">
        <v>7.4</v>
      </c>
      <c r="X1131">
        <v>5.7</v>
      </c>
      <c r="Y1131">
        <v>8.1999999999999993</v>
      </c>
      <c r="Z1131">
        <v>3.1</v>
      </c>
      <c r="AA1131">
        <v>4.9000000000000004</v>
      </c>
      <c r="AB1131">
        <v>1.1000000000000001</v>
      </c>
      <c r="AC1131">
        <v>6.8</v>
      </c>
      <c r="AD1131" t="s">
        <v>37</v>
      </c>
      <c r="AE1131" t="str">
        <f>IF(AND(data[[#This Row],[Age]]&gt;=18,data[[#This Row],[Age]]&lt;=24),"18-24",IF(AND(data[[#This Row],[Age]]&gt;=25,data[[#This Row],[Age]]&lt;=34),"25-34",IF(AND(data[[#This Row],[Age]]&gt;35,data[[#This Row],[Age]]&lt;=44),"35-44",IF(data[[#This Row],[Age]]&gt;44,"45+",IF(data[[#This Row],[Age]]&lt;18,"below 18 ")))))</f>
        <v>25-34</v>
      </c>
    </row>
    <row r="1132" spans="1:31" x14ac:dyDescent="0.25">
      <c r="A1132" t="s">
        <v>1185</v>
      </c>
      <c r="B1132">
        <v>28</v>
      </c>
      <c r="C1132" t="s">
        <v>47</v>
      </c>
      <c r="D1132" t="s">
        <v>39</v>
      </c>
      <c r="E1132" t="s">
        <v>58</v>
      </c>
      <c r="F1132" t="s">
        <v>41</v>
      </c>
      <c r="G1132">
        <v>2.1</v>
      </c>
      <c r="H1132">
        <v>4</v>
      </c>
      <c r="I1132">
        <v>5</v>
      </c>
      <c r="J1132" t="s">
        <v>35</v>
      </c>
      <c r="K1132" t="s">
        <v>52</v>
      </c>
      <c r="L1132">
        <v>40</v>
      </c>
      <c r="M1132">
        <v>7.4</v>
      </c>
      <c r="N1132">
        <v>4.4000000000000004</v>
      </c>
      <c r="O1132">
        <v>0</v>
      </c>
      <c r="P1132">
        <v>8.4</v>
      </c>
      <c r="Q1132" t="s">
        <v>42</v>
      </c>
      <c r="R1132" t="s">
        <v>35</v>
      </c>
      <c r="S1132">
        <v>5</v>
      </c>
      <c r="T1132">
        <v>8.4</v>
      </c>
      <c r="U1132">
        <v>7.2</v>
      </c>
      <c r="V1132">
        <v>7</v>
      </c>
      <c r="W1132">
        <v>6.2</v>
      </c>
      <c r="X1132">
        <v>6.8</v>
      </c>
      <c r="Y1132">
        <v>3.8</v>
      </c>
      <c r="Z1132">
        <v>3.9</v>
      </c>
      <c r="AA1132">
        <v>2.4</v>
      </c>
      <c r="AB1132">
        <v>1.7</v>
      </c>
      <c r="AC1132">
        <v>8.5</v>
      </c>
      <c r="AD1132" t="s">
        <v>37</v>
      </c>
      <c r="AE1132" t="str">
        <f>IF(AND(data[[#This Row],[Age]]&gt;=18,data[[#This Row],[Age]]&lt;=24),"18-24",IF(AND(data[[#This Row],[Age]]&gt;=25,data[[#This Row],[Age]]&lt;=34),"25-34",IF(AND(data[[#This Row],[Age]]&gt;35,data[[#This Row],[Age]]&lt;=44),"35-44",IF(data[[#This Row],[Age]]&gt;44,"45+",IF(data[[#This Row],[Age]]&lt;18,"below 18 ")))))</f>
        <v>25-34</v>
      </c>
    </row>
    <row r="1133" spans="1:31" x14ac:dyDescent="0.25">
      <c r="A1133" t="s">
        <v>1186</v>
      </c>
      <c r="B1133">
        <v>37</v>
      </c>
      <c r="C1133" t="s">
        <v>31</v>
      </c>
      <c r="D1133" t="s">
        <v>32</v>
      </c>
      <c r="E1133" t="s">
        <v>33</v>
      </c>
      <c r="F1133" t="s">
        <v>51</v>
      </c>
      <c r="G1133">
        <v>7.2</v>
      </c>
      <c r="H1133">
        <v>1</v>
      </c>
      <c r="I1133">
        <v>9</v>
      </c>
      <c r="J1133" t="s">
        <v>42</v>
      </c>
      <c r="K1133" t="s">
        <v>36</v>
      </c>
      <c r="L1133">
        <v>58</v>
      </c>
      <c r="M1133">
        <v>8.1999999999999993</v>
      </c>
      <c r="N1133">
        <v>5.7</v>
      </c>
      <c r="O1133">
        <v>6.7</v>
      </c>
      <c r="P1133">
        <v>4.7</v>
      </c>
      <c r="Q1133" t="s">
        <v>35</v>
      </c>
      <c r="R1133" t="s">
        <v>35</v>
      </c>
      <c r="S1133">
        <v>2.5</v>
      </c>
      <c r="T1133">
        <v>6.4</v>
      </c>
      <c r="U1133">
        <v>3.7</v>
      </c>
      <c r="V1133">
        <v>5.9</v>
      </c>
      <c r="W1133">
        <v>4.0999999999999996</v>
      </c>
      <c r="X1133">
        <v>7.3</v>
      </c>
      <c r="Y1133">
        <v>5</v>
      </c>
      <c r="Z1133">
        <v>6.5</v>
      </c>
      <c r="AA1133">
        <v>1.4</v>
      </c>
      <c r="AB1133">
        <v>4.8</v>
      </c>
      <c r="AC1133">
        <v>4.3</v>
      </c>
      <c r="AD1133" t="s">
        <v>43</v>
      </c>
      <c r="AE1133" t="str">
        <f>IF(AND(data[[#This Row],[Age]]&gt;=18,data[[#This Row],[Age]]&lt;=24),"18-24",IF(AND(data[[#This Row],[Age]]&gt;=25,data[[#This Row],[Age]]&lt;=34),"25-34",IF(AND(data[[#This Row],[Age]]&gt;35,data[[#This Row],[Age]]&lt;=44),"35-44",IF(data[[#This Row],[Age]]&gt;44,"45+",IF(data[[#This Row],[Age]]&lt;18,"below 18 ")))))</f>
        <v>35-44</v>
      </c>
    </row>
    <row r="1134" spans="1:31" x14ac:dyDescent="0.25">
      <c r="A1134" t="s">
        <v>1187</v>
      </c>
      <c r="B1134">
        <v>43</v>
      </c>
      <c r="C1134" t="s">
        <v>31</v>
      </c>
      <c r="D1134" t="s">
        <v>39</v>
      </c>
      <c r="E1134" t="s">
        <v>58</v>
      </c>
      <c r="F1134" t="s">
        <v>51</v>
      </c>
      <c r="G1134">
        <v>1.9</v>
      </c>
      <c r="H1134">
        <v>4</v>
      </c>
      <c r="I1134">
        <v>4</v>
      </c>
      <c r="J1134" t="s">
        <v>42</v>
      </c>
      <c r="K1134" t="s">
        <v>52</v>
      </c>
      <c r="L1134">
        <v>5</v>
      </c>
      <c r="M1134">
        <v>0.8</v>
      </c>
      <c r="N1134">
        <v>10</v>
      </c>
      <c r="O1134">
        <v>5.2</v>
      </c>
      <c r="P1134">
        <v>9.1999999999999993</v>
      </c>
      <c r="Q1134" t="s">
        <v>42</v>
      </c>
      <c r="R1134" t="s">
        <v>35</v>
      </c>
      <c r="S1134">
        <v>3.9</v>
      </c>
      <c r="T1134">
        <v>3.8</v>
      </c>
      <c r="U1134">
        <v>8.8000000000000007</v>
      </c>
      <c r="V1134">
        <v>3.5</v>
      </c>
      <c r="W1134">
        <v>3.7</v>
      </c>
      <c r="X1134">
        <v>8.5</v>
      </c>
      <c r="Y1134">
        <v>3.6</v>
      </c>
      <c r="Z1134">
        <v>2.8</v>
      </c>
      <c r="AA1134">
        <v>5.3</v>
      </c>
      <c r="AB1134">
        <v>2.2000000000000002</v>
      </c>
      <c r="AC1134">
        <v>5.7</v>
      </c>
      <c r="AD1134" t="s">
        <v>45</v>
      </c>
      <c r="AE1134" t="str">
        <f>IF(AND(data[[#This Row],[Age]]&gt;=18,data[[#This Row],[Age]]&lt;=24),"18-24",IF(AND(data[[#This Row],[Age]]&gt;=25,data[[#This Row],[Age]]&lt;=34),"25-34",IF(AND(data[[#This Row],[Age]]&gt;35,data[[#This Row],[Age]]&lt;=44),"35-44",IF(data[[#This Row],[Age]]&gt;44,"45+",IF(data[[#This Row],[Age]]&lt;18,"below 18 ")))))</f>
        <v>35-44</v>
      </c>
    </row>
    <row r="1135" spans="1:31" x14ac:dyDescent="0.25">
      <c r="A1135" t="s">
        <v>1188</v>
      </c>
      <c r="B1135">
        <v>19</v>
      </c>
      <c r="C1135" t="s">
        <v>31</v>
      </c>
      <c r="D1135" t="s">
        <v>57</v>
      </c>
      <c r="E1135" t="s">
        <v>58</v>
      </c>
      <c r="F1135" t="s">
        <v>41</v>
      </c>
      <c r="G1135">
        <v>3.9</v>
      </c>
      <c r="H1135">
        <v>4</v>
      </c>
      <c r="I1135">
        <v>2</v>
      </c>
      <c r="J1135" t="s">
        <v>35</v>
      </c>
      <c r="K1135" t="s">
        <v>52</v>
      </c>
      <c r="L1135">
        <v>37</v>
      </c>
      <c r="M1135">
        <v>7.4</v>
      </c>
      <c r="N1135">
        <v>6.5</v>
      </c>
      <c r="O1135">
        <v>2.2999999999999998</v>
      </c>
      <c r="P1135">
        <v>3.5</v>
      </c>
      <c r="Q1135" t="s">
        <v>35</v>
      </c>
      <c r="R1135" t="s">
        <v>42</v>
      </c>
      <c r="S1135">
        <v>6.5</v>
      </c>
      <c r="T1135">
        <v>3.5</v>
      </c>
      <c r="U1135">
        <v>2.7</v>
      </c>
      <c r="V1135">
        <v>4.8</v>
      </c>
      <c r="W1135">
        <v>9.6</v>
      </c>
      <c r="X1135">
        <v>5.4</v>
      </c>
      <c r="Y1135">
        <v>2.5</v>
      </c>
      <c r="Z1135">
        <v>7.1</v>
      </c>
      <c r="AA1135">
        <v>3.9</v>
      </c>
      <c r="AB1135">
        <v>2.1</v>
      </c>
      <c r="AC1135">
        <v>6.8</v>
      </c>
      <c r="AD1135" t="s">
        <v>37</v>
      </c>
      <c r="AE1135" t="str">
        <f>IF(AND(data[[#This Row],[Age]]&gt;=18,data[[#This Row],[Age]]&lt;=24),"18-24",IF(AND(data[[#This Row],[Age]]&gt;=25,data[[#This Row],[Age]]&lt;=34),"25-34",IF(AND(data[[#This Row],[Age]]&gt;35,data[[#This Row],[Age]]&lt;=44),"35-44",IF(data[[#This Row],[Age]]&gt;44,"45+",IF(data[[#This Row],[Age]]&lt;18,"below 18 ")))))</f>
        <v>18-24</v>
      </c>
    </row>
    <row r="1136" spans="1:31" x14ac:dyDescent="0.25">
      <c r="A1136" t="s">
        <v>1189</v>
      </c>
      <c r="B1136">
        <v>40</v>
      </c>
      <c r="C1136" t="s">
        <v>31</v>
      </c>
      <c r="D1136" t="s">
        <v>57</v>
      </c>
      <c r="E1136" t="s">
        <v>58</v>
      </c>
      <c r="F1136" t="s">
        <v>48</v>
      </c>
      <c r="G1136">
        <v>8.3000000000000007</v>
      </c>
      <c r="H1136">
        <v>4</v>
      </c>
      <c r="I1136">
        <v>6</v>
      </c>
      <c r="J1136" t="s">
        <v>42</v>
      </c>
      <c r="K1136" t="s">
        <v>62</v>
      </c>
      <c r="L1136">
        <v>62</v>
      </c>
      <c r="M1136">
        <v>6.7</v>
      </c>
      <c r="N1136">
        <v>5</v>
      </c>
      <c r="O1136">
        <v>2.7</v>
      </c>
      <c r="P1136">
        <v>3.3</v>
      </c>
      <c r="Q1136" t="s">
        <v>35</v>
      </c>
      <c r="R1136" t="s">
        <v>42</v>
      </c>
      <c r="S1136">
        <v>4.0999999999999996</v>
      </c>
      <c r="T1136">
        <v>4.0999999999999996</v>
      </c>
      <c r="U1136">
        <v>3.7</v>
      </c>
      <c r="V1136">
        <v>4.5</v>
      </c>
      <c r="W1136">
        <v>5.6</v>
      </c>
      <c r="X1136">
        <v>6.8</v>
      </c>
      <c r="Y1136">
        <v>4.9000000000000004</v>
      </c>
      <c r="Z1136">
        <v>5.8</v>
      </c>
      <c r="AA1136">
        <v>2.7</v>
      </c>
      <c r="AB1136">
        <v>4.3</v>
      </c>
      <c r="AC1136">
        <v>7.2</v>
      </c>
      <c r="AD1136" t="s">
        <v>53</v>
      </c>
      <c r="AE1136" t="str">
        <f>IF(AND(data[[#This Row],[Age]]&gt;=18,data[[#This Row],[Age]]&lt;=24),"18-24",IF(AND(data[[#This Row],[Age]]&gt;=25,data[[#This Row],[Age]]&lt;=34),"25-34",IF(AND(data[[#This Row],[Age]]&gt;35,data[[#This Row],[Age]]&lt;=44),"35-44",IF(data[[#This Row],[Age]]&gt;44,"45+",IF(data[[#This Row],[Age]]&lt;18,"below 18 ")))))</f>
        <v>35-44</v>
      </c>
    </row>
    <row r="1137" spans="1:31" x14ac:dyDescent="0.25">
      <c r="A1137" t="s">
        <v>1190</v>
      </c>
      <c r="B1137">
        <v>30</v>
      </c>
      <c r="C1137" t="s">
        <v>47</v>
      </c>
      <c r="D1137" t="s">
        <v>39</v>
      </c>
      <c r="E1137" t="s">
        <v>58</v>
      </c>
      <c r="F1137" t="s">
        <v>41</v>
      </c>
      <c r="G1137">
        <v>2.5</v>
      </c>
      <c r="H1137">
        <v>5</v>
      </c>
      <c r="I1137">
        <v>3</v>
      </c>
      <c r="J1137" t="s">
        <v>35</v>
      </c>
      <c r="K1137" t="s">
        <v>52</v>
      </c>
      <c r="L1137">
        <v>63</v>
      </c>
      <c r="M1137">
        <v>1.5</v>
      </c>
      <c r="N1137">
        <v>3.8</v>
      </c>
      <c r="O1137">
        <v>2.8</v>
      </c>
      <c r="P1137">
        <v>5.6</v>
      </c>
      <c r="Q1137" t="s">
        <v>42</v>
      </c>
      <c r="R1137" t="s">
        <v>35</v>
      </c>
      <c r="S1137">
        <v>3.1</v>
      </c>
      <c r="T1137">
        <v>5.8</v>
      </c>
      <c r="U1137">
        <v>1.3</v>
      </c>
      <c r="W1137">
        <v>4.5</v>
      </c>
      <c r="X1137">
        <v>5.5</v>
      </c>
      <c r="Y1137">
        <v>5.8</v>
      </c>
      <c r="Z1137">
        <v>3.4</v>
      </c>
      <c r="AA1137">
        <v>5</v>
      </c>
      <c r="AB1137">
        <v>3.1</v>
      </c>
      <c r="AC1137">
        <v>7.7</v>
      </c>
      <c r="AD1137" t="s">
        <v>37</v>
      </c>
      <c r="AE1137" t="str">
        <f>IF(AND(data[[#This Row],[Age]]&gt;=18,data[[#This Row],[Age]]&lt;=24),"18-24",IF(AND(data[[#This Row],[Age]]&gt;=25,data[[#This Row],[Age]]&lt;=34),"25-34",IF(AND(data[[#This Row],[Age]]&gt;35,data[[#This Row],[Age]]&lt;=44),"35-44",IF(data[[#This Row],[Age]]&gt;44,"45+",IF(data[[#This Row],[Age]]&lt;18,"below 18 ")))))</f>
        <v>25-34</v>
      </c>
    </row>
    <row r="1138" spans="1:31" x14ac:dyDescent="0.25">
      <c r="A1138" t="s">
        <v>1191</v>
      </c>
      <c r="B1138">
        <v>35</v>
      </c>
      <c r="C1138" t="s">
        <v>47</v>
      </c>
      <c r="D1138" t="s">
        <v>64</v>
      </c>
      <c r="E1138" t="s">
        <v>58</v>
      </c>
      <c r="F1138" t="s">
        <v>51</v>
      </c>
      <c r="G1138">
        <v>5.8</v>
      </c>
      <c r="H1138">
        <v>6</v>
      </c>
      <c r="I1138">
        <v>7</v>
      </c>
      <c r="J1138" t="s">
        <v>42</v>
      </c>
      <c r="K1138" t="s">
        <v>52</v>
      </c>
      <c r="L1138">
        <v>31</v>
      </c>
      <c r="M1138">
        <v>3.7</v>
      </c>
      <c r="N1138">
        <v>3.3</v>
      </c>
      <c r="O1138">
        <v>9.4</v>
      </c>
      <c r="P1138">
        <v>3.1</v>
      </c>
      <c r="Q1138" t="s">
        <v>35</v>
      </c>
      <c r="R1138" t="s">
        <v>35</v>
      </c>
      <c r="S1138">
        <v>6</v>
      </c>
      <c r="T1138">
        <v>6.1</v>
      </c>
      <c r="U1138">
        <v>1.1000000000000001</v>
      </c>
      <c r="V1138">
        <v>7.6</v>
      </c>
      <c r="W1138">
        <v>3.4</v>
      </c>
      <c r="X1138">
        <v>6.9</v>
      </c>
      <c r="Y1138">
        <v>2.2000000000000002</v>
      </c>
      <c r="Z1138">
        <v>6.4</v>
      </c>
      <c r="AA1138">
        <v>3.7</v>
      </c>
      <c r="AB1138">
        <v>3.6</v>
      </c>
      <c r="AC1138">
        <v>7.1</v>
      </c>
      <c r="AD1138" t="s">
        <v>37</v>
      </c>
      <c r="AE1138" t="b">
        <f>IF(AND(data[[#This Row],[Age]]&gt;=18,data[[#This Row],[Age]]&lt;=24),"18-24",IF(AND(data[[#This Row],[Age]]&gt;=25,data[[#This Row],[Age]]&lt;=34),"25-34",IF(AND(data[[#This Row],[Age]]&gt;35,data[[#This Row],[Age]]&lt;=44),"35-44",IF(data[[#This Row],[Age]]&gt;44,"45+",IF(data[[#This Row],[Age]]&lt;18,"below 18 ")))))</f>
        <v>0</v>
      </c>
    </row>
    <row r="1139" spans="1:31" x14ac:dyDescent="0.25">
      <c r="A1139" t="s">
        <v>1192</v>
      </c>
      <c r="B1139">
        <v>32</v>
      </c>
      <c r="C1139" t="s">
        <v>47</v>
      </c>
      <c r="D1139" t="s">
        <v>64</v>
      </c>
      <c r="E1139" t="s">
        <v>33</v>
      </c>
      <c r="F1139" t="s">
        <v>51</v>
      </c>
      <c r="G1139">
        <v>8.9</v>
      </c>
      <c r="H1139">
        <v>4</v>
      </c>
      <c r="I1139">
        <v>4</v>
      </c>
      <c r="J1139" t="s">
        <v>35</v>
      </c>
      <c r="K1139" t="s">
        <v>36</v>
      </c>
      <c r="L1139">
        <v>65</v>
      </c>
      <c r="M1139">
        <v>5.9</v>
      </c>
      <c r="N1139">
        <v>4.3</v>
      </c>
      <c r="O1139">
        <v>5.6</v>
      </c>
      <c r="P1139">
        <v>10</v>
      </c>
      <c r="Q1139" t="s">
        <v>35</v>
      </c>
      <c r="R1139" t="s">
        <v>42</v>
      </c>
      <c r="S1139">
        <v>5.2</v>
      </c>
      <c r="T1139">
        <v>5.7</v>
      </c>
      <c r="U1139">
        <v>1</v>
      </c>
      <c r="V1139">
        <v>4.9000000000000004</v>
      </c>
      <c r="W1139">
        <v>7.4</v>
      </c>
      <c r="X1139">
        <v>7.6</v>
      </c>
      <c r="Y1139">
        <v>4.4000000000000004</v>
      </c>
      <c r="Z1139">
        <v>4.7</v>
      </c>
      <c r="AA1139">
        <v>4.0999999999999996</v>
      </c>
      <c r="AB1139">
        <v>3.6</v>
      </c>
      <c r="AC1139">
        <v>5.6</v>
      </c>
      <c r="AD1139" t="s">
        <v>45</v>
      </c>
      <c r="AE1139" t="str">
        <f>IF(AND(data[[#This Row],[Age]]&gt;=18,data[[#This Row],[Age]]&lt;=24),"18-24",IF(AND(data[[#This Row],[Age]]&gt;=25,data[[#This Row],[Age]]&lt;=34),"25-34",IF(AND(data[[#This Row],[Age]]&gt;35,data[[#This Row],[Age]]&lt;=44),"35-44",IF(data[[#This Row],[Age]]&gt;44,"45+",IF(data[[#This Row],[Age]]&lt;18,"below 18 ")))))</f>
        <v>25-34</v>
      </c>
    </row>
    <row r="1140" spans="1:31" x14ac:dyDescent="0.25">
      <c r="A1140" t="s">
        <v>1193</v>
      </c>
      <c r="B1140">
        <v>22</v>
      </c>
      <c r="C1140" t="s">
        <v>31</v>
      </c>
      <c r="D1140" t="s">
        <v>39</v>
      </c>
      <c r="E1140" t="s">
        <v>58</v>
      </c>
      <c r="F1140" t="s">
        <v>41</v>
      </c>
      <c r="G1140">
        <v>8</v>
      </c>
      <c r="H1140">
        <v>8</v>
      </c>
      <c r="I1140">
        <v>2</v>
      </c>
      <c r="J1140" t="s">
        <v>35</v>
      </c>
      <c r="K1140" t="s">
        <v>52</v>
      </c>
      <c r="L1140">
        <v>8</v>
      </c>
      <c r="M1140">
        <v>5.4</v>
      </c>
      <c r="N1140">
        <v>6.8</v>
      </c>
      <c r="O1140">
        <v>5.7</v>
      </c>
      <c r="P1140">
        <v>4.7</v>
      </c>
      <c r="Q1140" t="s">
        <v>35</v>
      </c>
      <c r="R1140" t="s">
        <v>35</v>
      </c>
      <c r="S1140">
        <v>3.9</v>
      </c>
      <c r="T1140">
        <v>6.5</v>
      </c>
      <c r="U1140">
        <v>2.2000000000000002</v>
      </c>
      <c r="V1140">
        <v>4.2</v>
      </c>
      <c r="W1140">
        <v>4.5999999999999996</v>
      </c>
      <c r="X1140">
        <v>8.6999999999999993</v>
      </c>
      <c r="Y1140">
        <v>1.4</v>
      </c>
      <c r="Z1140">
        <v>4.8</v>
      </c>
      <c r="AA1140">
        <v>1.1000000000000001</v>
      </c>
      <c r="AB1140">
        <v>5.9</v>
      </c>
      <c r="AC1140">
        <v>7</v>
      </c>
      <c r="AD1140" t="s">
        <v>53</v>
      </c>
      <c r="AE1140" t="str">
        <f>IF(AND(data[[#This Row],[Age]]&gt;=18,data[[#This Row],[Age]]&lt;=24),"18-24",IF(AND(data[[#This Row],[Age]]&gt;=25,data[[#This Row],[Age]]&lt;=34),"25-34",IF(AND(data[[#This Row],[Age]]&gt;35,data[[#This Row],[Age]]&lt;=44),"35-44",IF(data[[#This Row],[Age]]&gt;44,"45+",IF(data[[#This Row],[Age]]&lt;18,"below 18 ")))))</f>
        <v>18-24</v>
      </c>
    </row>
    <row r="1141" spans="1:31" x14ac:dyDescent="0.25">
      <c r="A1141" t="s">
        <v>1194</v>
      </c>
      <c r="B1141">
        <v>37</v>
      </c>
      <c r="C1141" t="s">
        <v>47</v>
      </c>
      <c r="D1141" t="s">
        <v>39</v>
      </c>
      <c r="E1141" t="s">
        <v>33</v>
      </c>
      <c r="F1141" t="s">
        <v>70</v>
      </c>
      <c r="G1141">
        <v>6.3</v>
      </c>
      <c r="H1141">
        <v>3</v>
      </c>
      <c r="I1141">
        <v>2</v>
      </c>
      <c r="J1141" t="s">
        <v>42</v>
      </c>
      <c r="K1141" t="s">
        <v>52</v>
      </c>
      <c r="L1141">
        <v>25</v>
      </c>
      <c r="M1141">
        <v>5.2</v>
      </c>
      <c r="N1141">
        <v>3.8</v>
      </c>
      <c r="O1141">
        <v>5.3</v>
      </c>
      <c r="P1141">
        <v>3.2</v>
      </c>
      <c r="Q1141" t="s">
        <v>35</v>
      </c>
      <c r="R1141" t="s">
        <v>35</v>
      </c>
      <c r="S1141">
        <v>5.9</v>
      </c>
      <c r="T1141">
        <v>9.3000000000000007</v>
      </c>
      <c r="U1141">
        <v>4.4000000000000004</v>
      </c>
      <c r="V1141">
        <v>7.2</v>
      </c>
      <c r="W1141">
        <v>7.6</v>
      </c>
      <c r="X1141">
        <v>7.1</v>
      </c>
      <c r="Y1141">
        <v>4.9000000000000004</v>
      </c>
      <c r="Z1141">
        <v>0</v>
      </c>
      <c r="AA1141">
        <v>1.5</v>
      </c>
      <c r="AB1141">
        <v>3.6</v>
      </c>
      <c r="AC1141">
        <v>7.1</v>
      </c>
      <c r="AD1141" t="s">
        <v>37</v>
      </c>
      <c r="AE1141" t="str">
        <f>IF(AND(data[[#This Row],[Age]]&gt;=18,data[[#This Row],[Age]]&lt;=24),"18-24",IF(AND(data[[#This Row],[Age]]&gt;=25,data[[#This Row],[Age]]&lt;=34),"25-34",IF(AND(data[[#This Row],[Age]]&gt;35,data[[#This Row],[Age]]&lt;=44),"35-44",IF(data[[#This Row],[Age]]&gt;44,"45+",IF(data[[#This Row],[Age]]&lt;18,"below 18 ")))))</f>
        <v>35-44</v>
      </c>
    </row>
    <row r="1142" spans="1:31" x14ac:dyDescent="0.25">
      <c r="A1142" t="s">
        <v>1195</v>
      </c>
      <c r="B1142">
        <v>33</v>
      </c>
      <c r="C1142" t="s">
        <v>50</v>
      </c>
      <c r="D1142" t="s">
        <v>39</v>
      </c>
      <c r="E1142" t="s">
        <v>58</v>
      </c>
      <c r="F1142" t="s">
        <v>51</v>
      </c>
      <c r="G1142">
        <v>3</v>
      </c>
      <c r="H1142">
        <v>7</v>
      </c>
      <c r="I1142">
        <v>6</v>
      </c>
      <c r="J1142" t="s">
        <v>35</v>
      </c>
      <c r="K1142" t="s">
        <v>36</v>
      </c>
      <c r="L1142">
        <v>26</v>
      </c>
      <c r="M1142">
        <v>7.2</v>
      </c>
      <c r="N1142">
        <v>3.5</v>
      </c>
      <c r="O1142">
        <v>8</v>
      </c>
      <c r="P1142">
        <v>6.8</v>
      </c>
      <c r="Q1142" t="s">
        <v>35</v>
      </c>
      <c r="R1142" t="s">
        <v>35</v>
      </c>
      <c r="S1142">
        <v>3</v>
      </c>
      <c r="T1142">
        <v>1.1000000000000001</v>
      </c>
      <c r="U1142">
        <v>5.7</v>
      </c>
      <c r="V1142">
        <v>4.8</v>
      </c>
      <c r="W1142">
        <v>8.1</v>
      </c>
      <c r="X1142">
        <v>8.3000000000000007</v>
      </c>
      <c r="Y1142">
        <v>6.5</v>
      </c>
      <c r="Z1142">
        <v>5</v>
      </c>
      <c r="AA1142">
        <v>2.5</v>
      </c>
      <c r="AB1142">
        <v>5.3</v>
      </c>
      <c r="AC1142">
        <v>5.2</v>
      </c>
      <c r="AD1142" t="s">
        <v>45</v>
      </c>
      <c r="AE1142" t="str">
        <f>IF(AND(data[[#This Row],[Age]]&gt;=18,data[[#This Row],[Age]]&lt;=24),"18-24",IF(AND(data[[#This Row],[Age]]&gt;=25,data[[#This Row],[Age]]&lt;=34),"25-34",IF(AND(data[[#This Row],[Age]]&gt;35,data[[#This Row],[Age]]&lt;=44),"35-44",IF(data[[#This Row],[Age]]&gt;44,"45+",IF(data[[#This Row],[Age]]&lt;18,"below 18 ")))))</f>
        <v>25-34</v>
      </c>
    </row>
    <row r="1143" spans="1:31" x14ac:dyDescent="0.25">
      <c r="A1143" t="s">
        <v>1196</v>
      </c>
      <c r="B1143">
        <v>38</v>
      </c>
      <c r="C1143" t="s">
        <v>31</v>
      </c>
      <c r="D1143" t="s">
        <v>39</v>
      </c>
      <c r="E1143" t="s">
        <v>33</v>
      </c>
      <c r="F1143" t="s">
        <v>41</v>
      </c>
      <c r="G1143">
        <v>8.6</v>
      </c>
      <c r="H1143">
        <v>4</v>
      </c>
      <c r="I1143">
        <v>4</v>
      </c>
      <c r="J1143" t="s">
        <v>42</v>
      </c>
      <c r="K1143" t="s">
        <v>62</v>
      </c>
      <c r="L1143">
        <v>16</v>
      </c>
      <c r="M1143">
        <v>1.9</v>
      </c>
      <c r="N1143">
        <v>6</v>
      </c>
      <c r="O1143">
        <v>7.6</v>
      </c>
      <c r="P1143">
        <v>3.7</v>
      </c>
      <c r="Q1143" t="s">
        <v>42</v>
      </c>
      <c r="R1143" t="s">
        <v>42</v>
      </c>
      <c r="S1143">
        <v>0</v>
      </c>
      <c r="T1143">
        <v>1.9</v>
      </c>
      <c r="U1143">
        <v>8.6999999999999993</v>
      </c>
      <c r="V1143">
        <v>3.1</v>
      </c>
      <c r="W1143">
        <v>7</v>
      </c>
      <c r="X1143">
        <v>7.8</v>
      </c>
      <c r="Y1143">
        <v>3.5</v>
      </c>
      <c r="Z1143">
        <v>5.4</v>
      </c>
      <c r="AA1143">
        <v>4.8</v>
      </c>
      <c r="AB1143">
        <v>1.9</v>
      </c>
      <c r="AC1143">
        <v>6.7</v>
      </c>
      <c r="AD1143" t="s">
        <v>53</v>
      </c>
      <c r="AE1143" t="str">
        <f>IF(AND(data[[#This Row],[Age]]&gt;=18,data[[#This Row],[Age]]&lt;=24),"18-24",IF(AND(data[[#This Row],[Age]]&gt;=25,data[[#This Row],[Age]]&lt;=34),"25-34",IF(AND(data[[#This Row],[Age]]&gt;35,data[[#This Row],[Age]]&lt;=44),"35-44",IF(data[[#This Row],[Age]]&gt;44,"45+",IF(data[[#This Row],[Age]]&lt;18,"below 18 ")))))</f>
        <v>35-44</v>
      </c>
    </row>
    <row r="1144" spans="1:31" x14ac:dyDescent="0.25">
      <c r="A1144" t="s">
        <v>1197</v>
      </c>
      <c r="B1144">
        <v>29</v>
      </c>
      <c r="C1144" t="s">
        <v>31</v>
      </c>
      <c r="D1144" t="s">
        <v>32</v>
      </c>
      <c r="E1144" t="s">
        <v>40</v>
      </c>
      <c r="F1144" t="s">
        <v>41</v>
      </c>
      <c r="H1144">
        <v>6</v>
      </c>
      <c r="I1144">
        <v>6</v>
      </c>
      <c r="J1144" t="s">
        <v>35</v>
      </c>
      <c r="K1144" t="s">
        <v>62</v>
      </c>
      <c r="L1144">
        <v>90</v>
      </c>
      <c r="N1144">
        <v>3.5</v>
      </c>
      <c r="O1144">
        <v>6.9</v>
      </c>
      <c r="P1144">
        <v>3.9</v>
      </c>
      <c r="Q1144" t="s">
        <v>35</v>
      </c>
      <c r="R1144" t="s">
        <v>35</v>
      </c>
      <c r="S1144">
        <v>9.8000000000000007</v>
      </c>
      <c r="T1144">
        <v>2.8</v>
      </c>
      <c r="U1144">
        <v>3.5</v>
      </c>
      <c r="V1144">
        <v>6.4</v>
      </c>
      <c r="W1144">
        <v>5.3</v>
      </c>
      <c r="X1144">
        <v>5.6</v>
      </c>
      <c r="Y1144">
        <v>6.5</v>
      </c>
      <c r="Z1144">
        <v>4.4000000000000004</v>
      </c>
      <c r="AB1144">
        <v>1.3</v>
      </c>
      <c r="AC1144">
        <v>8</v>
      </c>
      <c r="AD1144" t="s">
        <v>37</v>
      </c>
      <c r="AE1144" t="str">
        <f>IF(AND(data[[#This Row],[Age]]&gt;=18,data[[#This Row],[Age]]&lt;=24),"18-24",IF(AND(data[[#This Row],[Age]]&gt;=25,data[[#This Row],[Age]]&lt;=34),"25-34",IF(AND(data[[#This Row],[Age]]&gt;35,data[[#This Row],[Age]]&lt;=44),"35-44",IF(data[[#This Row],[Age]]&gt;44,"45+",IF(data[[#This Row],[Age]]&lt;18,"below 18 ")))))</f>
        <v>25-34</v>
      </c>
    </row>
    <row r="1145" spans="1:31" x14ac:dyDescent="0.25">
      <c r="A1145" t="s">
        <v>1198</v>
      </c>
      <c r="B1145">
        <v>31</v>
      </c>
      <c r="C1145" t="s">
        <v>31</v>
      </c>
      <c r="D1145" t="s">
        <v>32</v>
      </c>
      <c r="E1145" t="s">
        <v>58</v>
      </c>
      <c r="F1145" t="s">
        <v>59</v>
      </c>
      <c r="G1145">
        <v>4.7</v>
      </c>
      <c r="H1145">
        <v>2</v>
      </c>
      <c r="I1145">
        <v>5</v>
      </c>
      <c r="J1145" t="s">
        <v>42</v>
      </c>
      <c r="K1145" t="s">
        <v>62</v>
      </c>
      <c r="L1145">
        <v>51</v>
      </c>
      <c r="M1145">
        <v>0.6</v>
      </c>
      <c r="N1145">
        <v>6</v>
      </c>
      <c r="O1145">
        <v>2.6</v>
      </c>
      <c r="P1145">
        <v>4.8</v>
      </c>
      <c r="Q1145" t="s">
        <v>35</v>
      </c>
      <c r="R1145" t="s">
        <v>42</v>
      </c>
      <c r="S1145">
        <v>6.6</v>
      </c>
      <c r="T1145">
        <v>5.7</v>
      </c>
      <c r="U1145">
        <v>5.0999999999999996</v>
      </c>
      <c r="V1145">
        <v>2.1</v>
      </c>
      <c r="W1145">
        <v>5.4</v>
      </c>
      <c r="X1145">
        <v>4.9000000000000004</v>
      </c>
      <c r="Z1145">
        <v>1.6</v>
      </c>
      <c r="AA1145">
        <v>0.9</v>
      </c>
      <c r="AB1145">
        <v>4.4000000000000004</v>
      </c>
      <c r="AC1145">
        <v>7.4</v>
      </c>
      <c r="AD1145" t="s">
        <v>37</v>
      </c>
      <c r="AE1145" t="str">
        <f>IF(AND(data[[#This Row],[Age]]&gt;=18,data[[#This Row],[Age]]&lt;=24),"18-24",IF(AND(data[[#This Row],[Age]]&gt;=25,data[[#This Row],[Age]]&lt;=34),"25-34",IF(AND(data[[#This Row],[Age]]&gt;35,data[[#This Row],[Age]]&lt;=44),"35-44",IF(data[[#This Row],[Age]]&gt;44,"45+",IF(data[[#This Row],[Age]]&lt;18,"below 18 ")))))</f>
        <v>25-34</v>
      </c>
    </row>
    <row r="1146" spans="1:31" x14ac:dyDescent="0.25">
      <c r="A1146" t="s">
        <v>1199</v>
      </c>
      <c r="B1146">
        <v>32</v>
      </c>
      <c r="C1146" t="s">
        <v>47</v>
      </c>
      <c r="D1146" t="s">
        <v>32</v>
      </c>
      <c r="E1146" t="s">
        <v>58</v>
      </c>
      <c r="F1146" t="s">
        <v>51</v>
      </c>
      <c r="G1146">
        <v>2.2000000000000002</v>
      </c>
      <c r="H1146">
        <v>2</v>
      </c>
      <c r="I1146">
        <v>3</v>
      </c>
      <c r="J1146" t="s">
        <v>42</v>
      </c>
      <c r="K1146" t="s">
        <v>52</v>
      </c>
      <c r="L1146">
        <v>85</v>
      </c>
      <c r="M1146">
        <v>4.5</v>
      </c>
      <c r="N1146">
        <v>3.9</v>
      </c>
      <c r="O1146">
        <v>2.5</v>
      </c>
      <c r="P1146">
        <v>4.3</v>
      </c>
      <c r="Q1146" t="s">
        <v>42</v>
      </c>
      <c r="R1146" t="s">
        <v>42</v>
      </c>
      <c r="S1146">
        <v>6.3</v>
      </c>
      <c r="T1146">
        <v>2.7</v>
      </c>
      <c r="U1146">
        <v>1.9</v>
      </c>
      <c r="V1146">
        <v>5.0999999999999996</v>
      </c>
      <c r="W1146">
        <v>6.4</v>
      </c>
      <c r="X1146">
        <v>7.8</v>
      </c>
      <c r="Y1146">
        <v>3.5</v>
      </c>
      <c r="Z1146">
        <v>6.6</v>
      </c>
      <c r="AA1146">
        <v>2</v>
      </c>
      <c r="AB1146">
        <v>3.7</v>
      </c>
      <c r="AC1146">
        <v>6.8</v>
      </c>
      <c r="AD1146" t="s">
        <v>53</v>
      </c>
      <c r="AE1146" t="str">
        <f>IF(AND(data[[#This Row],[Age]]&gt;=18,data[[#This Row],[Age]]&lt;=24),"18-24",IF(AND(data[[#This Row],[Age]]&gt;=25,data[[#This Row],[Age]]&lt;=34),"25-34",IF(AND(data[[#This Row],[Age]]&gt;35,data[[#This Row],[Age]]&lt;=44),"35-44",IF(data[[#This Row],[Age]]&gt;44,"45+",IF(data[[#This Row],[Age]]&lt;18,"below 18 ")))))</f>
        <v>25-34</v>
      </c>
    </row>
    <row r="1147" spans="1:31" x14ac:dyDescent="0.25">
      <c r="A1147" t="s">
        <v>1200</v>
      </c>
      <c r="B1147">
        <v>22</v>
      </c>
      <c r="C1147" t="s">
        <v>31</v>
      </c>
      <c r="E1147" t="s">
        <v>33</v>
      </c>
      <c r="F1147" t="s">
        <v>51</v>
      </c>
      <c r="G1147">
        <v>0.5</v>
      </c>
      <c r="H1147">
        <v>5</v>
      </c>
      <c r="I1147">
        <v>7</v>
      </c>
      <c r="J1147" t="s">
        <v>42</v>
      </c>
      <c r="K1147" t="s">
        <v>52</v>
      </c>
      <c r="L1147">
        <v>106</v>
      </c>
      <c r="M1147">
        <v>7.9</v>
      </c>
      <c r="N1147">
        <v>1.6</v>
      </c>
      <c r="O1147">
        <v>4.4000000000000004</v>
      </c>
      <c r="P1147">
        <v>6.6</v>
      </c>
      <c r="Q1147" t="s">
        <v>35</v>
      </c>
      <c r="R1147" t="s">
        <v>35</v>
      </c>
      <c r="S1147">
        <v>6.6</v>
      </c>
      <c r="T1147">
        <v>6.9</v>
      </c>
      <c r="U1147">
        <v>4.5</v>
      </c>
      <c r="W1147">
        <v>7.4</v>
      </c>
      <c r="X1147">
        <v>7.7</v>
      </c>
      <c r="Y1147">
        <v>6.1</v>
      </c>
      <c r="Z1147">
        <v>7.2</v>
      </c>
      <c r="AA1147">
        <v>5.5</v>
      </c>
      <c r="AC1147">
        <v>7.2</v>
      </c>
      <c r="AD1147" t="s">
        <v>53</v>
      </c>
      <c r="AE1147" t="str">
        <f>IF(AND(data[[#This Row],[Age]]&gt;=18,data[[#This Row],[Age]]&lt;=24),"18-24",IF(AND(data[[#This Row],[Age]]&gt;=25,data[[#This Row],[Age]]&lt;=34),"25-34",IF(AND(data[[#This Row],[Age]]&gt;35,data[[#This Row],[Age]]&lt;=44),"35-44",IF(data[[#This Row],[Age]]&gt;44,"45+",IF(data[[#This Row],[Age]]&lt;18,"below 18 ")))))</f>
        <v>18-24</v>
      </c>
    </row>
    <row r="1148" spans="1:31" x14ac:dyDescent="0.25">
      <c r="A1148" t="s">
        <v>1201</v>
      </c>
      <c r="B1148">
        <v>44</v>
      </c>
      <c r="C1148" t="s">
        <v>50</v>
      </c>
      <c r="D1148" t="s">
        <v>32</v>
      </c>
      <c r="E1148" t="s">
        <v>40</v>
      </c>
      <c r="F1148" t="s">
        <v>34</v>
      </c>
      <c r="G1148">
        <v>5.4</v>
      </c>
      <c r="H1148">
        <v>1</v>
      </c>
      <c r="I1148">
        <v>2</v>
      </c>
      <c r="J1148" t="s">
        <v>42</v>
      </c>
      <c r="K1148" t="s">
        <v>36</v>
      </c>
      <c r="L1148">
        <v>98</v>
      </c>
      <c r="M1148">
        <v>4.2</v>
      </c>
      <c r="N1148">
        <v>6.1</v>
      </c>
      <c r="O1148">
        <v>4.5999999999999996</v>
      </c>
      <c r="P1148">
        <v>3.7</v>
      </c>
      <c r="Q1148" t="s">
        <v>42</v>
      </c>
      <c r="R1148" t="s">
        <v>35</v>
      </c>
      <c r="S1148">
        <v>6.7</v>
      </c>
      <c r="T1148">
        <v>4.0999999999999996</v>
      </c>
      <c r="U1148">
        <v>1.7</v>
      </c>
      <c r="V1148">
        <v>5.8</v>
      </c>
      <c r="W1148">
        <v>5.4</v>
      </c>
      <c r="X1148">
        <v>5.6</v>
      </c>
      <c r="Y1148">
        <v>8.6999999999999993</v>
      </c>
      <c r="Z1148">
        <v>6.5</v>
      </c>
      <c r="AA1148">
        <v>4</v>
      </c>
      <c r="AB1148">
        <v>3.4</v>
      </c>
      <c r="AC1148">
        <v>6.6</v>
      </c>
      <c r="AD1148" t="s">
        <v>53</v>
      </c>
      <c r="AE1148" t="str">
        <f>IF(AND(data[[#This Row],[Age]]&gt;=18,data[[#This Row],[Age]]&lt;=24),"18-24",IF(AND(data[[#This Row],[Age]]&gt;=25,data[[#This Row],[Age]]&lt;=34),"25-34",IF(AND(data[[#This Row],[Age]]&gt;35,data[[#This Row],[Age]]&lt;=44),"35-44",IF(data[[#This Row],[Age]]&gt;44,"45+",IF(data[[#This Row],[Age]]&lt;18,"below 18 ")))))</f>
        <v>35-44</v>
      </c>
    </row>
    <row r="1149" spans="1:31" x14ac:dyDescent="0.25">
      <c r="A1149" t="s">
        <v>1202</v>
      </c>
      <c r="B1149">
        <v>22</v>
      </c>
      <c r="C1149" t="s">
        <v>31</v>
      </c>
      <c r="D1149" t="s">
        <v>57</v>
      </c>
      <c r="E1149" t="s">
        <v>33</v>
      </c>
      <c r="F1149" t="s">
        <v>70</v>
      </c>
      <c r="H1149">
        <v>5</v>
      </c>
      <c r="I1149">
        <v>2</v>
      </c>
      <c r="J1149" t="s">
        <v>42</v>
      </c>
      <c r="K1149" t="s">
        <v>52</v>
      </c>
      <c r="L1149">
        <v>63</v>
      </c>
      <c r="M1149">
        <v>7</v>
      </c>
      <c r="N1149">
        <v>7</v>
      </c>
      <c r="O1149">
        <v>4.3</v>
      </c>
      <c r="P1149">
        <v>4.7</v>
      </c>
      <c r="Q1149" t="s">
        <v>42</v>
      </c>
      <c r="R1149" t="s">
        <v>35</v>
      </c>
      <c r="S1149">
        <v>2.9</v>
      </c>
      <c r="T1149">
        <v>7.1</v>
      </c>
      <c r="U1149">
        <v>3.5</v>
      </c>
      <c r="V1149">
        <v>5</v>
      </c>
      <c r="X1149">
        <v>8.6</v>
      </c>
      <c r="AA1149">
        <v>3.6</v>
      </c>
      <c r="AB1149">
        <v>5.0999999999999996</v>
      </c>
      <c r="AC1149">
        <v>6.3</v>
      </c>
      <c r="AD1149" t="s">
        <v>45</v>
      </c>
      <c r="AE1149" t="str">
        <f>IF(AND(data[[#This Row],[Age]]&gt;=18,data[[#This Row],[Age]]&lt;=24),"18-24",IF(AND(data[[#This Row],[Age]]&gt;=25,data[[#This Row],[Age]]&lt;=34),"25-34",IF(AND(data[[#This Row],[Age]]&gt;35,data[[#This Row],[Age]]&lt;=44),"35-44",IF(data[[#This Row],[Age]]&gt;44,"45+",IF(data[[#This Row],[Age]]&lt;18,"below 18 ")))))</f>
        <v>18-24</v>
      </c>
    </row>
    <row r="1150" spans="1:31" x14ac:dyDescent="0.25">
      <c r="A1150" t="s">
        <v>1203</v>
      </c>
      <c r="B1150">
        <v>33</v>
      </c>
      <c r="C1150" t="s">
        <v>47</v>
      </c>
      <c r="D1150" t="s">
        <v>39</v>
      </c>
      <c r="E1150" t="s">
        <v>33</v>
      </c>
      <c r="F1150" t="s">
        <v>41</v>
      </c>
      <c r="G1150">
        <v>0.8</v>
      </c>
      <c r="H1150">
        <v>5</v>
      </c>
      <c r="I1150">
        <v>3</v>
      </c>
      <c r="J1150" t="s">
        <v>35</v>
      </c>
      <c r="K1150" t="s">
        <v>36</v>
      </c>
      <c r="L1150">
        <v>45</v>
      </c>
      <c r="M1150">
        <v>4.8</v>
      </c>
      <c r="N1150">
        <v>6.3</v>
      </c>
      <c r="O1150">
        <v>6</v>
      </c>
      <c r="P1150">
        <v>4.8</v>
      </c>
      <c r="Q1150" t="s">
        <v>35</v>
      </c>
      <c r="R1150" t="s">
        <v>35</v>
      </c>
      <c r="S1150">
        <v>4.7</v>
      </c>
      <c r="T1150">
        <v>4.3</v>
      </c>
      <c r="U1150">
        <v>2</v>
      </c>
      <c r="V1150">
        <v>10</v>
      </c>
      <c r="W1150">
        <v>7.2</v>
      </c>
      <c r="X1150">
        <v>6.6</v>
      </c>
      <c r="Z1150">
        <v>3.8</v>
      </c>
      <c r="AA1150">
        <v>3.6</v>
      </c>
      <c r="AB1150">
        <v>2</v>
      </c>
      <c r="AC1150">
        <v>8.4</v>
      </c>
      <c r="AD1150" t="s">
        <v>37</v>
      </c>
      <c r="AE1150" t="str">
        <f>IF(AND(data[[#This Row],[Age]]&gt;=18,data[[#This Row],[Age]]&lt;=24),"18-24",IF(AND(data[[#This Row],[Age]]&gt;=25,data[[#This Row],[Age]]&lt;=34),"25-34",IF(AND(data[[#This Row],[Age]]&gt;35,data[[#This Row],[Age]]&lt;=44),"35-44",IF(data[[#This Row],[Age]]&gt;44,"45+",IF(data[[#This Row],[Age]]&lt;18,"below 18 ")))))</f>
        <v>25-34</v>
      </c>
    </row>
    <row r="1151" spans="1:31" x14ac:dyDescent="0.25">
      <c r="A1151" t="s">
        <v>1204</v>
      </c>
      <c r="B1151">
        <v>18</v>
      </c>
      <c r="C1151" t="s">
        <v>31</v>
      </c>
      <c r="D1151" t="s">
        <v>32</v>
      </c>
      <c r="E1151" t="s">
        <v>33</v>
      </c>
      <c r="F1151" t="s">
        <v>41</v>
      </c>
      <c r="G1151">
        <v>6.6</v>
      </c>
      <c r="H1151">
        <v>4</v>
      </c>
      <c r="I1151">
        <v>1</v>
      </c>
      <c r="J1151" t="s">
        <v>42</v>
      </c>
      <c r="K1151" t="s">
        <v>62</v>
      </c>
      <c r="L1151">
        <v>78</v>
      </c>
      <c r="M1151">
        <v>8.6</v>
      </c>
      <c r="N1151">
        <v>8.1999999999999993</v>
      </c>
      <c r="O1151">
        <v>4.5999999999999996</v>
      </c>
      <c r="P1151">
        <v>2.9</v>
      </c>
      <c r="Q1151" t="s">
        <v>35</v>
      </c>
      <c r="R1151" t="s">
        <v>42</v>
      </c>
      <c r="S1151">
        <v>1.6</v>
      </c>
      <c r="T1151">
        <v>3</v>
      </c>
      <c r="U1151">
        <v>5.6</v>
      </c>
      <c r="V1151">
        <v>4.5</v>
      </c>
      <c r="W1151">
        <v>2</v>
      </c>
      <c r="X1151">
        <v>6</v>
      </c>
      <c r="Y1151">
        <v>4.3</v>
      </c>
      <c r="Z1151">
        <v>4.2</v>
      </c>
      <c r="AA1151">
        <v>2.9</v>
      </c>
      <c r="AB1151">
        <v>3.6</v>
      </c>
      <c r="AC1151">
        <v>4.9000000000000004</v>
      </c>
      <c r="AD1151" t="s">
        <v>43</v>
      </c>
      <c r="AE1151" t="str">
        <f>IF(AND(data[[#This Row],[Age]]&gt;=18,data[[#This Row],[Age]]&lt;=24),"18-24",IF(AND(data[[#This Row],[Age]]&gt;=25,data[[#This Row],[Age]]&lt;=34),"25-34",IF(AND(data[[#This Row],[Age]]&gt;35,data[[#This Row],[Age]]&lt;=44),"35-44",IF(data[[#This Row],[Age]]&gt;44,"45+",IF(data[[#This Row],[Age]]&lt;18,"below 18 ")))))</f>
        <v>18-24</v>
      </c>
    </row>
    <row r="1152" spans="1:31" x14ac:dyDescent="0.25">
      <c r="A1152" t="s">
        <v>1205</v>
      </c>
      <c r="B1152">
        <v>31</v>
      </c>
      <c r="C1152" t="s">
        <v>31</v>
      </c>
      <c r="D1152" t="s">
        <v>39</v>
      </c>
      <c r="E1152" t="s">
        <v>58</v>
      </c>
      <c r="F1152" t="s">
        <v>41</v>
      </c>
      <c r="G1152">
        <v>5.0999999999999996</v>
      </c>
      <c r="H1152">
        <v>1</v>
      </c>
      <c r="I1152">
        <v>4</v>
      </c>
      <c r="J1152" t="s">
        <v>42</v>
      </c>
      <c r="K1152" t="s">
        <v>52</v>
      </c>
      <c r="L1152">
        <v>97</v>
      </c>
      <c r="M1152">
        <v>4.4000000000000004</v>
      </c>
      <c r="N1152">
        <v>4.5999999999999996</v>
      </c>
      <c r="O1152">
        <v>3.8</v>
      </c>
      <c r="P1152">
        <v>6</v>
      </c>
      <c r="Q1152" t="s">
        <v>42</v>
      </c>
      <c r="R1152" t="s">
        <v>35</v>
      </c>
      <c r="S1152">
        <v>6.3</v>
      </c>
      <c r="T1152">
        <v>2.9</v>
      </c>
      <c r="U1152">
        <v>6.5</v>
      </c>
      <c r="V1152">
        <v>6.2</v>
      </c>
      <c r="W1152">
        <v>3.4</v>
      </c>
      <c r="X1152">
        <v>5.7</v>
      </c>
      <c r="Y1152">
        <v>7.3</v>
      </c>
      <c r="Z1152">
        <v>0.9</v>
      </c>
      <c r="AA1152">
        <v>5.9</v>
      </c>
      <c r="AB1152">
        <v>3.7</v>
      </c>
      <c r="AC1152">
        <v>4.4000000000000004</v>
      </c>
      <c r="AD1152" t="s">
        <v>43</v>
      </c>
      <c r="AE1152" t="str">
        <f>IF(AND(data[[#This Row],[Age]]&gt;=18,data[[#This Row],[Age]]&lt;=24),"18-24",IF(AND(data[[#This Row],[Age]]&gt;=25,data[[#This Row],[Age]]&lt;=34),"25-34",IF(AND(data[[#This Row],[Age]]&gt;35,data[[#This Row],[Age]]&lt;=44),"35-44",IF(data[[#This Row],[Age]]&gt;44,"45+",IF(data[[#This Row],[Age]]&lt;18,"below 18 ")))))</f>
        <v>25-34</v>
      </c>
    </row>
    <row r="1153" spans="1:31" x14ac:dyDescent="0.25">
      <c r="A1153" t="s">
        <v>1206</v>
      </c>
      <c r="B1153">
        <v>15</v>
      </c>
      <c r="C1153" t="s">
        <v>31</v>
      </c>
      <c r="D1153" t="s">
        <v>32</v>
      </c>
      <c r="E1153" t="s">
        <v>58</v>
      </c>
      <c r="F1153" t="s">
        <v>59</v>
      </c>
      <c r="G1153">
        <v>3.2</v>
      </c>
      <c r="H1153">
        <v>2</v>
      </c>
      <c r="I1153">
        <v>3</v>
      </c>
      <c r="J1153" t="s">
        <v>42</v>
      </c>
      <c r="K1153" t="s">
        <v>62</v>
      </c>
      <c r="L1153">
        <v>61</v>
      </c>
      <c r="M1153">
        <v>2.6</v>
      </c>
      <c r="N1153">
        <v>3.9</v>
      </c>
      <c r="O1153">
        <v>6.8</v>
      </c>
      <c r="P1153">
        <v>3.8</v>
      </c>
      <c r="Q1153" t="s">
        <v>42</v>
      </c>
      <c r="R1153" t="s">
        <v>42</v>
      </c>
      <c r="S1153">
        <v>5.7</v>
      </c>
      <c r="T1153">
        <v>4.8</v>
      </c>
      <c r="U1153">
        <v>4.5999999999999996</v>
      </c>
      <c r="V1153">
        <v>5.5</v>
      </c>
      <c r="W1153">
        <v>8</v>
      </c>
      <c r="X1153">
        <v>7.2</v>
      </c>
      <c r="Z1153">
        <v>4.5</v>
      </c>
      <c r="AA1153">
        <v>4.9000000000000004</v>
      </c>
      <c r="AB1153">
        <v>4.5999999999999996</v>
      </c>
      <c r="AC1153">
        <v>7.3</v>
      </c>
      <c r="AD1153" t="s">
        <v>37</v>
      </c>
      <c r="AE1153" t="str">
        <f>IF(AND(data[[#This Row],[Age]]&gt;=18,data[[#This Row],[Age]]&lt;=24),"18-24",IF(AND(data[[#This Row],[Age]]&gt;=25,data[[#This Row],[Age]]&lt;=34),"25-34",IF(AND(data[[#This Row],[Age]]&gt;35,data[[#This Row],[Age]]&lt;=44),"35-44",IF(data[[#This Row],[Age]]&gt;44,"45+",IF(data[[#This Row],[Age]]&lt;18,"below 18 ")))))</f>
        <v xml:space="preserve">below 18 </v>
      </c>
    </row>
    <row r="1154" spans="1:31" x14ac:dyDescent="0.25">
      <c r="A1154" t="s">
        <v>1207</v>
      </c>
      <c r="B1154">
        <v>36</v>
      </c>
      <c r="C1154" t="s">
        <v>47</v>
      </c>
      <c r="D1154" t="s">
        <v>32</v>
      </c>
      <c r="E1154" t="s">
        <v>40</v>
      </c>
      <c r="F1154" t="s">
        <v>34</v>
      </c>
      <c r="G1154">
        <v>3.7</v>
      </c>
      <c r="H1154">
        <v>2</v>
      </c>
      <c r="I1154">
        <v>1</v>
      </c>
      <c r="J1154" t="s">
        <v>35</v>
      </c>
      <c r="K1154" t="s">
        <v>52</v>
      </c>
      <c r="L1154">
        <v>67</v>
      </c>
      <c r="M1154">
        <v>4.5</v>
      </c>
      <c r="N1154">
        <v>3.9</v>
      </c>
      <c r="O1154">
        <v>6.6</v>
      </c>
      <c r="P1154">
        <v>6</v>
      </c>
      <c r="Q1154" t="s">
        <v>35</v>
      </c>
      <c r="R1154" t="s">
        <v>35</v>
      </c>
      <c r="S1154">
        <v>6.8</v>
      </c>
      <c r="T1154">
        <v>9.6</v>
      </c>
      <c r="U1154">
        <v>2.1</v>
      </c>
      <c r="V1154">
        <v>1.9</v>
      </c>
      <c r="W1154">
        <v>5</v>
      </c>
      <c r="X1154">
        <v>8.4</v>
      </c>
      <c r="Y1154">
        <v>6.2</v>
      </c>
      <c r="Z1154">
        <v>2.4</v>
      </c>
      <c r="AA1154">
        <v>2.2999999999999998</v>
      </c>
      <c r="AB1154">
        <v>3.7</v>
      </c>
      <c r="AC1154">
        <v>6.5</v>
      </c>
      <c r="AD1154" t="s">
        <v>53</v>
      </c>
      <c r="AE1154" t="str">
        <f>IF(AND(data[[#This Row],[Age]]&gt;=18,data[[#This Row],[Age]]&lt;=24),"18-24",IF(AND(data[[#This Row],[Age]]&gt;=25,data[[#This Row],[Age]]&lt;=34),"25-34",IF(AND(data[[#This Row],[Age]]&gt;35,data[[#This Row],[Age]]&lt;=44),"35-44",IF(data[[#This Row],[Age]]&gt;44,"45+",IF(data[[#This Row],[Age]]&lt;18,"below 18 ")))))</f>
        <v>35-44</v>
      </c>
    </row>
    <row r="1155" spans="1:31" x14ac:dyDescent="0.25">
      <c r="A1155" t="s">
        <v>1208</v>
      </c>
      <c r="B1155">
        <v>44</v>
      </c>
      <c r="C1155" t="s">
        <v>31</v>
      </c>
      <c r="D1155" t="s">
        <v>64</v>
      </c>
      <c r="E1155" t="s">
        <v>40</v>
      </c>
      <c r="F1155" t="s">
        <v>59</v>
      </c>
      <c r="H1155">
        <v>4</v>
      </c>
      <c r="I1155">
        <v>1</v>
      </c>
      <c r="J1155" t="s">
        <v>35</v>
      </c>
      <c r="K1155" t="s">
        <v>36</v>
      </c>
      <c r="L1155">
        <v>75</v>
      </c>
      <c r="M1155">
        <v>1</v>
      </c>
      <c r="N1155">
        <v>7.8</v>
      </c>
      <c r="O1155">
        <v>5.5</v>
      </c>
      <c r="P1155">
        <v>8.6</v>
      </c>
      <c r="Q1155" t="s">
        <v>35</v>
      </c>
      <c r="R1155" t="s">
        <v>42</v>
      </c>
      <c r="S1155">
        <v>4.4000000000000004</v>
      </c>
      <c r="T1155">
        <v>4.8</v>
      </c>
      <c r="U1155">
        <v>6.5</v>
      </c>
      <c r="V1155">
        <v>3.1</v>
      </c>
      <c r="W1155">
        <v>5.4</v>
      </c>
      <c r="Y1155">
        <v>2.2999999999999998</v>
      </c>
      <c r="Z1155">
        <v>7.4</v>
      </c>
      <c r="AA1155">
        <v>2.7</v>
      </c>
      <c r="AB1155">
        <v>5.0999999999999996</v>
      </c>
      <c r="AC1155">
        <v>5.7</v>
      </c>
      <c r="AD1155" t="s">
        <v>45</v>
      </c>
      <c r="AE1155" t="str">
        <f>IF(AND(data[[#This Row],[Age]]&gt;=18,data[[#This Row],[Age]]&lt;=24),"18-24",IF(AND(data[[#This Row],[Age]]&gt;=25,data[[#This Row],[Age]]&lt;=34),"25-34",IF(AND(data[[#This Row],[Age]]&gt;35,data[[#This Row],[Age]]&lt;=44),"35-44",IF(data[[#This Row],[Age]]&gt;44,"45+",IF(data[[#This Row],[Age]]&lt;18,"below 18 ")))))</f>
        <v>35-44</v>
      </c>
    </row>
    <row r="1156" spans="1:31" x14ac:dyDescent="0.25">
      <c r="A1156" t="s">
        <v>1209</v>
      </c>
      <c r="B1156">
        <v>24</v>
      </c>
      <c r="C1156" t="s">
        <v>31</v>
      </c>
      <c r="D1156" t="s">
        <v>39</v>
      </c>
      <c r="E1156" t="s">
        <v>33</v>
      </c>
      <c r="F1156" t="s">
        <v>41</v>
      </c>
      <c r="G1156">
        <v>5.7</v>
      </c>
      <c r="H1156">
        <v>5</v>
      </c>
      <c r="I1156">
        <v>3</v>
      </c>
      <c r="J1156" t="s">
        <v>35</v>
      </c>
      <c r="K1156" t="s">
        <v>52</v>
      </c>
      <c r="L1156">
        <v>124</v>
      </c>
      <c r="M1156">
        <v>3.5</v>
      </c>
      <c r="N1156">
        <v>7.4</v>
      </c>
      <c r="O1156">
        <v>5.2</v>
      </c>
      <c r="P1156">
        <v>3.7</v>
      </c>
      <c r="Q1156" t="s">
        <v>35</v>
      </c>
      <c r="R1156" t="s">
        <v>35</v>
      </c>
      <c r="S1156">
        <v>5.7</v>
      </c>
      <c r="T1156">
        <v>4.5</v>
      </c>
      <c r="U1156">
        <v>3.3</v>
      </c>
      <c r="V1156">
        <v>4</v>
      </c>
      <c r="W1156">
        <v>6.7</v>
      </c>
      <c r="X1156">
        <v>7.5</v>
      </c>
      <c r="Y1156">
        <v>6.7</v>
      </c>
      <c r="Z1156">
        <v>6.9</v>
      </c>
      <c r="AA1156">
        <v>3.5</v>
      </c>
      <c r="AB1156">
        <v>3.3</v>
      </c>
      <c r="AC1156">
        <v>7.2</v>
      </c>
      <c r="AD1156" t="s">
        <v>53</v>
      </c>
      <c r="AE1156" t="str">
        <f>IF(AND(data[[#This Row],[Age]]&gt;=18,data[[#This Row],[Age]]&lt;=24),"18-24",IF(AND(data[[#This Row],[Age]]&gt;=25,data[[#This Row],[Age]]&lt;=34),"25-34",IF(AND(data[[#This Row],[Age]]&gt;35,data[[#This Row],[Age]]&lt;=44),"35-44",IF(data[[#This Row],[Age]]&gt;44,"45+",IF(data[[#This Row],[Age]]&lt;18,"below 18 ")))))</f>
        <v>18-24</v>
      </c>
    </row>
    <row r="1157" spans="1:31" x14ac:dyDescent="0.25">
      <c r="A1157" t="s">
        <v>1210</v>
      </c>
      <c r="B1157">
        <v>40</v>
      </c>
      <c r="C1157" t="s">
        <v>31</v>
      </c>
      <c r="D1157" t="s">
        <v>32</v>
      </c>
      <c r="E1157" t="s">
        <v>33</v>
      </c>
      <c r="F1157" t="s">
        <v>41</v>
      </c>
      <c r="G1157">
        <v>2.6</v>
      </c>
      <c r="H1157">
        <v>1</v>
      </c>
      <c r="I1157">
        <v>2</v>
      </c>
      <c r="K1157" t="s">
        <v>62</v>
      </c>
      <c r="L1157">
        <v>68</v>
      </c>
      <c r="M1157">
        <v>5.3</v>
      </c>
      <c r="N1157">
        <v>4</v>
      </c>
      <c r="O1157">
        <v>4.0999999999999996</v>
      </c>
      <c r="P1157">
        <v>5.9</v>
      </c>
      <c r="Q1157" t="s">
        <v>35</v>
      </c>
      <c r="R1157" t="s">
        <v>35</v>
      </c>
      <c r="S1157">
        <v>3.1</v>
      </c>
      <c r="U1157">
        <v>5.3</v>
      </c>
      <c r="V1157">
        <v>7.4</v>
      </c>
      <c r="W1157">
        <v>3.9</v>
      </c>
      <c r="Y1157">
        <v>2.7</v>
      </c>
      <c r="Z1157">
        <v>7.9</v>
      </c>
      <c r="AA1157">
        <v>7</v>
      </c>
      <c r="AB1157">
        <v>4.5999999999999996</v>
      </c>
      <c r="AC1157">
        <v>9.3000000000000007</v>
      </c>
      <c r="AD1157" t="s">
        <v>37</v>
      </c>
      <c r="AE1157" t="str">
        <f>IF(AND(data[[#This Row],[Age]]&gt;=18,data[[#This Row],[Age]]&lt;=24),"18-24",IF(AND(data[[#This Row],[Age]]&gt;=25,data[[#This Row],[Age]]&lt;=34),"25-34",IF(AND(data[[#This Row],[Age]]&gt;35,data[[#This Row],[Age]]&lt;=44),"35-44",IF(data[[#This Row],[Age]]&gt;44,"45+",IF(data[[#This Row],[Age]]&lt;18,"below 18 ")))))</f>
        <v>35-44</v>
      </c>
    </row>
    <row r="1158" spans="1:31" x14ac:dyDescent="0.25">
      <c r="A1158" t="s">
        <v>1211</v>
      </c>
      <c r="B1158">
        <v>28</v>
      </c>
      <c r="C1158" t="s">
        <v>31</v>
      </c>
      <c r="D1158" t="s">
        <v>32</v>
      </c>
      <c r="E1158" t="s">
        <v>40</v>
      </c>
      <c r="F1158" t="s">
        <v>51</v>
      </c>
      <c r="G1158">
        <v>6.6</v>
      </c>
      <c r="H1158">
        <v>4</v>
      </c>
      <c r="I1158">
        <v>2</v>
      </c>
      <c r="J1158" t="s">
        <v>42</v>
      </c>
      <c r="K1158" t="s">
        <v>52</v>
      </c>
      <c r="L1158">
        <v>101</v>
      </c>
      <c r="M1158">
        <v>7.9</v>
      </c>
      <c r="N1158">
        <v>6.7</v>
      </c>
      <c r="O1158">
        <v>1.8</v>
      </c>
      <c r="P1158">
        <v>6.4</v>
      </c>
      <c r="Q1158" t="s">
        <v>35</v>
      </c>
      <c r="R1158" t="s">
        <v>42</v>
      </c>
      <c r="S1158">
        <v>5.5</v>
      </c>
      <c r="T1158">
        <v>6.1</v>
      </c>
      <c r="U1158">
        <v>4.7</v>
      </c>
      <c r="V1158">
        <v>3.7</v>
      </c>
      <c r="W1158">
        <v>5.8</v>
      </c>
      <c r="X1158">
        <v>6.1</v>
      </c>
      <c r="Y1158">
        <v>2.9</v>
      </c>
      <c r="Z1158">
        <v>5.8</v>
      </c>
      <c r="AA1158">
        <v>3.2</v>
      </c>
      <c r="AB1158">
        <v>3</v>
      </c>
      <c r="AC1158">
        <v>4.2</v>
      </c>
      <c r="AD1158" t="s">
        <v>43</v>
      </c>
      <c r="AE1158" t="str">
        <f>IF(AND(data[[#This Row],[Age]]&gt;=18,data[[#This Row],[Age]]&lt;=24),"18-24",IF(AND(data[[#This Row],[Age]]&gt;=25,data[[#This Row],[Age]]&lt;=34),"25-34",IF(AND(data[[#This Row],[Age]]&gt;35,data[[#This Row],[Age]]&lt;=44),"35-44",IF(data[[#This Row],[Age]]&gt;44,"45+",IF(data[[#This Row],[Age]]&lt;18,"below 18 ")))))</f>
        <v>25-34</v>
      </c>
    </row>
    <row r="1159" spans="1:31" x14ac:dyDescent="0.25">
      <c r="A1159" t="s">
        <v>1212</v>
      </c>
      <c r="B1159">
        <v>39</v>
      </c>
      <c r="C1159" t="s">
        <v>31</v>
      </c>
      <c r="D1159" t="s">
        <v>39</v>
      </c>
      <c r="E1159" t="s">
        <v>33</v>
      </c>
      <c r="F1159" t="s">
        <v>34</v>
      </c>
      <c r="G1159">
        <v>4.2</v>
      </c>
      <c r="H1159">
        <v>3</v>
      </c>
      <c r="I1159">
        <v>1</v>
      </c>
      <c r="J1159" t="s">
        <v>42</v>
      </c>
      <c r="K1159" t="s">
        <v>62</v>
      </c>
      <c r="L1159">
        <v>8</v>
      </c>
      <c r="M1159">
        <v>4.0999999999999996</v>
      </c>
      <c r="N1159">
        <v>4.5</v>
      </c>
      <c r="O1159">
        <v>7.8</v>
      </c>
      <c r="P1159">
        <v>5.5</v>
      </c>
      <c r="Q1159" t="s">
        <v>42</v>
      </c>
      <c r="R1159" t="s">
        <v>42</v>
      </c>
      <c r="S1159">
        <v>5.6</v>
      </c>
      <c r="T1159">
        <v>4.5999999999999996</v>
      </c>
      <c r="U1159">
        <v>2.8</v>
      </c>
      <c r="V1159">
        <v>7.1</v>
      </c>
      <c r="W1159">
        <v>7.5</v>
      </c>
      <c r="X1159">
        <v>6.9</v>
      </c>
      <c r="Y1159">
        <v>3.7</v>
      </c>
      <c r="Z1159">
        <v>5.3</v>
      </c>
      <c r="AA1159">
        <v>6.5</v>
      </c>
      <c r="AB1159">
        <v>3.5</v>
      </c>
      <c r="AC1159">
        <v>6.7</v>
      </c>
      <c r="AD1159" t="s">
        <v>37</v>
      </c>
      <c r="AE1159" t="str">
        <f>IF(AND(data[[#This Row],[Age]]&gt;=18,data[[#This Row],[Age]]&lt;=24),"18-24",IF(AND(data[[#This Row],[Age]]&gt;=25,data[[#This Row],[Age]]&lt;=34),"25-34",IF(AND(data[[#This Row],[Age]]&gt;35,data[[#This Row],[Age]]&lt;=44),"35-44",IF(data[[#This Row],[Age]]&gt;44,"45+",IF(data[[#This Row],[Age]]&lt;18,"below 18 ")))))</f>
        <v>35-44</v>
      </c>
    </row>
    <row r="1160" spans="1:31" x14ac:dyDescent="0.25">
      <c r="A1160" t="s">
        <v>1213</v>
      </c>
      <c r="B1160">
        <v>31</v>
      </c>
      <c r="C1160" t="s">
        <v>31</v>
      </c>
      <c r="D1160" t="s">
        <v>39</v>
      </c>
      <c r="E1160" t="s">
        <v>40</v>
      </c>
      <c r="F1160" t="s">
        <v>59</v>
      </c>
      <c r="G1160">
        <v>2.4</v>
      </c>
      <c r="H1160">
        <v>3</v>
      </c>
      <c r="I1160">
        <v>1</v>
      </c>
      <c r="J1160" t="s">
        <v>35</v>
      </c>
      <c r="K1160" t="s">
        <v>36</v>
      </c>
      <c r="L1160">
        <v>5</v>
      </c>
      <c r="M1160">
        <v>7.9</v>
      </c>
      <c r="N1160">
        <v>4</v>
      </c>
      <c r="O1160">
        <v>7.1</v>
      </c>
      <c r="P1160">
        <v>6.1</v>
      </c>
      <c r="Q1160" t="s">
        <v>35</v>
      </c>
      <c r="R1160" t="s">
        <v>42</v>
      </c>
      <c r="S1160">
        <v>5.5</v>
      </c>
      <c r="T1160">
        <v>5.7</v>
      </c>
      <c r="U1160">
        <v>6.8</v>
      </c>
      <c r="V1160">
        <v>6.6</v>
      </c>
      <c r="W1160">
        <v>8.9</v>
      </c>
      <c r="X1160">
        <v>10</v>
      </c>
      <c r="Y1160">
        <v>3.7</v>
      </c>
      <c r="Z1160">
        <v>5.0999999999999996</v>
      </c>
      <c r="AA1160">
        <v>2.5</v>
      </c>
      <c r="AB1160">
        <v>3.9</v>
      </c>
      <c r="AC1160">
        <v>7.5</v>
      </c>
      <c r="AD1160" t="s">
        <v>53</v>
      </c>
      <c r="AE1160" t="str">
        <f>IF(AND(data[[#This Row],[Age]]&gt;=18,data[[#This Row],[Age]]&lt;=24),"18-24",IF(AND(data[[#This Row],[Age]]&gt;=25,data[[#This Row],[Age]]&lt;=34),"25-34",IF(AND(data[[#This Row],[Age]]&gt;35,data[[#This Row],[Age]]&lt;=44),"35-44",IF(data[[#This Row],[Age]]&gt;44,"45+",IF(data[[#This Row],[Age]]&lt;18,"below 18 ")))))</f>
        <v>25-34</v>
      </c>
    </row>
    <row r="1161" spans="1:31" x14ac:dyDescent="0.25">
      <c r="A1161" t="s">
        <v>1214</v>
      </c>
      <c r="B1161">
        <v>24</v>
      </c>
      <c r="C1161" t="s">
        <v>50</v>
      </c>
      <c r="D1161" t="s">
        <v>64</v>
      </c>
      <c r="E1161" t="s">
        <v>33</v>
      </c>
      <c r="F1161" t="s">
        <v>34</v>
      </c>
      <c r="G1161">
        <v>4.3</v>
      </c>
      <c r="H1161">
        <v>7</v>
      </c>
      <c r="I1161">
        <v>5</v>
      </c>
      <c r="J1161" t="s">
        <v>35</v>
      </c>
      <c r="K1161" t="s">
        <v>62</v>
      </c>
      <c r="L1161">
        <v>86</v>
      </c>
      <c r="M1161">
        <v>8.5</v>
      </c>
      <c r="N1161">
        <v>8.1999999999999993</v>
      </c>
      <c r="O1161">
        <v>3</v>
      </c>
      <c r="P1161">
        <v>4.3</v>
      </c>
      <c r="Q1161" t="s">
        <v>35</v>
      </c>
      <c r="R1161" t="s">
        <v>35</v>
      </c>
      <c r="S1161">
        <v>4.7</v>
      </c>
      <c r="T1161">
        <v>5</v>
      </c>
      <c r="U1161">
        <v>2.2000000000000002</v>
      </c>
      <c r="V1161">
        <v>7.7</v>
      </c>
      <c r="W1161">
        <v>7.2</v>
      </c>
      <c r="X1161">
        <v>6.1</v>
      </c>
      <c r="Y1161">
        <v>1.8</v>
      </c>
      <c r="Z1161">
        <v>3.7</v>
      </c>
      <c r="AA1161">
        <v>3.9</v>
      </c>
      <c r="AB1161">
        <v>1.5</v>
      </c>
      <c r="AC1161">
        <v>8.1</v>
      </c>
      <c r="AD1161" t="s">
        <v>37</v>
      </c>
      <c r="AE1161" t="str">
        <f>IF(AND(data[[#This Row],[Age]]&gt;=18,data[[#This Row],[Age]]&lt;=24),"18-24",IF(AND(data[[#This Row],[Age]]&gt;=25,data[[#This Row],[Age]]&lt;=34),"25-34",IF(AND(data[[#This Row],[Age]]&gt;35,data[[#This Row],[Age]]&lt;=44),"35-44",IF(data[[#This Row],[Age]]&gt;44,"45+",IF(data[[#This Row],[Age]]&lt;18,"below 18 ")))))</f>
        <v>18-24</v>
      </c>
    </row>
    <row r="1162" spans="1:31" x14ac:dyDescent="0.25">
      <c r="A1162" t="s">
        <v>1215</v>
      </c>
      <c r="B1162">
        <v>16</v>
      </c>
      <c r="C1162" t="s">
        <v>47</v>
      </c>
      <c r="D1162" t="s">
        <v>39</v>
      </c>
      <c r="E1162" t="s">
        <v>33</v>
      </c>
      <c r="F1162" t="s">
        <v>51</v>
      </c>
      <c r="G1162">
        <v>4.7</v>
      </c>
      <c r="H1162">
        <v>1</v>
      </c>
      <c r="I1162">
        <v>9</v>
      </c>
      <c r="J1162" t="s">
        <v>35</v>
      </c>
      <c r="K1162" t="s">
        <v>36</v>
      </c>
      <c r="L1162">
        <v>91</v>
      </c>
      <c r="M1162">
        <v>3.7</v>
      </c>
      <c r="N1162">
        <v>7.3</v>
      </c>
      <c r="O1162">
        <v>4.9000000000000004</v>
      </c>
      <c r="P1162">
        <v>6.5</v>
      </c>
      <c r="Q1162" t="s">
        <v>35</v>
      </c>
      <c r="R1162" t="s">
        <v>35</v>
      </c>
      <c r="S1162">
        <v>0.7</v>
      </c>
      <c r="T1162">
        <v>9.1999999999999993</v>
      </c>
      <c r="U1162">
        <v>6.9</v>
      </c>
      <c r="V1162">
        <v>5.6</v>
      </c>
      <c r="W1162">
        <v>8.1999999999999993</v>
      </c>
      <c r="X1162">
        <v>6.3</v>
      </c>
      <c r="Y1162">
        <v>5</v>
      </c>
      <c r="Z1162">
        <v>4.5</v>
      </c>
      <c r="AA1162">
        <v>4.3</v>
      </c>
      <c r="AB1162">
        <v>0</v>
      </c>
      <c r="AC1162">
        <v>6.3</v>
      </c>
      <c r="AD1162" t="s">
        <v>53</v>
      </c>
      <c r="AE1162" t="str">
        <f>IF(AND(data[[#This Row],[Age]]&gt;=18,data[[#This Row],[Age]]&lt;=24),"18-24",IF(AND(data[[#This Row],[Age]]&gt;=25,data[[#This Row],[Age]]&lt;=34),"25-34",IF(AND(data[[#This Row],[Age]]&gt;35,data[[#This Row],[Age]]&lt;=44),"35-44",IF(data[[#This Row],[Age]]&gt;44,"45+",IF(data[[#This Row],[Age]]&lt;18,"below 18 ")))))</f>
        <v xml:space="preserve">below 18 </v>
      </c>
    </row>
    <row r="1163" spans="1:31" x14ac:dyDescent="0.25">
      <c r="A1163" t="s">
        <v>1216</v>
      </c>
      <c r="B1163">
        <v>35</v>
      </c>
      <c r="C1163" t="s">
        <v>31</v>
      </c>
      <c r="D1163" t="s">
        <v>32</v>
      </c>
      <c r="E1163" t="s">
        <v>33</v>
      </c>
      <c r="F1163" t="s">
        <v>41</v>
      </c>
      <c r="G1163">
        <v>7.2</v>
      </c>
      <c r="H1163">
        <v>3</v>
      </c>
      <c r="I1163">
        <v>4</v>
      </c>
      <c r="J1163" t="s">
        <v>42</v>
      </c>
      <c r="K1163" t="s">
        <v>36</v>
      </c>
      <c r="L1163">
        <v>17</v>
      </c>
      <c r="M1163">
        <v>7.3</v>
      </c>
      <c r="N1163">
        <v>4.2</v>
      </c>
      <c r="P1163">
        <v>4.5999999999999996</v>
      </c>
      <c r="Q1163" t="s">
        <v>42</v>
      </c>
      <c r="R1163" t="s">
        <v>42</v>
      </c>
      <c r="S1163">
        <v>3.6</v>
      </c>
      <c r="T1163">
        <v>4.5</v>
      </c>
      <c r="U1163">
        <v>3.5</v>
      </c>
      <c r="V1163">
        <v>7.4</v>
      </c>
      <c r="W1163">
        <v>5.5</v>
      </c>
      <c r="X1163">
        <v>5.7</v>
      </c>
      <c r="Y1163">
        <v>6</v>
      </c>
      <c r="Z1163">
        <v>4.8</v>
      </c>
      <c r="AA1163">
        <v>1.2</v>
      </c>
      <c r="AB1163">
        <v>3.5</v>
      </c>
      <c r="AC1163">
        <v>4.4000000000000004</v>
      </c>
      <c r="AD1163" t="s">
        <v>43</v>
      </c>
      <c r="AE1163" t="b">
        <f>IF(AND(data[[#This Row],[Age]]&gt;=18,data[[#This Row],[Age]]&lt;=24),"18-24",IF(AND(data[[#This Row],[Age]]&gt;=25,data[[#This Row],[Age]]&lt;=34),"25-34",IF(AND(data[[#This Row],[Age]]&gt;35,data[[#This Row],[Age]]&lt;=44),"35-44",IF(data[[#This Row],[Age]]&gt;44,"45+",IF(data[[#This Row],[Age]]&lt;18,"below 18 ")))))</f>
        <v>0</v>
      </c>
    </row>
    <row r="1164" spans="1:31" x14ac:dyDescent="0.25">
      <c r="A1164" t="s">
        <v>1217</v>
      </c>
      <c r="B1164">
        <v>31</v>
      </c>
      <c r="C1164" t="s">
        <v>47</v>
      </c>
      <c r="D1164" t="s">
        <v>39</v>
      </c>
      <c r="E1164" t="s">
        <v>33</v>
      </c>
      <c r="F1164" t="s">
        <v>41</v>
      </c>
      <c r="G1164">
        <v>6.1</v>
      </c>
      <c r="H1164">
        <v>1</v>
      </c>
      <c r="I1164">
        <v>2</v>
      </c>
      <c r="J1164" t="s">
        <v>35</v>
      </c>
      <c r="K1164" t="s">
        <v>36</v>
      </c>
      <c r="L1164">
        <v>37</v>
      </c>
      <c r="M1164">
        <v>3.7</v>
      </c>
      <c r="N1164">
        <v>9</v>
      </c>
      <c r="O1164">
        <v>1.3</v>
      </c>
      <c r="P1164">
        <v>6</v>
      </c>
      <c r="Q1164" t="s">
        <v>42</v>
      </c>
      <c r="R1164" t="s">
        <v>42</v>
      </c>
      <c r="S1164">
        <v>6.4</v>
      </c>
      <c r="T1164">
        <v>4.5</v>
      </c>
      <c r="U1164">
        <v>0.4</v>
      </c>
      <c r="V1164">
        <v>7.1</v>
      </c>
      <c r="W1164">
        <v>5.9</v>
      </c>
      <c r="X1164">
        <v>7.5</v>
      </c>
      <c r="Y1164">
        <v>3.8</v>
      </c>
      <c r="AA1164">
        <v>2.5</v>
      </c>
      <c r="AB1164">
        <v>2.8</v>
      </c>
      <c r="AC1164">
        <v>6.6</v>
      </c>
      <c r="AD1164" t="s">
        <v>45</v>
      </c>
      <c r="AE1164" t="str">
        <f>IF(AND(data[[#This Row],[Age]]&gt;=18,data[[#This Row],[Age]]&lt;=24),"18-24",IF(AND(data[[#This Row],[Age]]&gt;=25,data[[#This Row],[Age]]&lt;=34),"25-34",IF(AND(data[[#This Row],[Age]]&gt;35,data[[#This Row],[Age]]&lt;=44),"35-44",IF(data[[#This Row],[Age]]&gt;44,"45+",IF(data[[#This Row],[Age]]&lt;18,"below 18 ")))))</f>
        <v>25-34</v>
      </c>
    </row>
    <row r="1165" spans="1:31" x14ac:dyDescent="0.25">
      <c r="A1165" t="s">
        <v>1218</v>
      </c>
      <c r="B1165">
        <v>30</v>
      </c>
      <c r="C1165" t="s">
        <v>31</v>
      </c>
      <c r="D1165" t="s">
        <v>57</v>
      </c>
      <c r="E1165" t="s">
        <v>40</v>
      </c>
      <c r="F1165" t="s">
        <v>41</v>
      </c>
      <c r="G1165">
        <v>0.5</v>
      </c>
      <c r="H1165">
        <v>2</v>
      </c>
      <c r="I1165">
        <v>2</v>
      </c>
      <c r="J1165" t="s">
        <v>35</v>
      </c>
      <c r="K1165" t="s">
        <v>52</v>
      </c>
      <c r="L1165">
        <v>58</v>
      </c>
      <c r="M1165">
        <v>3.3</v>
      </c>
      <c r="N1165">
        <v>6.2</v>
      </c>
      <c r="O1165">
        <v>4.5999999999999996</v>
      </c>
      <c r="P1165">
        <v>9.1999999999999993</v>
      </c>
      <c r="Q1165" t="s">
        <v>42</v>
      </c>
      <c r="R1165" t="s">
        <v>42</v>
      </c>
      <c r="S1165">
        <v>4.5</v>
      </c>
      <c r="T1165">
        <v>5.5</v>
      </c>
      <c r="U1165">
        <v>4.9000000000000004</v>
      </c>
      <c r="V1165">
        <v>3.9</v>
      </c>
      <c r="W1165">
        <v>5.8</v>
      </c>
      <c r="X1165">
        <v>3</v>
      </c>
      <c r="Y1165">
        <v>2.2999999999999998</v>
      </c>
      <c r="AA1165">
        <v>3</v>
      </c>
      <c r="AB1165">
        <v>3.3</v>
      </c>
      <c r="AC1165">
        <v>6.7</v>
      </c>
      <c r="AD1165" t="s">
        <v>53</v>
      </c>
      <c r="AE1165" t="str">
        <f>IF(AND(data[[#This Row],[Age]]&gt;=18,data[[#This Row],[Age]]&lt;=24),"18-24",IF(AND(data[[#This Row],[Age]]&gt;=25,data[[#This Row],[Age]]&lt;=34),"25-34",IF(AND(data[[#This Row],[Age]]&gt;35,data[[#This Row],[Age]]&lt;=44),"35-44",IF(data[[#This Row],[Age]]&gt;44,"45+",IF(data[[#This Row],[Age]]&lt;18,"below 18 ")))))</f>
        <v>25-34</v>
      </c>
    </row>
    <row r="1166" spans="1:31" x14ac:dyDescent="0.25">
      <c r="A1166" t="s">
        <v>1219</v>
      </c>
      <c r="B1166">
        <v>29</v>
      </c>
      <c r="C1166" t="s">
        <v>47</v>
      </c>
      <c r="D1166" t="s">
        <v>64</v>
      </c>
      <c r="E1166" t="s">
        <v>40</v>
      </c>
      <c r="F1166" t="s">
        <v>70</v>
      </c>
      <c r="G1166">
        <v>1.9</v>
      </c>
      <c r="H1166">
        <v>2</v>
      </c>
      <c r="I1166">
        <v>3</v>
      </c>
      <c r="J1166" t="s">
        <v>35</v>
      </c>
      <c r="K1166" t="s">
        <v>52</v>
      </c>
      <c r="L1166">
        <v>31</v>
      </c>
      <c r="M1166">
        <v>6.9</v>
      </c>
      <c r="N1166">
        <v>8.1999999999999993</v>
      </c>
      <c r="O1166">
        <v>6.1</v>
      </c>
      <c r="P1166">
        <v>5</v>
      </c>
      <c r="Q1166" t="s">
        <v>35</v>
      </c>
      <c r="R1166" t="s">
        <v>42</v>
      </c>
      <c r="T1166">
        <v>2.6</v>
      </c>
      <c r="U1166">
        <v>6</v>
      </c>
      <c r="V1166">
        <v>4.7</v>
      </c>
      <c r="W1166">
        <v>5.8</v>
      </c>
      <c r="X1166">
        <v>5.8</v>
      </c>
      <c r="Y1166">
        <v>5.2</v>
      </c>
      <c r="Z1166">
        <v>4.7</v>
      </c>
      <c r="AA1166">
        <v>4.3</v>
      </c>
      <c r="AB1166">
        <v>1.4</v>
      </c>
      <c r="AC1166">
        <v>5.6</v>
      </c>
      <c r="AD1166" t="s">
        <v>45</v>
      </c>
      <c r="AE1166" t="str">
        <f>IF(AND(data[[#This Row],[Age]]&gt;=18,data[[#This Row],[Age]]&lt;=24),"18-24",IF(AND(data[[#This Row],[Age]]&gt;=25,data[[#This Row],[Age]]&lt;=34),"25-34",IF(AND(data[[#This Row],[Age]]&gt;35,data[[#This Row],[Age]]&lt;=44),"35-44",IF(data[[#This Row],[Age]]&gt;44,"45+",IF(data[[#This Row],[Age]]&lt;18,"below 18 ")))))</f>
        <v>25-34</v>
      </c>
    </row>
    <row r="1167" spans="1:31" x14ac:dyDescent="0.25">
      <c r="A1167" t="s">
        <v>1220</v>
      </c>
      <c r="B1167">
        <v>25</v>
      </c>
      <c r="C1167" t="s">
        <v>47</v>
      </c>
      <c r="D1167" t="s">
        <v>32</v>
      </c>
      <c r="E1167" t="s">
        <v>33</v>
      </c>
      <c r="F1167" t="s">
        <v>70</v>
      </c>
      <c r="G1167">
        <v>6.3</v>
      </c>
      <c r="H1167">
        <v>3</v>
      </c>
      <c r="I1167">
        <v>2</v>
      </c>
      <c r="J1167" t="s">
        <v>35</v>
      </c>
      <c r="K1167" t="s">
        <v>36</v>
      </c>
      <c r="L1167">
        <v>106</v>
      </c>
      <c r="M1167">
        <v>5.7</v>
      </c>
      <c r="N1167">
        <v>5.8</v>
      </c>
      <c r="O1167">
        <v>3</v>
      </c>
      <c r="P1167">
        <v>4.8</v>
      </c>
      <c r="Q1167" t="s">
        <v>35</v>
      </c>
      <c r="R1167" t="s">
        <v>42</v>
      </c>
      <c r="S1167">
        <v>5.6</v>
      </c>
      <c r="U1167">
        <v>7.4</v>
      </c>
      <c r="V1167">
        <v>6.9</v>
      </c>
      <c r="W1167">
        <v>4.3</v>
      </c>
      <c r="X1167">
        <v>4.5</v>
      </c>
      <c r="Y1167">
        <v>5</v>
      </c>
      <c r="Z1167">
        <v>2.2999999999999998</v>
      </c>
      <c r="AA1167">
        <v>1.1000000000000001</v>
      </c>
      <c r="AB1167">
        <v>3.9</v>
      </c>
      <c r="AC1167">
        <v>5.0999999999999996</v>
      </c>
      <c r="AD1167" t="s">
        <v>43</v>
      </c>
      <c r="AE1167" t="str">
        <f>IF(AND(data[[#This Row],[Age]]&gt;=18,data[[#This Row],[Age]]&lt;=24),"18-24",IF(AND(data[[#This Row],[Age]]&gt;=25,data[[#This Row],[Age]]&lt;=34),"25-34",IF(AND(data[[#This Row],[Age]]&gt;35,data[[#This Row],[Age]]&lt;=44),"35-44",IF(data[[#This Row],[Age]]&gt;44,"45+",IF(data[[#This Row],[Age]]&lt;18,"below 18 ")))))</f>
        <v>25-34</v>
      </c>
    </row>
    <row r="1168" spans="1:31" x14ac:dyDescent="0.25">
      <c r="A1168" t="s">
        <v>1221</v>
      </c>
      <c r="B1168">
        <v>41</v>
      </c>
      <c r="C1168" t="s">
        <v>31</v>
      </c>
      <c r="D1168" t="s">
        <v>32</v>
      </c>
      <c r="E1168" t="s">
        <v>33</v>
      </c>
      <c r="F1168" t="s">
        <v>34</v>
      </c>
      <c r="G1168">
        <v>5.2</v>
      </c>
      <c r="H1168">
        <v>3</v>
      </c>
      <c r="I1168">
        <v>4</v>
      </c>
      <c r="J1168" t="s">
        <v>42</v>
      </c>
      <c r="K1168" t="s">
        <v>36</v>
      </c>
      <c r="L1168">
        <v>79</v>
      </c>
      <c r="M1168">
        <v>8.6</v>
      </c>
      <c r="N1168">
        <v>1.3</v>
      </c>
      <c r="O1168">
        <v>3.3</v>
      </c>
      <c r="P1168">
        <v>1</v>
      </c>
      <c r="Q1168" t="s">
        <v>42</v>
      </c>
      <c r="R1168" t="s">
        <v>42</v>
      </c>
      <c r="S1168">
        <v>4.2</v>
      </c>
      <c r="T1168">
        <v>4.5</v>
      </c>
      <c r="U1168">
        <v>3.4</v>
      </c>
      <c r="V1168">
        <v>4.7</v>
      </c>
      <c r="W1168">
        <v>3.1</v>
      </c>
      <c r="X1168">
        <v>5.0999999999999996</v>
      </c>
      <c r="Y1168">
        <v>6.8</v>
      </c>
      <c r="Z1168">
        <v>4</v>
      </c>
      <c r="AA1168">
        <v>5.3</v>
      </c>
      <c r="AB1168">
        <v>3.5</v>
      </c>
      <c r="AC1168">
        <v>5.9</v>
      </c>
      <c r="AD1168" t="s">
        <v>45</v>
      </c>
      <c r="AE1168" t="str">
        <f>IF(AND(data[[#This Row],[Age]]&gt;=18,data[[#This Row],[Age]]&lt;=24),"18-24",IF(AND(data[[#This Row],[Age]]&gt;=25,data[[#This Row],[Age]]&lt;=34),"25-34",IF(AND(data[[#This Row],[Age]]&gt;35,data[[#This Row],[Age]]&lt;=44),"35-44",IF(data[[#This Row],[Age]]&gt;44,"45+",IF(data[[#This Row],[Age]]&lt;18,"below 18 ")))))</f>
        <v>35-44</v>
      </c>
    </row>
    <row r="1169" spans="1:31" x14ac:dyDescent="0.25">
      <c r="A1169" t="s">
        <v>1222</v>
      </c>
      <c r="B1169">
        <v>40</v>
      </c>
      <c r="C1169" t="s">
        <v>31</v>
      </c>
      <c r="D1169" t="s">
        <v>39</v>
      </c>
      <c r="E1169" t="s">
        <v>40</v>
      </c>
      <c r="F1169" t="s">
        <v>70</v>
      </c>
      <c r="G1169">
        <v>2.5</v>
      </c>
      <c r="H1169">
        <v>3</v>
      </c>
      <c r="I1169">
        <v>6</v>
      </c>
      <c r="J1169" t="s">
        <v>42</v>
      </c>
      <c r="K1169" t="s">
        <v>36</v>
      </c>
      <c r="L1169">
        <v>5</v>
      </c>
      <c r="M1169">
        <v>10</v>
      </c>
      <c r="N1169">
        <v>6.9</v>
      </c>
      <c r="O1169">
        <v>5.4</v>
      </c>
      <c r="P1169">
        <v>8</v>
      </c>
      <c r="Q1169" t="s">
        <v>35</v>
      </c>
      <c r="R1169" t="s">
        <v>35</v>
      </c>
      <c r="S1169">
        <v>3.4</v>
      </c>
      <c r="T1169">
        <v>3.5</v>
      </c>
      <c r="V1169">
        <v>8.9</v>
      </c>
      <c r="W1169">
        <v>6.3</v>
      </c>
      <c r="X1169">
        <v>8.6999999999999993</v>
      </c>
      <c r="Y1169">
        <v>2.4</v>
      </c>
      <c r="Z1169">
        <v>2.4</v>
      </c>
      <c r="AA1169">
        <v>2.4</v>
      </c>
      <c r="AC1169">
        <v>5.6</v>
      </c>
      <c r="AD1169" t="s">
        <v>45</v>
      </c>
      <c r="AE1169" t="str">
        <f>IF(AND(data[[#This Row],[Age]]&gt;=18,data[[#This Row],[Age]]&lt;=24),"18-24",IF(AND(data[[#This Row],[Age]]&gt;=25,data[[#This Row],[Age]]&lt;=34),"25-34",IF(AND(data[[#This Row],[Age]]&gt;35,data[[#This Row],[Age]]&lt;=44),"35-44",IF(data[[#This Row],[Age]]&gt;44,"45+",IF(data[[#This Row],[Age]]&lt;18,"below 18 ")))))</f>
        <v>35-44</v>
      </c>
    </row>
    <row r="1170" spans="1:31" x14ac:dyDescent="0.25">
      <c r="A1170" t="s">
        <v>1223</v>
      </c>
      <c r="B1170">
        <v>18</v>
      </c>
      <c r="C1170" t="s">
        <v>47</v>
      </c>
      <c r="D1170" t="s">
        <v>32</v>
      </c>
      <c r="F1170" t="s">
        <v>34</v>
      </c>
      <c r="G1170">
        <v>3.5</v>
      </c>
      <c r="H1170">
        <v>2</v>
      </c>
      <c r="I1170">
        <v>1</v>
      </c>
      <c r="J1170" t="s">
        <v>42</v>
      </c>
      <c r="K1170" t="s">
        <v>62</v>
      </c>
      <c r="L1170">
        <v>32</v>
      </c>
      <c r="M1170">
        <v>6.6</v>
      </c>
      <c r="N1170">
        <v>6.2</v>
      </c>
      <c r="O1170">
        <v>3.9</v>
      </c>
      <c r="P1170">
        <v>6.9</v>
      </c>
      <c r="R1170" t="s">
        <v>35</v>
      </c>
      <c r="S1170">
        <v>2.5</v>
      </c>
      <c r="T1170">
        <v>5.6</v>
      </c>
      <c r="U1170">
        <v>4.5</v>
      </c>
      <c r="V1170">
        <v>2</v>
      </c>
      <c r="W1170">
        <v>2.6</v>
      </c>
      <c r="X1170">
        <v>5.0999999999999996</v>
      </c>
      <c r="Y1170">
        <v>2.1</v>
      </c>
      <c r="Z1170">
        <v>5.4</v>
      </c>
      <c r="AA1170">
        <v>1.2</v>
      </c>
      <c r="AB1170">
        <v>3.5</v>
      </c>
      <c r="AC1170">
        <v>6.5</v>
      </c>
      <c r="AD1170" t="s">
        <v>53</v>
      </c>
      <c r="AE1170" t="str">
        <f>IF(AND(data[[#This Row],[Age]]&gt;=18,data[[#This Row],[Age]]&lt;=24),"18-24",IF(AND(data[[#This Row],[Age]]&gt;=25,data[[#This Row],[Age]]&lt;=34),"25-34",IF(AND(data[[#This Row],[Age]]&gt;35,data[[#This Row],[Age]]&lt;=44),"35-44",IF(data[[#This Row],[Age]]&gt;44,"45+",IF(data[[#This Row],[Age]]&lt;18,"below 18 ")))))</f>
        <v>18-24</v>
      </c>
    </row>
    <row r="1171" spans="1:31" x14ac:dyDescent="0.25">
      <c r="A1171" t="s">
        <v>1224</v>
      </c>
      <c r="B1171">
        <v>17</v>
      </c>
      <c r="C1171" t="s">
        <v>47</v>
      </c>
      <c r="D1171" t="s">
        <v>32</v>
      </c>
      <c r="E1171" t="s">
        <v>58</v>
      </c>
      <c r="F1171" t="s">
        <v>51</v>
      </c>
      <c r="G1171">
        <v>8.1999999999999993</v>
      </c>
      <c r="H1171">
        <v>3</v>
      </c>
      <c r="I1171">
        <v>0</v>
      </c>
      <c r="J1171" t="s">
        <v>42</v>
      </c>
      <c r="K1171" t="s">
        <v>52</v>
      </c>
      <c r="L1171">
        <v>57</v>
      </c>
      <c r="M1171">
        <v>1.3</v>
      </c>
      <c r="N1171">
        <v>5.4</v>
      </c>
      <c r="O1171">
        <v>6.6</v>
      </c>
      <c r="P1171">
        <v>8.6</v>
      </c>
      <c r="Q1171" t="s">
        <v>42</v>
      </c>
      <c r="R1171" t="s">
        <v>35</v>
      </c>
      <c r="S1171">
        <v>6.1</v>
      </c>
      <c r="T1171">
        <v>5.6</v>
      </c>
      <c r="U1171">
        <v>7</v>
      </c>
      <c r="V1171">
        <v>0.9</v>
      </c>
      <c r="W1171">
        <v>8.5</v>
      </c>
      <c r="X1171">
        <v>5.8</v>
      </c>
      <c r="Y1171">
        <v>4</v>
      </c>
      <c r="Z1171">
        <v>4.7</v>
      </c>
      <c r="AA1171">
        <v>3.2</v>
      </c>
      <c r="AB1171">
        <v>3.9</v>
      </c>
      <c r="AC1171">
        <v>5.9</v>
      </c>
      <c r="AD1171" t="s">
        <v>45</v>
      </c>
      <c r="AE1171" t="str">
        <f>IF(AND(data[[#This Row],[Age]]&gt;=18,data[[#This Row],[Age]]&lt;=24),"18-24",IF(AND(data[[#This Row],[Age]]&gt;=25,data[[#This Row],[Age]]&lt;=34),"25-34",IF(AND(data[[#This Row],[Age]]&gt;35,data[[#This Row],[Age]]&lt;=44),"35-44",IF(data[[#This Row],[Age]]&gt;44,"45+",IF(data[[#This Row],[Age]]&lt;18,"below 18 ")))))</f>
        <v xml:space="preserve">below 18 </v>
      </c>
    </row>
    <row r="1172" spans="1:31" x14ac:dyDescent="0.25">
      <c r="A1172" t="s">
        <v>1225</v>
      </c>
      <c r="B1172">
        <v>34</v>
      </c>
      <c r="C1172" t="s">
        <v>50</v>
      </c>
      <c r="D1172" t="s">
        <v>32</v>
      </c>
      <c r="E1172" t="s">
        <v>40</v>
      </c>
      <c r="F1172" t="s">
        <v>59</v>
      </c>
      <c r="G1172">
        <v>0.5</v>
      </c>
      <c r="H1172">
        <v>2</v>
      </c>
      <c r="I1172">
        <v>3</v>
      </c>
      <c r="J1172" t="s">
        <v>42</v>
      </c>
      <c r="K1172" t="s">
        <v>62</v>
      </c>
      <c r="L1172">
        <v>66</v>
      </c>
      <c r="M1172">
        <v>4.5999999999999996</v>
      </c>
      <c r="N1172">
        <v>6</v>
      </c>
      <c r="O1172">
        <v>6.2</v>
      </c>
      <c r="P1172">
        <v>6.4</v>
      </c>
      <c r="Q1172" t="s">
        <v>35</v>
      </c>
      <c r="R1172" t="s">
        <v>42</v>
      </c>
      <c r="S1172">
        <v>2.5</v>
      </c>
      <c r="T1172">
        <v>5.0999999999999996</v>
      </c>
      <c r="U1172">
        <v>4.4000000000000004</v>
      </c>
      <c r="V1172">
        <v>3.3</v>
      </c>
      <c r="W1172">
        <v>5.6</v>
      </c>
      <c r="X1172">
        <v>7.4</v>
      </c>
      <c r="Y1172">
        <v>4.7</v>
      </c>
      <c r="Z1172">
        <v>4.4000000000000004</v>
      </c>
      <c r="AA1172">
        <v>1.2</v>
      </c>
      <c r="AB1172">
        <v>0.9</v>
      </c>
      <c r="AC1172">
        <v>6.3</v>
      </c>
      <c r="AD1172" t="s">
        <v>53</v>
      </c>
      <c r="AE1172" t="str">
        <f>IF(AND(data[[#This Row],[Age]]&gt;=18,data[[#This Row],[Age]]&lt;=24),"18-24",IF(AND(data[[#This Row],[Age]]&gt;=25,data[[#This Row],[Age]]&lt;=34),"25-34",IF(AND(data[[#This Row],[Age]]&gt;35,data[[#This Row],[Age]]&lt;=44),"35-44",IF(data[[#This Row],[Age]]&gt;44,"45+",IF(data[[#This Row],[Age]]&lt;18,"below 18 ")))))</f>
        <v>25-34</v>
      </c>
    </row>
    <row r="1173" spans="1:31" x14ac:dyDescent="0.25">
      <c r="A1173" t="s">
        <v>1226</v>
      </c>
      <c r="B1173">
        <v>20</v>
      </c>
      <c r="C1173" t="s">
        <v>31</v>
      </c>
      <c r="D1173" t="s">
        <v>64</v>
      </c>
      <c r="E1173" t="s">
        <v>58</v>
      </c>
      <c r="F1173" t="s">
        <v>51</v>
      </c>
      <c r="G1173">
        <v>7.3</v>
      </c>
      <c r="H1173">
        <v>3</v>
      </c>
      <c r="I1173">
        <v>2</v>
      </c>
      <c r="J1173" t="s">
        <v>35</v>
      </c>
      <c r="K1173" t="s">
        <v>36</v>
      </c>
      <c r="L1173">
        <v>46</v>
      </c>
      <c r="M1173">
        <v>4</v>
      </c>
      <c r="N1173">
        <v>4.9000000000000004</v>
      </c>
      <c r="O1173">
        <v>0.3</v>
      </c>
      <c r="P1173">
        <v>3.7</v>
      </c>
      <c r="Q1173" t="s">
        <v>42</v>
      </c>
      <c r="R1173" t="s">
        <v>35</v>
      </c>
      <c r="S1173">
        <v>7</v>
      </c>
      <c r="T1173">
        <v>5.0999999999999996</v>
      </c>
      <c r="U1173">
        <v>1.7</v>
      </c>
      <c r="V1173">
        <v>9</v>
      </c>
      <c r="W1173">
        <v>7</v>
      </c>
      <c r="X1173">
        <v>6.7</v>
      </c>
      <c r="Y1173">
        <v>4.2</v>
      </c>
      <c r="Z1173">
        <v>7.2</v>
      </c>
      <c r="AA1173">
        <v>3.3</v>
      </c>
      <c r="AB1173">
        <v>4.5999999999999996</v>
      </c>
      <c r="AC1173">
        <v>8.1</v>
      </c>
      <c r="AD1173" t="s">
        <v>37</v>
      </c>
      <c r="AE1173" t="str">
        <f>IF(AND(data[[#This Row],[Age]]&gt;=18,data[[#This Row],[Age]]&lt;=24),"18-24",IF(AND(data[[#This Row],[Age]]&gt;=25,data[[#This Row],[Age]]&lt;=34),"25-34",IF(AND(data[[#This Row],[Age]]&gt;35,data[[#This Row],[Age]]&lt;=44),"35-44",IF(data[[#This Row],[Age]]&gt;44,"45+",IF(data[[#This Row],[Age]]&lt;18,"below 18 ")))))</f>
        <v>18-24</v>
      </c>
    </row>
    <row r="1174" spans="1:31" x14ac:dyDescent="0.25">
      <c r="A1174" t="s">
        <v>1227</v>
      </c>
      <c r="B1174">
        <v>28</v>
      </c>
      <c r="C1174" t="s">
        <v>31</v>
      </c>
      <c r="D1174" t="s">
        <v>39</v>
      </c>
      <c r="E1174" t="s">
        <v>33</v>
      </c>
      <c r="F1174" t="s">
        <v>70</v>
      </c>
      <c r="H1174">
        <v>3</v>
      </c>
      <c r="I1174">
        <v>4</v>
      </c>
      <c r="J1174" t="s">
        <v>42</v>
      </c>
      <c r="K1174" t="s">
        <v>52</v>
      </c>
      <c r="L1174">
        <v>32</v>
      </c>
      <c r="M1174">
        <v>4.5</v>
      </c>
      <c r="N1174">
        <v>5.6</v>
      </c>
      <c r="O1174">
        <v>3.8</v>
      </c>
      <c r="P1174">
        <v>6.7</v>
      </c>
      <c r="Q1174" t="s">
        <v>35</v>
      </c>
      <c r="R1174" t="s">
        <v>42</v>
      </c>
      <c r="S1174">
        <v>6.3</v>
      </c>
      <c r="T1174">
        <v>4.9000000000000004</v>
      </c>
      <c r="U1174">
        <v>3.2</v>
      </c>
      <c r="V1174">
        <v>4.4000000000000004</v>
      </c>
      <c r="W1174">
        <v>6.7</v>
      </c>
      <c r="X1174">
        <v>6.5</v>
      </c>
      <c r="Y1174">
        <v>2.5</v>
      </c>
      <c r="Z1174">
        <v>1.4</v>
      </c>
      <c r="AA1174">
        <v>2.4</v>
      </c>
      <c r="AB1174">
        <v>3.7</v>
      </c>
      <c r="AC1174">
        <v>5.8</v>
      </c>
      <c r="AD1174" t="s">
        <v>45</v>
      </c>
      <c r="AE1174" t="str">
        <f>IF(AND(data[[#This Row],[Age]]&gt;=18,data[[#This Row],[Age]]&lt;=24),"18-24",IF(AND(data[[#This Row],[Age]]&gt;=25,data[[#This Row],[Age]]&lt;=34),"25-34",IF(AND(data[[#This Row],[Age]]&gt;35,data[[#This Row],[Age]]&lt;=44),"35-44",IF(data[[#This Row],[Age]]&gt;44,"45+",IF(data[[#This Row],[Age]]&lt;18,"below 18 ")))))</f>
        <v>25-34</v>
      </c>
    </row>
    <row r="1175" spans="1:31" x14ac:dyDescent="0.25">
      <c r="A1175" t="s">
        <v>1228</v>
      </c>
      <c r="B1175">
        <v>17</v>
      </c>
      <c r="C1175" t="s">
        <v>31</v>
      </c>
      <c r="D1175" t="s">
        <v>64</v>
      </c>
      <c r="E1175" t="s">
        <v>58</v>
      </c>
      <c r="F1175" t="s">
        <v>34</v>
      </c>
      <c r="G1175">
        <v>3.3</v>
      </c>
      <c r="H1175">
        <v>4</v>
      </c>
      <c r="I1175">
        <v>2</v>
      </c>
      <c r="J1175" t="s">
        <v>35</v>
      </c>
      <c r="K1175" t="s">
        <v>52</v>
      </c>
      <c r="L1175">
        <v>23</v>
      </c>
      <c r="M1175">
        <v>3.9</v>
      </c>
      <c r="N1175">
        <v>7</v>
      </c>
      <c r="O1175">
        <v>4.9000000000000004</v>
      </c>
      <c r="P1175">
        <v>3.6</v>
      </c>
      <c r="Q1175" t="s">
        <v>42</v>
      </c>
      <c r="R1175" t="s">
        <v>35</v>
      </c>
      <c r="S1175">
        <v>3.5</v>
      </c>
      <c r="T1175">
        <v>4.3</v>
      </c>
      <c r="U1175">
        <v>3.9</v>
      </c>
      <c r="V1175">
        <v>4.0999999999999996</v>
      </c>
      <c r="W1175">
        <v>4.3</v>
      </c>
      <c r="X1175">
        <v>5.0999999999999996</v>
      </c>
      <c r="Y1175">
        <v>6</v>
      </c>
      <c r="Z1175">
        <v>2.6</v>
      </c>
      <c r="AA1175">
        <v>0.6</v>
      </c>
      <c r="AB1175">
        <v>4.3</v>
      </c>
      <c r="AC1175">
        <v>7.8</v>
      </c>
      <c r="AD1175" t="s">
        <v>37</v>
      </c>
      <c r="AE1175" t="str">
        <f>IF(AND(data[[#This Row],[Age]]&gt;=18,data[[#This Row],[Age]]&lt;=24),"18-24",IF(AND(data[[#This Row],[Age]]&gt;=25,data[[#This Row],[Age]]&lt;=34),"25-34",IF(AND(data[[#This Row],[Age]]&gt;35,data[[#This Row],[Age]]&lt;=44),"35-44",IF(data[[#This Row],[Age]]&gt;44,"45+",IF(data[[#This Row],[Age]]&lt;18,"below 18 ")))))</f>
        <v xml:space="preserve">below 18 </v>
      </c>
    </row>
    <row r="1176" spans="1:31" x14ac:dyDescent="0.25">
      <c r="A1176" t="s">
        <v>1229</v>
      </c>
      <c r="B1176">
        <v>15</v>
      </c>
      <c r="D1176" t="s">
        <v>39</v>
      </c>
      <c r="E1176" t="s">
        <v>33</v>
      </c>
      <c r="F1176" t="s">
        <v>48</v>
      </c>
      <c r="G1176">
        <v>4</v>
      </c>
      <c r="H1176">
        <v>1</v>
      </c>
      <c r="I1176">
        <v>6</v>
      </c>
      <c r="J1176" t="s">
        <v>42</v>
      </c>
      <c r="K1176" t="s">
        <v>36</v>
      </c>
      <c r="L1176">
        <v>73</v>
      </c>
      <c r="M1176">
        <v>7.1</v>
      </c>
      <c r="N1176">
        <v>5</v>
      </c>
      <c r="O1176">
        <v>4.9000000000000004</v>
      </c>
      <c r="P1176">
        <v>4.5</v>
      </c>
      <c r="Q1176" t="s">
        <v>42</v>
      </c>
      <c r="R1176" t="s">
        <v>35</v>
      </c>
      <c r="S1176">
        <v>8</v>
      </c>
      <c r="T1176">
        <v>5.9</v>
      </c>
      <c r="U1176">
        <v>1.9</v>
      </c>
      <c r="V1176">
        <v>5.6</v>
      </c>
      <c r="W1176">
        <v>10</v>
      </c>
      <c r="X1176">
        <v>6.3</v>
      </c>
      <c r="Y1176">
        <v>5.2</v>
      </c>
      <c r="Z1176">
        <v>2.9</v>
      </c>
      <c r="AA1176">
        <v>4.8</v>
      </c>
      <c r="AB1176">
        <v>1.3</v>
      </c>
      <c r="AC1176">
        <v>6.2</v>
      </c>
      <c r="AD1176" t="s">
        <v>45</v>
      </c>
      <c r="AE1176" t="str">
        <f>IF(AND(data[[#This Row],[Age]]&gt;=18,data[[#This Row],[Age]]&lt;=24),"18-24",IF(AND(data[[#This Row],[Age]]&gt;=25,data[[#This Row],[Age]]&lt;=34),"25-34",IF(AND(data[[#This Row],[Age]]&gt;35,data[[#This Row],[Age]]&lt;=44),"35-44",IF(data[[#This Row],[Age]]&gt;44,"45+",IF(data[[#This Row],[Age]]&lt;18,"below 18 ")))))</f>
        <v xml:space="preserve">below 18 </v>
      </c>
    </row>
    <row r="1177" spans="1:31" x14ac:dyDescent="0.25">
      <c r="A1177" t="s">
        <v>1230</v>
      </c>
      <c r="B1177">
        <v>23</v>
      </c>
      <c r="C1177" t="s">
        <v>31</v>
      </c>
      <c r="D1177" t="s">
        <v>39</v>
      </c>
      <c r="E1177" t="s">
        <v>40</v>
      </c>
      <c r="F1177" t="s">
        <v>59</v>
      </c>
      <c r="G1177">
        <v>5.4</v>
      </c>
      <c r="H1177">
        <v>5</v>
      </c>
      <c r="I1177">
        <v>7</v>
      </c>
      <c r="J1177" t="s">
        <v>42</v>
      </c>
      <c r="K1177" t="s">
        <v>36</v>
      </c>
      <c r="L1177">
        <v>57</v>
      </c>
      <c r="M1177">
        <v>3.5</v>
      </c>
      <c r="N1177">
        <v>3.7</v>
      </c>
      <c r="O1177">
        <v>3.5</v>
      </c>
      <c r="P1177">
        <v>6.6</v>
      </c>
      <c r="Q1177" t="s">
        <v>35</v>
      </c>
      <c r="R1177" t="s">
        <v>35</v>
      </c>
      <c r="S1177">
        <v>6.2</v>
      </c>
      <c r="T1177">
        <v>8.6999999999999993</v>
      </c>
      <c r="U1177">
        <v>5.3</v>
      </c>
      <c r="V1177">
        <v>0.7</v>
      </c>
      <c r="W1177">
        <v>3.4</v>
      </c>
      <c r="X1177">
        <v>6.4</v>
      </c>
      <c r="Y1177">
        <v>9</v>
      </c>
      <c r="Z1177">
        <v>5.7</v>
      </c>
      <c r="AA1177">
        <v>5.5</v>
      </c>
      <c r="AB1177">
        <v>0.5</v>
      </c>
      <c r="AC1177">
        <v>4.7</v>
      </c>
      <c r="AD1177" t="s">
        <v>43</v>
      </c>
      <c r="AE1177" t="str">
        <f>IF(AND(data[[#This Row],[Age]]&gt;=18,data[[#This Row],[Age]]&lt;=24),"18-24",IF(AND(data[[#This Row],[Age]]&gt;=25,data[[#This Row],[Age]]&lt;=34),"25-34",IF(AND(data[[#This Row],[Age]]&gt;35,data[[#This Row],[Age]]&lt;=44),"35-44",IF(data[[#This Row],[Age]]&gt;44,"45+",IF(data[[#This Row],[Age]]&lt;18,"below 18 ")))))</f>
        <v>18-24</v>
      </c>
    </row>
    <row r="1178" spans="1:31" x14ac:dyDescent="0.25">
      <c r="A1178" t="s">
        <v>1231</v>
      </c>
      <c r="B1178">
        <v>21</v>
      </c>
      <c r="C1178" t="s">
        <v>47</v>
      </c>
      <c r="D1178" t="s">
        <v>39</v>
      </c>
      <c r="E1178" t="s">
        <v>40</v>
      </c>
      <c r="F1178" t="s">
        <v>34</v>
      </c>
      <c r="G1178">
        <v>4.8</v>
      </c>
      <c r="H1178">
        <v>5</v>
      </c>
      <c r="I1178">
        <v>4</v>
      </c>
      <c r="J1178" t="s">
        <v>42</v>
      </c>
      <c r="K1178" t="s">
        <v>52</v>
      </c>
      <c r="L1178">
        <v>18</v>
      </c>
      <c r="M1178">
        <v>3.9</v>
      </c>
      <c r="N1178">
        <v>6.6</v>
      </c>
      <c r="O1178">
        <v>7.2</v>
      </c>
      <c r="P1178">
        <v>5.9</v>
      </c>
      <c r="Q1178" t="s">
        <v>42</v>
      </c>
      <c r="R1178" t="s">
        <v>35</v>
      </c>
      <c r="S1178">
        <v>4</v>
      </c>
      <c r="T1178">
        <v>2.1</v>
      </c>
      <c r="V1178">
        <v>9.5</v>
      </c>
      <c r="W1178">
        <v>5.5</v>
      </c>
      <c r="X1178">
        <v>6.9</v>
      </c>
      <c r="Y1178">
        <v>4.2</v>
      </c>
      <c r="Z1178">
        <v>4.2</v>
      </c>
      <c r="AA1178">
        <v>3.5</v>
      </c>
      <c r="AB1178">
        <v>1.4</v>
      </c>
      <c r="AC1178">
        <v>6.6</v>
      </c>
      <c r="AD1178" t="s">
        <v>53</v>
      </c>
      <c r="AE1178" t="str">
        <f>IF(AND(data[[#This Row],[Age]]&gt;=18,data[[#This Row],[Age]]&lt;=24),"18-24",IF(AND(data[[#This Row],[Age]]&gt;=25,data[[#This Row],[Age]]&lt;=34),"25-34",IF(AND(data[[#This Row],[Age]]&gt;35,data[[#This Row],[Age]]&lt;=44),"35-44",IF(data[[#This Row],[Age]]&gt;44,"45+",IF(data[[#This Row],[Age]]&lt;18,"below 18 ")))))</f>
        <v>18-24</v>
      </c>
    </row>
    <row r="1179" spans="1:31" x14ac:dyDescent="0.25">
      <c r="A1179" t="s">
        <v>1232</v>
      </c>
      <c r="B1179">
        <v>26</v>
      </c>
      <c r="C1179" t="s">
        <v>31</v>
      </c>
      <c r="D1179" t="s">
        <v>39</v>
      </c>
      <c r="E1179" t="s">
        <v>58</v>
      </c>
      <c r="F1179" t="s">
        <v>34</v>
      </c>
      <c r="H1179">
        <v>4</v>
      </c>
      <c r="I1179">
        <v>4</v>
      </c>
      <c r="J1179" t="s">
        <v>35</v>
      </c>
      <c r="K1179" t="s">
        <v>52</v>
      </c>
      <c r="L1179">
        <v>17</v>
      </c>
      <c r="M1179">
        <v>4.3</v>
      </c>
      <c r="N1179">
        <v>5.5</v>
      </c>
      <c r="O1179">
        <v>0.4</v>
      </c>
      <c r="P1179">
        <v>8.5</v>
      </c>
      <c r="Q1179" t="s">
        <v>35</v>
      </c>
      <c r="R1179" t="s">
        <v>35</v>
      </c>
      <c r="S1179">
        <v>6.6</v>
      </c>
      <c r="T1179">
        <v>4.4000000000000004</v>
      </c>
      <c r="U1179">
        <v>3.6</v>
      </c>
      <c r="V1179">
        <v>8.1</v>
      </c>
      <c r="W1179">
        <v>5.3</v>
      </c>
      <c r="X1179">
        <v>6.4</v>
      </c>
      <c r="Y1179">
        <v>8.5</v>
      </c>
      <c r="Z1179">
        <v>6.8</v>
      </c>
      <c r="AA1179">
        <v>2.7</v>
      </c>
      <c r="AB1179">
        <v>4</v>
      </c>
      <c r="AC1179">
        <v>7.2</v>
      </c>
      <c r="AD1179" t="s">
        <v>37</v>
      </c>
      <c r="AE1179" t="str">
        <f>IF(AND(data[[#This Row],[Age]]&gt;=18,data[[#This Row],[Age]]&lt;=24),"18-24",IF(AND(data[[#This Row],[Age]]&gt;=25,data[[#This Row],[Age]]&lt;=34),"25-34",IF(AND(data[[#This Row],[Age]]&gt;35,data[[#This Row],[Age]]&lt;=44),"35-44",IF(data[[#This Row],[Age]]&gt;44,"45+",IF(data[[#This Row],[Age]]&lt;18,"below 18 ")))))</f>
        <v>25-34</v>
      </c>
    </row>
    <row r="1180" spans="1:31" x14ac:dyDescent="0.25">
      <c r="A1180" t="s">
        <v>1233</v>
      </c>
      <c r="B1180">
        <v>37</v>
      </c>
      <c r="C1180" t="s">
        <v>47</v>
      </c>
      <c r="D1180" t="s">
        <v>64</v>
      </c>
      <c r="E1180" t="s">
        <v>40</v>
      </c>
      <c r="F1180" t="s">
        <v>41</v>
      </c>
      <c r="G1180">
        <v>7.2</v>
      </c>
      <c r="H1180">
        <v>3</v>
      </c>
      <c r="I1180">
        <v>5</v>
      </c>
      <c r="J1180" t="s">
        <v>42</v>
      </c>
      <c r="K1180" t="s">
        <v>52</v>
      </c>
      <c r="L1180">
        <v>36</v>
      </c>
      <c r="M1180">
        <v>9.8000000000000007</v>
      </c>
      <c r="N1180">
        <v>2.2999999999999998</v>
      </c>
      <c r="O1180">
        <v>5.8</v>
      </c>
      <c r="P1180">
        <v>4.9000000000000004</v>
      </c>
      <c r="Q1180" t="s">
        <v>42</v>
      </c>
      <c r="R1180" t="s">
        <v>42</v>
      </c>
      <c r="S1180">
        <v>4.5</v>
      </c>
      <c r="T1180">
        <v>10</v>
      </c>
      <c r="U1180">
        <v>2.9</v>
      </c>
      <c r="V1180">
        <v>8</v>
      </c>
      <c r="W1180">
        <v>3.6</v>
      </c>
      <c r="X1180">
        <v>4.8</v>
      </c>
      <c r="Y1180">
        <v>5.5</v>
      </c>
      <c r="Z1180">
        <v>2.4</v>
      </c>
      <c r="AA1180">
        <v>1</v>
      </c>
      <c r="AB1180">
        <v>0.6</v>
      </c>
      <c r="AC1180">
        <v>4.8</v>
      </c>
      <c r="AD1180" t="s">
        <v>43</v>
      </c>
      <c r="AE1180" t="str">
        <f>IF(AND(data[[#This Row],[Age]]&gt;=18,data[[#This Row],[Age]]&lt;=24),"18-24",IF(AND(data[[#This Row],[Age]]&gt;=25,data[[#This Row],[Age]]&lt;=34),"25-34",IF(AND(data[[#This Row],[Age]]&gt;35,data[[#This Row],[Age]]&lt;=44),"35-44",IF(data[[#This Row],[Age]]&gt;44,"45+",IF(data[[#This Row],[Age]]&lt;18,"below 18 ")))))</f>
        <v>35-44</v>
      </c>
    </row>
    <row r="1181" spans="1:31" x14ac:dyDescent="0.25">
      <c r="A1181" t="s">
        <v>1234</v>
      </c>
      <c r="B1181">
        <v>15</v>
      </c>
      <c r="C1181" t="s">
        <v>47</v>
      </c>
      <c r="D1181" t="s">
        <v>64</v>
      </c>
      <c r="E1181" t="s">
        <v>33</v>
      </c>
      <c r="F1181" t="s">
        <v>51</v>
      </c>
      <c r="G1181">
        <v>3.2</v>
      </c>
      <c r="H1181">
        <v>2</v>
      </c>
      <c r="I1181">
        <v>5</v>
      </c>
      <c r="J1181" t="s">
        <v>42</v>
      </c>
      <c r="K1181" t="s">
        <v>36</v>
      </c>
      <c r="L1181">
        <v>43</v>
      </c>
      <c r="M1181">
        <v>4.3</v>
      </c>
      <c r="N1181">
        <v>2.8</v>
      </c>
      <c r="O1181">
        <v>4.5999999999999996</v>
      </c>
      <c r="P1181">
        <v>6.3</v>
      </c>
      <c r="Q1181" t="s">
        <v>42</v>
      </c>
      <c r="R1181" t="s">
        <v>42</v>
      </c>
      <c r="S1181">
        <v>4.9000000000000004</v>
      </c>
      <c r="T1181">
        <v>6</v>
      </c>
      <c r="U1181">
        <v>5.8</v>
      </c>
      <c r="V1181">
        <v>10</v>
      </c>
      <c r="W1181">
        <v>3.6</v>
      </c>
      <c r="X1181">
        <v>7</v>
      </c>
      <c r="Y1181">
        <v>4.7</v>
      </c>
      <c r="Z1181">
        <v>8.5</v>
      </c>
      <c r="AA1181">
        <v>1.9</v>
      </c>
      <c r="AB1181">
        <v>1.4</v>
      </c>
      <c r="AC1181">
        <v>5.9</v>
      </c>
      <c r="AD1181" t="s">
        <v>53</v>
      </c>
      <c r="AE1181" t="str">
        <f>IF(AND(data[[#This Row],[Age]]&gt;=18,data[[#This Row],[Age]]&lt;=24),"18-24",IF(AND(data[[#This Row],[Age]]&gt;=25,data[[#This Row],[Age]]&lt;=34),"25-34",IF(AND(data[[#This Row],[Age]]&gt;35,data[[#This Row],[Age]]&lt;=44),"35-44",IF(data[[#This Row],[Age]]&gt;44,"45+",IF(data[[#This Row],[Age]]&lt;18,"below 18 ")))))</f>
        <v xml:space="preserve">below 18 </v>
      </c>
    </row>
    <row r="1182" spans="1:31" x14ac:dyDescent="0.25">
      <c r="A1182" t="s">
        <v>1235</v>
      </c>
      <c r="B1182">
        <v>36</v>
      </c>
      <c r="C1182" t="s">
        <v>31</v>
      </c>
      <c r="D1182" t="s">
        <v>32</v>
      </c>
      <c r="E1182" t="s">
        <v>58</v>
      </c>
      <c r="F1182" t="s">
        <v>51</v>
      </c>
      <c r="G1182">
        <v>4.5999999999999996</v>
      </c>
      <c r="H1182">
        <v>2</v>
      </c>
      <c r="I1182">
        <v>6</v>
      </c>
      <c r="J1182" t="s">
        <v>42</v>
      </c>
      <c r="K1182" t="s">
        <v>36</v>
      </c>
      <c r="L1182">
        <v>5</v>
      </c>
      <c r="M1182">
        <v>3.5</v>
      </c>
      <c r="N1182">
        <v>4.7</v>
      </c>
      <c r="O1182">
        <v>7.3</v>
      </c>
      <c r="P1182">
        <v>3.9</v>
      </c>
      <c r="Q1182" t="s">
        <v>35</v>
      </c>
      <c r="R1182" t="s">
        <v>42</v>
      </c>
      <c r="S1182">
        <v>7.6</v>
      </c>
      <c r="T1182">
        <v>5</v>
      </c>
      <c r="U1182">
        <v>8.6999999999999993</v>
      </c>
      <c r="V1182">
        <v>1.2</v>
      </c>
      <c r="W1182">
        <v>5</v>
      </c>
      <c r="X1182">
        <v>6.5</v>
      </c>
      <c r="Y1182">
        <v>4.0999999999999996</v>
      </c>
      <c r="Z1182">
        <v>1</v>
      </c>
      <c r="AA1182">
        <v>4.5999999999999996</v>
      </c>
      <c r="AB1182">
        <v>4.0999999999999996</v>
      </c>
      <c r="AC1182">
        <v>3.6</v>
      </c>
      <c r="AD1182" t="s">
        <v>43</v>
      </c>
      <c r="AE1182" t="str">
        <f>IF(AND(data[[#This Row],[Age]]&gt;=18,data[[#This Row],[Age]]&lt;=24),"18-24",IF(AND(data[[#This Row],[Age]]&gt;=25,data[[#This Row],[Age]]&lt;=34),"25-34",IF(AND(data[[#This Row],[Age]]&gt;35,data[[#This Row],[Age]]&lt;=44),"35-44",IF(data[[#This Row],[Age]]&gt;44,"45+",IF(data[[#This Row],[Age]]&lt;18,"below 18 ")))))</f>
        <v>35-44</v>
      </c>
    </row>
    <row r="1183" spans="1:31" x14ac:dyDescent="0.25">
      <c r="A1183" t="s">
        <v>1236</v>
      </c>
      <c r="B1183">
        <v>26</v>
      </c>
      <c r="D1183" t="s">
        <v>39</v>
      </c>
      <c r="E1183" t="s">
        <v>58</v>
      </c>
      <c r="F1183" t="s">
        <v>51</v>
      </c>
      <c r="G1183">
        <v>5.6</v>
      </c>
      <c r="H1183">
        <v>3</v>
      </c>
      <c r="I1183">
        <v>6</v>
      </c>
      <c r="J1183" t="s">
        <v>42</v>
      </c>
      <c r="K1183" t="s">
        <v>52</v>
      </c>
      <c r="L1183">
        <v>109</v>
      </c>
      <c r="M1183">
        <v>5.5</v>
      </c>
      <c r="N1183">
        <v>8</v>
      </c>
      <c r="O1183">
        <v>4</v>
      </c>
      <c r="P1183">
        <v>9.5</v>
      </c>
      <c r="Q1183" t="s">
        <v>42</v>
      </c>
      <c r="R1183" t="s">
        <v>42</v>
      </c>
      <c r="S1183">
        <v>9.5</v>
      </c>
      <c r="U1183">
        <v>4.2</v>
      </c>
      <c r="V1183">
        <v>5.4</v>
      </c>
      <c r="W1183">
        <v>3</v>
      </c>
      <c r="X1183">
        <v>7.5</v>
      </c>
      <c r="Y1183">
        <v>5.6</v>
      </c>
      <c r="Z1183">
        <v>4.7</v>
      </c>
      <c r="AA1183">
        <v>1.6</v>
      </c>
      <c r="AB1183">
        <v>1.8</v>
      </c>
      <c r="AC1183">
        <v>3.6</v>
      </c>
      <c r="AD1183" t="s">
        <v>43</v>
      </c>
      <c r="AE1183" t="str">
        <f>IF(AND(data[[#This Row],[Age]]&gt;=18,data[[#This Row],[Age]]&lt;=24),"18-24",IF(AND(data[[#This Row],[Age]]&gt;=25,data[[#This Row],[Age]]&lt;=34),"25-34",IF(AND(data[[#This Row],[Age]]&gt;35,data[[#This Row],[Age]]&lt;=44),"35-44",IF(data[[#This Row],[Age]]&gt;44,"45+",IF(data[[#This Row],[Age]]&lt;18,"below 18 ")))))</f>
        <v>25-34</v>
      </c>
    </row>
    <row r="1184" spans="1:31" x14ac:dyDescent="0.25">
      <c r="A1184" t="s">
        <v>1237</v>
      </c>
      <c r="B1184">
        <v>16</v>
      </c>
      <c r="C1184" t="s">
        <v>50</v>
      </c>
      <c r="D1184" t="s">
        <v>39</v>
      </c>
      <c r="E1184" t="s">
        <v>33</v>
      </c>
      <c r="F1184" t="s">
        <v>51</v>
      </c>
      <c r="G1184">
        <v>3.6</v>
      </c>
      <c r="H1184">
        <v>2</v>
      </c>
      <c r="I1184">
        <v>3</v>
      </c>
      <c r="K1184" t="s">
        <v>52</v>
      </c>
      <c r="L1184">
        <v>64</v>
      </c>
      <c r="M1184">
        <v>6.8</v>
      </c>
      <c r="N1184">
        <v>4.7</v>
      </c>
      <c r="O1184">
        <v>2.6</v>
      </c>
      <c r="P1184">
        <v>10</v>
      </c>
      <c r="Q1184" t="s">
        <v>42</v>
      </c>
      <c r="R1184" t="s">
        <v>42</v>
      </c>
      <c r="S1184">
        <v>8.5</v>
      </c>
      <c r="T1184">
        <v>4.8</v>
      </c>
      <c r="U1184">
        <v>7.1</v>
      </c>
      <c r="V1184">
        <v>8.9</v>
      </c>
      <c r="W1184">
        <v>10</v>
      </c>
      <c r="X1184">
        <v>6.1</v>
      </c>
      <c r="Y1184">
        <v>4.3</v>
      </c>
      <c r="Z1184">
        <v>9.3000000000000007</v>
      </c>
      <c r="AA1184">
        <v>3.3</v>
      </c>
      <c r="AB1184">
        <v>1.1000000000000001</v>
      </c>
      <c r="AC1184">
        <v>6.8</v>
      </c>
      <c r="AD1184" t="s">
        <v>53</v>
      </c>
      <c r="AE1184" t="str">
        <f>IF(AND(data[[#This Row],[Age]]&gt;=18,data[[#This Row],[Age]]&lt;=24),"18-24",IF(AND(data[[#This Row],[Age]]&gt;=25,data[[#This Row],[Age]]&lt;=34),"25-34",IF(AND(data[[#This Row],[Age]]&gt;35,data[[#This Row],[Age]]&lt;=44),"35-44",IF(data[[#This Row],[Age]]&gt;44,"45+",IF(data[[#This Row],[Age]]&lt;18,"below 18 ")))))</f>
        <v xml:space="preserve">below 18 </v>
      </c>
    </row>
    <row r="1185" spans="1:31" x14ac:dyDescent="0.25">
      <c r="A1185" t="s">
        <v>1238</v>
      </c>
      <c r="B1185">
        <v>29</v>
      </c>
      <c r="C1185" t="s">
        <v>31</v>
      </c>
      <c r="D1185" t="s">
        <v>39</v>
      </c>
      <c r="E1185" t="s">
        <v>58</v>
      </c>
      <c r="F1185" t="s">
        <v>34</v>
      </c>
      <c r="G1185">
        <v>4.5</v>
      </c>
      <c r="H1185">
        <v>2</v>
      </c>
      <c r="I1185">
        <v>2</v>
      </c>
      <c r="J1185" t="s">
        <v>35</v>
      </c>
      <c r="K1185" t="s">
        <v>62</v>
      </c>
      <c r="L1185">
        <v>94</v>
      </c>
      <c r="M1185">
        <v>4.7</v>
      </c>
      <c r="N1185">
        <v>6.1</v>
      </c>
      <c r="O1185">
        <v>6.8</v>
      </c>
      <c r="P1185">
        <v>4</v>
      </c>
      <c r="Q1185" t="s">
        <v>35</v>
      </c>
      <c r="R1185" t="s">
        <v>35</v>
      </c>
      <c r="S1185">
        <v>5.7</v>
      </c>
      <c r="T1185">
        <v>6.2</v>
      </c>
      <c r="U1185">
        <v>4.3</v>
      </c>
      <c r="V1185">
        <v>1.7</v>
      </c>
      <c r="W1185">
        <v>6.1</v>
      </c>
      <c r="X1185">
        <v>7.2</v>
      </c>
      <c r="Y1185">
        <v>4.0999999999999996</v>
      </c>
      <c r="Z1185">
        <v>4.0999999999999996</v>
      </c>
      <c r="AA1185">
        <v>1.4</v>
      </c>
      <c r="AB1185">
        <v>1.3</v>
      </c>
      <c r="AC1185">
        <v>7.9</v>
      </c>
      <c r="AD1185" t="s">
        <v>37</v>
      </c>
      <c r="AE1185" t="str">
        <f>IF(AND(data[[#This Row],[Age]]&gt;=18,data[[#This Row],[Age]]&lt;=24),"18-24",IF(AND(data[[#This Row],[Age]]&gt;=25,data[[#This Row],[Age]]&lt;=34),"25-34",IF(AND(data[[#This Row],[Age]]&gt;35,data[[#This Row],[Age]]&lt;=44),"35-44",IF(data[[#This Row],[Age]]&gt;44,"45+",IF(data[[#This Row],[Age]]&lt;18,"below 18 ")))))</f>
        <v>25-34</v>
      </c>
    </row>
    <row r="1186" spans="1:31" x14ac:dyDescent="0.25">
      <c r="A1186" t="s">
        <v>1239</v>
      </c>
      <c r="B1186">
        <v>33</v>
      </c>
      <c r="C1186" t="s">
        <v>47</v>
      </c>
      <c r="D1186" t="s">
        <v>32</v>
      </c>
      <c r="E1186" t="s">
        <v>40</v>
      </c>
      <c r="F1186" t="s">
        <v>34</v>
      </c>
      <c r="G1186">
        <v>7.8</v>
      </c>
      <c r="H1186">
        <v>2</v>
      </c>
      <c r="I1186">
        <v>4</v>
      </c>
      <c r="J1186" t="s">
        <v>42</v>
      </c>
      <c r="K1186" t="s">
        <v>36</v>
      </c>
      <c r="L1186">
        <v>5</v>
      </c>
      <c r="M1186">
        <v>5.4</v>
      </c>
      <c r="N1186">
        <v>3.4</v>
      </c>
      <c r="P1186">
        <v>2.1</v>
      </c>
      <c r="Q1186" t="s">
        <v>35</v>
      </c>
      <c r="R1186" t="s">
        <v>35</v>
      </c>
      <c r="S1186">
        <v>6.9</v>
      </c>
      <c r="T1186">
        <v>2.8</v>
      </c>
      <c r="U1186">
        <v>6.1</v>
      </c>
      <c r="V1186">
        <v>7.6</v>
      </c>
      <c r="W1186">
        <v>5</v>
      </c>
      <c r="Y1186">
        <v>7.7</v>
      </c>
      <c r="Z1186">
        <v>6.6</v>
      </c>
      <c r="AA1186">
        <v>0.3</v>
      </c>
      <c r="AB1186">
        <v>0.9</v>
      </c>
      <c r="AC1186">
        <v>6.6</v>
      </c>
      <c r="AD1186" t="s">
        <v>53</v>
      </c>
      <c r="AE1186" t="str">
        <f>IF(AND(data[[#This Row],[Age]]&gt;=18,data[[#This Row],[Age]]&lt;=24),"18-24",IF(AND(data[[#This Row],[Age]]&gt;=25,data[[#This Row],[Age]]&lt;=34),"25-34",IF(AND(data[[#This Row],[Age]]&gt;35,data[[#This Row],[Age]]&lt;=44),"35-44",IF(data[[#This Row],[Age]]&gt;44,"45+",IF(data[[#This Row],[Age]]&lt;18,"below 18 ")))))</f>
        <v>25-34</v>
      </c>
    </row>
    <row r="1187" spans="1:31" x14ac:dyDescent="0.25">
      <c r="A1187" t="s">
        <v>1240</v>
      </c>
      <c r="B1187">
        <v>38</v>
      </c>
      <c r="C1187" t="s">
        <v>31</v>
      </c>
      <c r="D1187" t="s">
        <v>39</v>
      </c>
      <c r="E1187" t="s">
        <v>40</v>
      </c>
      <c r="F1187" t="s">
        <v>41</v>
      </c>
      <c r="G1187">
        <v>0.5</v>
      </c>
      <c r="H1187">
        <v>2</v>
      </c>
      <c r="I1187">
        <v>2</v>
      </c>
      <c r="J1187" t="s">
        <v>35</v>
      </c>
      <c r="K1187" t="s">
        <v>52</v>
      </c>
      <c r="L1187">
        <v>25</v>
      </c>
      <c r="M1187">
        <v>4.8</v>
      </c>
      <c r="N1187">
        <v>4.3</v>
      </c>
      <c r="O1187">
        <v>4.9000000000000004</v>
      </c>
      <c r="P1187">
        <v>5</v>
      </c>
      <c r="Q1187" t="s">
        <v>42</v>
      </c>
      <c r="R1187" t="s">
        <v>35</v>
      </c>
      <c r="S1187">
        <v>0.8</v>
      </c>
      <c r="T1187">
        <v>5.4</v>
      </c>
      <c r="U1187">
        <v>2.8</v>
      </c>
      <c r="V1187">
        <v>4.2</v>
      </c>
      <c r="W1187">
        <v>7.1</v>
      </c>
      <c r="X1187">
        <v>5.6</v>
      </c>
      <c r="Y1187">
        <v>3.5</v>
      </c>
      <c r="Z1187">
        <v>2.2999999999999998</v>
      </c>
      <c r="AA1187">
        <v>6.6</v>
      </c>
      <c r="AB1187">
        <v>0</v>
      </c>
      <c r="AC1187">
        <v>7.9</v>
      </c>
      <c r="AD1187" t="s">
        <v>37</v>
      </c>
      <c r="AE1187" t="str">
        <f>IF(AND(data[[#This Row],[Age]]&gt;=18,data[[#This Row],[Age]]&lt;=24),"18-24",IF(AND(data[[#This Row],[Age]]&gt;=25,data[[#This Row],[Age]]&lt;=34),"25-34",IF(AND(data[[#This Row],[Age]]&gt;35,data[[#This Row],[Age]]&lt;=44),"35-44",IF(data[[#This Row],[Age]]&gt;44,"45+",IF(data[[#This Row],[Age]]&lt;18,"below 18 ")))))</f>
        <v>35-44</v>
      </c>
    </row>
    <row r="1188" spans="1:31" x14ac:dyDescent="0.25">
      <c r="A1188" t="s">
        <v>1241</v>
      </c>
      <c r="B1188">
        <v>18</v>
      </c>
      <c r="D1188" t="s">
        <v>32</v>
      </c>
      <c r="E1188" t="s">
        <v>33</v>
      </c>
      <c r="F1188" t="s">
        <v>41</v>
      </c>
      <c r="G1188">
        <v>5.2</v>
      </c>
      <c r="H1188">
        <v>3</v>
      </c>
      <c r="I1188">
        <v>3</v>
      </c>
      <c r="J1188" t="s">
        <v>35</v>
      </c>
      <c r="K1188" t="s">
        <v>62</v>
      </c>
      <c r="L1188">
        <v>58</v>
      </c>
      <c r="M1188">
        <v>7.1</v>
      </c>
      <c r="N1188">
        <v>7.9</v>
      </c>
      <c r="O1188">
        <v>3.7</v>
      </c>
      <c r="P1188">
        <v>1.9</v>
      </c>
      <c r="Q1188" t="s">
        <v>35</v>
      </c>
      <c r="R1188" t="s">
        <v>35</v>
      </c>
      <c r="S1188">
        <v>5.4</v>
      </c>
      <c r="T1188">
        <v>6.4</v>
      </c>
      <c r="U1188">
        <v>6.3</v>
      </c>
      <c r="V1188">
        <v>6.5</v>
      </c>
      <c r="W1188">
        <v>5.9</v>
      </c>
      <c r="X1188">
        <v>7.1</v>
      </c>
      <c r="Y1188">
        <v>4.5999999999999996</v>
      </c>
      <c r="Z1188">
        <v>3.7</v>
      </c>
      <c r="AA1188">
        <v>1.7</v>
      </c>
      <c r="AB1188">
        <v>1.8</v>
      </c>
      <c r="AC1188">
        <v>6.3</v>
      </c>
      <c r="AD1188" t="s">
        <v>53</v>
      </c>
      <c r="AE1188" t="str">
        <f>IF(AND(data[[#This Row],[Age]]&gt;=18,data[[#This Row],[Age]]&lt;=24),"18-24",IF(AND(data[[#This Row],[Age]]&gt;=25,data[[#This Row],[Age]]&lt;=34),"25-34",IF(AND(data[[#This Row],[Age]]&gt;35,data[[#This Row],[Age]]&lt;=44),"35-44",IF(data[[#This Row],[Age]]&gt;44,"45+",IF(data[[#This Row],[Age]]&lt;18,"below 18 ")))))</f>
        <v>18-24</v>
      </c>
    </row>
    <row r="1189" spans="1:31" x14ac:dyDescent="0.25">
      <c r="A1189" t="s">
        <v>1242</v>
      </c>
      <c r="B1189">
        <v>25</v>
      </c>
      <c r="C1189" t="s">
        <v>47</v>
      </c>
      <c r="D1189" t="s">
        <v>39</v>
      </c>
      <c r="E1189" t="s">
        <v>33</v>
      </c>
      <c r="F1189" t="s">
        <v>70</v>
      </c>
      <c r="H1189">
        <v>2</v>
      </c>
      <c r="I1189">
        <v>5</v>
      </c>
      <c r="J1189" t="s">
        <v>42</v>
      </c>
      <c r="K1189" t="s">
        <v>36</v>
      </c>
      <c r="L1189">
        <v>75</v>
      </c>
      <c r="M1189">
        <v>5.8</v>
      </c>
      <c r="N1189">
        <v>4.2</v>
      </c>
      <c r="O1189">
        <v>6.6</v>
      </c>
      <c r="P1189">
        <v>6.3</v>
      </c>
      <c r="Q1189" t="s">
        <v>42</v>
      </c>
      <c r="R1189" t="s">
        <v>35</v>
      </c>
      <c r="S1189">
        <v>6.1</v>
      </c>
      <c r="T1189">
        <v>9.8000000000000007</v>
      </c>
      <c r="U1189">
        <v>5.6</v>
      </c>
      <c r="V1189">
        <v>9.4</v>
      </c>
      <c r="W1189">
        <v>3.5</v>
      </c>
      <c r="X1189">
        <v>6.2</v>
      </c>
      <c r="Y1189">
        <v>7.8</v>
      </c>
      <c r="Z1189">
        <v>1.7</v>
      </c>
      <c r="AA1189">
        <v>0</v>
      </c>
      <c r="AB1189">
        <v>1</v>
      </c>
      <c r="AC1189">
        <v>5</v>
      </c>
      <c r="AD1189" t="s">
        <v>43</v>
      </c>
      <c r="AE1189" t="str">
        <f>IF(AND(data[[#This Row],[Age]]&gt;=18,data[[#This Row],[Age]]&lt;=24),"18-24",IF(AND(data[[#This Row],[Age]]&gt;=25,data[[#This Row],[Age]]&lt;=34),"25-34",IF(AND(data[[#This Row],[Age]]&gt;35,data[[#This Row],[Age]]&lt;=44),"35-44",IF(data[[#This Row],[Age]]&gt;44,"45+",IF(data[[#This Row],[Age]]&lt;18,"below 18 ")))))</f>
        <v>25-34</v>
      </c>
    </row>
    <row r="1190" spans="1:31" x14ac:dyDescent="0.25">
      <c r="A1190" t="s">
        <v>1243</v>
      </c>
      <c r="B1190">
        <v>17</v>
      </c>
      <c r="C1190" t="s">
        <v>50</v>
      </c>
      <c r="E1190" t="s">
        <v>58</v>
      </c>
      <c r="F1190" t="s">
        <v>34</v>
      </c>
      <c r="G1190">
        <v>2.1</v>
      </c>
      <c r="H1190">
        <v>6</v>
      </c>
      <c r="I1190">
        <v>3</v>
      </c>
      <c r="J1190" t="s">
        <v>35</v>
      </c>
      <c r="K1190" t="s">
        <v>52</v>
      </c>
      <c r="L1190">
        <v>5</v>
      </c>
      <c r="M1190">
        <v>1.7</v>
      </c>
      <c r="N1190">
        <v>5.2</v>
      </c>
      <c r="O1190">
        <v>3.8</v>
      </c>
      <c r="P1190">
        <v>3.7</v>
      </c>
      <c r="Q1190" t="s">
        <v>42</v>
      </c>
      <c r="R1190" t="s">
        <v>35</v>
      </c>
      <c r="S1190">
        <v>1.2</v>
      </c>
      <c r="T1190">
        <v>1.6</v>
      </c>
      <c r="V1190">
        <v>9.4</v>
      </c>
      <c r="W1190">
        <v>1.9</v>
      </c>
      <c r="X1190">
        <v>5.5</v>
      </c>
      <c r="Y1190">
        <v>6.4</v>
      </c>
      <c r="Z1190">
        <v>6.3</v>
      </c>
      <c r="AA1190">
        <v>0</v>
      </c>
      <c r="AB1190">
        <v>2.7</v>
      </c>
      <c r="AC1190">
        <v>7.9</v>
      </c>
      <c r="AD1190" t="s">
        <v>37</v>
      </c>
      <c r="AE1190" t="str">
        <f>IF(AND(data[[#This Row],[Age]]&gt;=18,data[[#This Row],[Age]]&lt;=24),"18-24",IF(AND(data[[#This Row],[Age]]&gt;=25,data[[#This Row],[Age]]&lt;=34),"25-34",IF(AND(data[[#This Row],[Age]]&gt;35,data[[#This Row],[Age]]&lt;=44),"35-44",IF(data[[#This Row],[Age]]&gt;44,"45+",IF(data[[#This Row],[Age]]&lt;18,"below 18 ")))))</f>
        <v xml:space="preserve">below 18 </v>
      </c>
    </row>
    <row r="1191" spans="1:31" x14ac:dyDescent="0.25">
      <c r="A1191" t="s">
        <v>1244</v>
      </c>
      <c r="B1191">
        <v>41</v>
      </c>
      <c r="C1191" t="s">
        <v>31</v>
      </c>
      <c r="D1191" t="s">
        <v>32</v>
      </c>
      <c r="E1191" t="s">
        <v>58</v>
      </c>
      <c r="F1191" t="s">
        <v>41</v>
      </c>
      <c r="G1191">
        <v>4.0999999999999996</v>
      </c>
      <c r="H1191">
        <v>1</v>
      </c>
      <c r="I1191">
        <v>3</v>
      </c>
      <c r="J1191" t="s">
        <v>42</v>
      </c>
      <c r="K1191" t="s">
        <v>36</v>
      </c>
      <c r="L1191">
        <v>5</v>
      </c>
      <c r="M1191">
        <v>6.3</v>
      </c>
      <c r="N1191">
        <v>2.5</v>
      </c>
      <c r="O1191">
        <v>1.2</v>
      </c>
      <c r="P1191">
        <v>4.5</v>
      </c>
      <c r="Q1191" t="s">
        <v>42</v>
      </c>
      <c r="R1191" t="s">
        <v>42</v>
      </c>
      <c r="S1191">
        <v>5.5</v>
      </c>
      <c r="T1191">
        <v>2.7</v>
      </c>
      <c r="U1191">
        <v>4.9000000000000004</v>
      </c>
      <c r="V1191">
        <v>5.6</v>
      </c>
      <c r="W1191">
        <v>7</v>
      </c>
      <c r="X1191">
        <v>7.1</v>
      </c>
      <c r="Y1191">
        <v>6.3</v>
      </c>
      <c r="Z1191">
        <v>5.7</v>
      </c>
      <c r="AA1191">
        <v>2.2999999999999998</v>
      </c>
      <c r="AB1191">
        <v>6.7</v>
      </c>
      <c r="AC1191">
        <v>7.3</v>
      </c>
      <c r="AD1191" t="s">
        <v>53</v>
      </c>
      <c r="AE1191" t="str">
        <f>IF(AND(data[[#This Row],[Age]]&gt;=18,data[[#This Row],[Age]]&lt;=24),"18-24",IF(AND(data[[#This Row],[Age]]&gt;=25,data[[#This Row],[Age]]&lt;=34),"25-34",IF(AND(data[[#This Row],[Age]]&gt;35,data[[#This Row],[Age]]&lt;=44),"35-44",IF(data[[#This Row],[Age]]&gt;44,"45+",IF(data[[#This Row],[Age]]&lt;18,"below 18 ")))))</f>
        <v>35-44</v>
      </c>
    </row>
    <row r="1192" spans="1:31" x14ac:dyDescent="0.25">
      <c r="A1192" t="s">
        <v>1245</v>
      </c>
      <c r="B1192">
        <v>32</v>
      </c>
      <c r="C1192" t="s">
        <v>31</v>
      </c>
      <c r="D1192" t="s">
        <v>39</v>
      </c>
      <c r="E1192" t="s">
        <v>40</v>
      </c>
      <c r="F1192" t="s">
        <v>51</v>
      </c>
      <c r="G1192">
        <v>5.4</v>
      </c>
      <c r="H1192">
        <v>3</v>
      </c>
      <c r="I1192">
        <v>4</v>
      </c>
      <c r="J1192" t="s">
        <v>35</v>
      </c>
      <c r="K1192" t="s">
        <v>52</v>
      </c>
      <c r="L1192">
        <v>69</v>
      </c>
      <c r="M1192">
        <v>6.7</v>
      </c>
      <c r="N1192">
        <v>5.8</v>
      </c>
      <c r="O1192">
        <v>6.4</v>
      </c>
      <c r="P1192">
        <v>5.5</v>
      </c>
      <c r="Q1192" t="s">
        <v>42</v>
      </c>
      <c r="R1192" t="s">
        <v>35</v>
      </c>
      <c r="S1192">
        <v>2.2999999999999998</v>
      </c>
      <c r="T1192">
        <v>5.7</v>
      </c>
      <c r="U1192">
        <v>4.4000000000000004</v>
      </c>
      <c r="V1192">
        <v>3.7</v>
      </c>
      <c r="W1192">
        <v>1.6</v>
      </c>
      <c r="X1192">
        <v>6.3</v>
      </c>
      <c r="Y1192">
        <v>4.0999999999999996</v>
      </c>
      <c r="Z1192">
        <v>4</v>
      </c>
      <c r="AA1192">
        <v>1.4</v>
      </c>
      <c r="AB1192">
        <v>5.2</v>
      </c>
      <c r="AC1192">
        <v>6.6</v>
      </c>
      <c r="AD1192" t="s">
        <v>45</v>
      </c>
      <c r="AE1192" t="str">
        <f>IF(AND(data[[#This Row],[Age]]&gt;=18,data[[#This Row],[Age]]&lt;=24),"18-24",IF(AND(data[[#This Row],[Age]]&gt;=25,data[[#This Row],[Age]]&lt;=34),"25-34",IF(AND(data[[#This Row],[Age]]&gt;35,data[[#This Row],[Age]]&lt;=44),"35-44",IF(data[[#This Row],[Age]]&gt;44,"45+",IF(data[[#This Row],[Age]]&lt;18,"below 18 ")))))</f>
        <v>25-34</v>
      </c>
    </row>
    <row r="1193" spans="1:31" x14ac:dyDescent="0.25">
      <c r="A1193" t="s">
        <v>1246</v>
      </c>
      <c r="B1193">
        <v>21</v>
      </c>
      <c r="C1193" t="s">
        <v>31</v>
      </c>
      <c r="D1193" t="s">
        <v>39</v>
      </c>
      <c r="E1193" t="s">
        <v>33</v>
      </c>
      <c r="F1193" t="s">
        <v>51</v>
      </c>
      <c r="G1193">
        <v>6.4</v>
      </c>
      <c r="H1193">
        <v>1</v>
      </c>
      <c r="I1193">
        <v>4</v>
      </c>
      <c r="J1193" t="s">
        <v>35</v>
      </c>
      <c r="K1193" t="s">
        <v>52</v>
      </c>
      <c r="L1193">
        <v>57</v>
      </c>
      <c r="M1193">
        <v>7.5</v>
      </c>
      <c r="N1193">
        <v>4.7</v>
      </c>
      <c r="O1193">
        <v>9.9</v>
      </c>
      <c r="P1193">
        <v>3.1</v>
      </c>
      <c r="Q1193" t="s">
        <v>35</v>
      </c>
      <c r="R1193" t="s">
        <v>42</v>
      </c>
      <c r="S1193">
        <v>4.2</v>
      </c>
      <c r="T1193">
        <v>7.5</v>
      </c>
      <c r="U1193">
        <v>2.2000000000000002</v>
      </c>
      <c r="V1193">
        <v>9.6</v>
      </c>
      <c r="W1193">
        <v>4.8</v>
      </c>
      <c r="X1193">
        <v>7.4</v>
      </c>
      <c r="Y1193">
        <v>5.5</v>
      </c>
      <c r="Z1193">
        <v>4.8</v>
      </c>
      <c r="AA1193">
        <v>1.6</v>
      </c>
      <c r="AB1193">
        <v>3.4</v>
      </c>
      <c r="AC1193">
        <v>6.2</v>
      </c>
      <c r="AD1193" t="s">
        <v>45</v>
      </c>
      <c r="AE1193" t="str">
        <f>IF(AND(data[[#This Row],[Age]]&gt;=18,data[[#This Row],[Age]]&lt;=24),"18-24",IF(AND(data[[#This Row],[Age]]&gt;=25,data[[#This Row],[Age]]&lt;=34),"25-34",IF(AND(data[[#This Row],[Age]]&gt;35,data[[#This Row],[Age]]&lt;=44),"35-44",IF(data[[#This Row],[Age]]&gt;44,"45+",IF(data[[#This Row],[Age]]&lt;18,"below 18 ")))))</f>
        <v>18-24</v>
      </c>
    </row>
    <row r="1194" spans="1:31" x14ac:dyDescent="0.25">
      <c r="A1194" t="s">
        <v>1247</v>
      </c>
      <c r="B1194">
        <v>25</v>
      </c>
      <c r="C1194" t="s">
        <v>31</v>
      </c>
      <c r="D1194" t="s">
        <v>64</v>
      </c>
      <c r="E1194" t="s">
        <v>58</v>
      </c>
      <c r="F1194" t="s">
        <v>51</v>
      </c>
      <c r="G1194">
        <v>2.9</v>
      </c>
      <c r="H1194">
        <v>4</v>
      </c>
      <c r="I1194">
        <v>2</v>
      </c>
      <c r="K1194" t="s">
        <v>52</v>
      </c>
      <c r="L1194">
        <v>25</v>
      </c>
      <c r="M1194">
        <v>5.7</v>
      </c>
      <c r="N1194">
        <v>5.5</v>
      </c>
      <c r="O1194">
        <v>6.5</v>
      </c>
      <c r="P1194">
        <v>7.8</v>
      </c>
      <c r="Q1194" t="s">
        <v>42</v>
      </c>
      <c r="R1194" t="s">
        <v>35</v>
      </c>
      <c r="S1194">
        <v>5.0999999999999996</v>
      </c>
      <c r="T1194">
        <v>6.2</v>
      </c>
      <c r="V1194">
        <v>6.5</v>
      </c>
      <c r="W1194">
        <v>7.9</v>
      </c>
      <c r="X1194">
        <v>7.6</v>
      </c>
      <c r="Y1194">
        <v>3.7</v>
      </c>
      <c r="Z1194">
        <v>5.7</v>
      </c>
      <c r="AA1194">
        <v>6.2</v>
      </c>
      <c r="AB1194">
        <v>4.3</v>
      </c>
      <c r="AC1194">
        <v>8</v>
      </c>
      <c r="AD1194" t="s">
        <v>37</v>
      </c>
      <c r="AE1194" t="str">
        <f>IF(AND(data[[#This Row],[Age]]&gt;=18,data[[#This Row],[Age]]&lt;=24),"18-24",IF(AND(data[[#This Row],[Age]]&gt;=25,data[[#This Row],[Age]]&lt;=34),"25-34",IF(AND(data[[#This Row],[Age]]&gt;35,data[[#This Row],[Age]]&lt;=44),"35-44",IF(data[[#This Row],[Age]]&gt;44,"45+",IF(data[[#This Row],[Age]]&lt;18,"below 18 ")))))</f>
        <v>25-34</v>
      </c>
    </row>
    <row r="1195" spans="1:31" x14ac:dyDescent="0.25">
      <c r="A1195" t="s">
        <v>1248</v>
      </c>
      <c r="B1195">
        <v>29</v>
      </c>
      <c r="C1195" t="s">
        <v>50</v>
      </c>
      <c r="D1195" t="s">
        <v>64</v>
      </c>
      <c r="E1195" t="s">
        <v>33</v>
      </c>
      <c r="F1195" t="s">
        <v>41</v>
      </c>
      <c r="G1195">
        <v>6</v>
      </c>
      <c r="H1195">
        <v>4</v>
      </c>
      <c r="I1195">
        <v>3</v>
      </c>
      <c r="J1195" t="s">
        <v>42</v>
      </c>
      <c r="K1195" t="s">
        <v>52</v>
      </c>
      <c r="L1195">
        <v>5</v>
      </c>
      <c r="M1195">
        <v>7.1</v>
      </c>
      <c r="N1195">
        <v>5.4</v>
      </c>
      <c r="O1195">
        <v>6</v>
      </c>
      <c r="P1195">
        <v>7.8</v>
      </c>
      <c r="Q1195" t="s">
        <v>42</v>
      </c>
      <c r="R1195" t="s">
        <v>42</v>
      </c>
      <c r="S1195">
        <v>1.3</v>
      </c>
      <c r="T1195">
        <v>2</v>
      </c>
      <c r="V1195">
        <v>4.4000000000000004</v>
      </c>
      <c r="W1195">
        <v>4.3</v>
      </c>
      <c r="X1195">
        <v>7.1</v>
      </c>
      <c r="Y1195">
        <v>2.6</v>
      </c>
      <c r="Z1195">
        <v>6.1</v>
      </c>
      <c r="AA1195">
        <v>7</v>
      </c>
      <c r="AB1195">
        <v>1.4</v>
      </c>
      <c r="AC1195">
        <v>5.5</v>
      </c>
      <c r="AD1195" t="s">
        <v>45</v>
      </c>
      <c r="AE1195" t="str">
        <f>IF(AND(data[[#This Row],[Age]]&gt;=18,data[[#This Row],[Age]]&lt;=24),"18-24",IF(AND(data[[#This Row],[Age]]&gt;=25,data[[#This Row],[Age]]&lt;=34),"25-34",IF(AND(data[[#This Row],[Age]]&gt;35,data[[#This Row],[Age]]&lt;=44),"35-44",IF(data[[#This Row],[Age]]&gt;44,"45+",IF(data[[#This Row],[Age]]&lt;18,"below 18 ")))))</f>
        <v>25-34</v>
      </c>
    </row>
    <row r="1196" spans="1:31" x14ac:dyDescent="0.25">
      <c r="A1196" t="s">
        <v>1249</v>
      </c>
      <c r="B1196">
        <v>40</v>
      </c>
      <c r="C1196" t="s">
        <v>47</v>
      </c>
      <c r="D1196" t="s">
        <v>32</v>
      </c>
      <c r="E1196" t="s">
        <v>33</v>
      </c>
      <c r="F1196" t="s">
        <v>70</v>
      </c>
      <c r="G1196">
        <v>7.8</v>
      </c>
      <c r="H1196">
        <v>3</v>
      </c>
      <c r="I1196">
        <v>3</v>
      </c>
      <c r="J1196" t="s">
        <v>35</v>
      </c>
      <c r="K1196" t="s">
        <v>36</v>
      </c>
      <c r="L1196">
        <v>49</v>
      </c>
      <c r="M1196">
        <v>3.2</v>
      </c>
      <c r="N1196">
        <v>7.2</v>
      </c>
      <c r="O1196">
        <v>10</v>
      </c>
      <c r="P1196">
        <v>7</v>
      </c>
      <c r="Q1196" t="s">
        <v>35</v>
      </c>
      <c r="R1196" t="s">
        <v>42</v>
      </c>
      <c r="S1196">
        <v>4.9000000000000004</v>
      </c>
      <c r="T1196">
        <v>9.9</v>
      </c>
      <c r="U1196">
        <v>7.9</v>
      </c>
      <c r="V1196">
        <v>9.9</v>
      </c>
      <c r="W1196">
        <v>3.9</v>
      </c>
      <c r="Y1196">
        <v>6.2</v>
      </c>
      <c r="Z1196">
        <v>8.5</v>
      </c>
      <c r="AA1196">
        <v>3</v>
      </c>
      <c r="AB1196">
        <v>3.8</v>
      </c>
      <c r="AC1196">
        <v>3.6</v>
      </c>
      <c r="AD1196" t="s">
        <v>43</v>
      </c>
      <c r="AE1196" t="str">
        <f>IF(AND(data[[#This Row],[Age]]&gt;=18,data[[#This Row],[Age]]&lt;=24),"18-24",IF(AND(data[[#This Row],[Age]]&gt;=25,data[[#This Row],[Age]]&lt;=34),"25-34",IF(AND(data[[#This Row],[Age]]&gt;35,data[[#This Row],[Age]]&lt;=44),"35-44",IF(data[[#This Row],[Age]]&gt;44,"45+",IF(data[[#This Row],[Age]]&lt;18,"below 18 ")))))</f>
        <v>35-44</v>
      </c>
    </row>
    <row r="1197" spans="1:31" x14ac:dyDescent="0.25">
      <c r="A1197" t="s">
        <v>1250</v>
      </c>
      <c r="B1197">
        <v>41</v>
      </c>
      <c r="C1197" t="s">
        <v>47</v>
      </c>
      <c r="D1197" t="s">
        <v>64</v>
      </c>
      <c r="E1197" t="s">
        <v>33</v>
      </c>
      <c r="F1197" t="s">
        <v>41</v>
      </c>
      <c r="G1197">
        <v>5</v>
      </c>
      <c r="H1197">
        <v>5</v>
      </c>
      <c r="I1197">
        <v>3</v>
      </c>
      <c r="J1197" t="s">
        <v>35</v>
      </c>
      <c r="K1197" t="s">
        <v>36</v>
      </c>
      <c r="L1197">
        <v>69</v>
      </c>
      <c r="M1197">
        <v>4.8</v>
      </c>
      <c r="N1197">
        <v>5.7</v>
      </c>
      <c r="O1197">
        <v>2</v>
      </c>
      <c r="P1197">
        <v>4.2</v>
      </c>
      <c r="Q1197" t="s">
        <v>42</v>
      </c>
      <c r="R1197" t="s">
        <v>35</v>
      </c>
      <c r="S1197">
        <v>5.9</v>
      </c>
      <c r="T1197">
        <v>1</v>
      </c>
      <c r="U1197">
        <v>2.2999999999999998</v>
      </c>
      <c r="V1197">
        <v>3.9</v>
      </c>
      <c r="W1197">
        <v>4.8</v>
      </c>
      <c r="X1197">
        <v>8.1999999999999993</v>
      </c>
      <c r="Y1197">
        <v>4.3</v>
      </c>
      <c r="Z1197">
        <v>4.0999999999999996</v>
      </c>
      <c r="AA1197">
        <v>2.1</v>
      </c>
      <c r="AB1197">
        <v>5.0999999999999996</v>
      </c>
      <c r="AC1197">
        <v>7.8</v>
      </c>
      <c r="AD1197" t="s">
        <v>37</v>
      </c>
      <c r="AE1197" t="str">
        <f>IF(AND(data[[#This Row],[Age]]&gt;=18,data[[#This Row],[Age]]&lt;=24),"18-24",IF(AND(data[[#This Row],[Age]]&gt;=25,data[[#This Row],[Age]]&lt;=34),"25-34",IF(AND(data[[#This Row],[Age]]&gt;35,data[[#This Row],[Age]]&lt;=44),"35-44",IF(data[[#This Row],[Age]]&gt;44,"45+",IF(data[[#This Row],[Age]]&lt;18,"below 18 ")))))</f>
        <v>35-44</v>
      </c>
    </row>
    <row r="1198" spans="1:31" x14ac:dyDescent="0.25">
      <c r="A1198" t="s">
        <v>1251</v>
      </c>
      <c r="B1198">
        <v>36</v>
      </c>
      <c r="C1198" t="s">
        <v>31</v>
      </c>
      <c r="D1198" t="s">
        <v>39</v>
      </c>
      <c r="E1198" t="s">
        <v>33</v>
      </c>
      <c r="F1198" t="s">
        <v>48</v>
      </c>
      <c r="G1198">
        <v>6.2</v>
      </c>
      <c r="H1198">
        <v>4</v>
      </c>
      <c r="I1198">
        <v>5</v>
      </c>
      <c r="J1198" t="s">
        <v>35</v>
      </c>
      <c r="K1198" t="s">
        <v>52</v>
      </c>
      <c r="L1198">
        <v>78</v>
      </c>
      <c r="M1198">
        <v>7.9</v>
      </c>
      <c r="N1198">
        <v>5.3</v>
      </c>
      <c r="O1198">
        <v>7.3</v>
      </c>
      <c r="P1198">
        <v>6.5</v>
      </c>
      <c r="Q1198" t="s">
        <v>42</v>
      </c>
      <c r="R1198" t="s">
        <v>42</v>
      </c>
      <c r="S1198">
        <v>9.3000000000000007</v>
      </c>
      <c r="T1198">
        <v>8.4</v>
      </c>
      <c r="U1198">
        <v>5.9</v>
      </c>
      <c r="W1198">
        <v>3.4</v>
      </c>
      <c r="X1198">
        <v>5.5</v>
      </c>
      <c r="Y1198">
        <v>7.4</v>
      </c>
      <c r="Z1198">
        <v>7.6</v>
      </c>
      <c r="AA1198">
        <v>2</v>
      </c>
      <c r="AB1198">
        <v>5.4</v>
      </c>
      <c r="AC1198">
        <v>4.7</v>
      </c>
      <c r="AD1198" t="s">
        <v>43</v>
      </c>
      <c r="AE1198" t="str">
        <f>IF(AND(data[[#This Row],[Age]]&gt;=18,data[[#This Row],[Age]]&lt;=24),"18-24",IF(AND(data[[#This Row],[Age]]&gt;=25,data[[#This Row],[Age]]&lt;=34),"25-34",IF(AND(data[[#This Row],[Age]]&gt;35,data[[#This Row],[Age]]&lt;=44),"35-44",IF(data[[#This Row],[Age]]&gt;44,"45+",IF(data[[#This Row],[Age]]&lt;18,"below 18 ")))))</f>
        <v>35-44</v>
      </c>
    </row>
    <row r="1199" spans="1:31" x14ac:dyDescent="0.25">
      <c r="A1199" t="s">
        <v>1252</v>
      </c>
      <c r="B1199">
        <v>29</v>
      </c>
      <c r="C1199" t="s">
        <v>50</v>
      </c>
      <c r="D1199" t="s">
        <v>32</v>
      </c>
      <c r="E1199" t="s">
        <v>33</v>
      </c>
      <c r="F1199" t="s">
        <v>41</v>
      </c>
      <c r="G1199">
        <v>5.6</v>
      </c>
      <c r="H1199">
        <v>2</v>
      </c>
      <c r="I1199">
        <v>3</v>
      </c>
      <c r="J1199" t="s">
        <v>35</v>
      </c>
      <c r="K1199" t="s">
        <v>36</v>
      </c>
      <c r="L1199">
        <v>38</v>
      </c>
      <c r="M1199">
        <v>5.7</v>
      </c>
      <c r="N1199">
        <v>6.5</v>
      </c>
      <c r="O1199">
        <v>2.2000000000000002</v>
      </c>
      <c r="P1199">
        <v>5.8</v>
      </c>
      <c r="Q1199" t="s">
        <v>42</v>
      </c>
      <c r="R1199" t="s">
        <v>42</v>
      </c>
      <c r="U1199">
        <v>8.1</v>
      </c>
      <c r="V1199">
        <v>0.5</v>
      </c>
      <c r="W1199">
        <v>2.5</v>
      </c>
      <c r="X1199">
        <v>4.7</v>
      </c>
      <c r="Y1199">
        <v>5.6</v>
      </c>
      <c r="Z1199">
        <v>8.3000000000000007</v>
      </c>
      <c r="AA1199">
        <v>3.3</v>
      </c>
      <c r="AB1199">
        <v>2.5</v>
      </c>
      <c r="AC1199">
        <v>5.2</v>
      </c>
      <c r="AD1199" t="s">
        <v>45</v>
      </c>
      <c r="AE1199" t="str">
        <f>IF(AND(data[[#This Row],[Age]]&gt;=18,data[[#This Row],[Age]]&lt;=24),"18-24",IF(AND(data[[#This Row],[Age]]&gt;=25,data[[#This Row],[Age]]&lt;=34),"25-34",IF(AND(data[[#This Row],[Age]]&gt;35,data[[#This Row],[Age]]&lt;=44),"35-44",IF(data[[#This Row],[Age]]&gt;44,"45+",IF(data[[#This Row],[Age]]&lt;18,"below 18 ")))))</f>
        <v>25-34</v>
      </c>
    </row>
    <row r="1200" spans="1:31" x14ac:dyDescent="0.25">
      <c r="A1200" t="s">
        <v>1253</v>
      </c>
      <c r="B1200">
        <v>29</v>
      </c>
      <c r="C1200" t="s">
        <v>31</v>
      </c>
      <c r="D1200" t="s">
        <v>32</v>
      </c>
      <c r="E1200" t="s">
        <v>40</v>
      </c>
      <c r="F1200" t="s">
        <v>41</v>
      </c>
      <c r="G1200">
        <v>6.1</v>
      </c>
      <c r="H1200">
        <v>4</v>
      </c>
      <c r="I1200">
        <v>4</v>
      </c>
      <c r="J1200" t="s">
        <v>42</v>
      </c>
      <c r="K1200" t="s">
        <v>62</v>
      </c>
      <c r="L1200">
        <v>11</v>
      </c>
      <c r="M1200">
        <v>6</v>
      </c>
      <c r="N1200">
        <v>4</v>
      </c>
      <c r="O1200">
        <v>5.5</v>
      </c>
      <c r="P1200">
        <v>8</v>
      </c>
      <c r="Q1200" t="s">
        <v>42</v>
      </c>
      <c r="R1200" t="s">
        <v>35</v>
      </c>
      <c r="S1200">
        <v>4.9000000000000004</v>
      </c>
      <c r="T1200">
        <v>4.3</v>
      </c>
      <c r="U1200">
        <v>4.0999999999999996</v>
      </c>
      <c r="V1200">
        <v>4.0999999999999996</v>
      </c>
      <c r="W1200">
        <v>5.4</v>
      </c>
      <c r="X1200">
        <v>6.1</v>
      </c>
      <c r="Y1200">
        <v>5.3</v>
      </c>
      <c r="AA1200">
        <v>4.8</v>
      </c>
      <c r="AB1200">
        <v>3.5</v>
      </c>
      <c r="AC1200">
        <v>5.7</v>
      </c>
      <c r="AD1200" t="s">
        <v>53</v>
      </c>
      <c r="AE1200" t="str">
        <f>IF(AND(data[[#This Row],[Age]]&gt;=18,data[[#This Row],[Age]]&lt;=24),"18-24",IF(AND(data[[#This Row],[Age]]&gt;=25,data[[#This Row],[Age]]&lt;=34),"25-34",IF(AND(data[[#This Row],[Age]]&gt;35,data[[#This Row],[Age]]&lt;=44),"35-44",IF(data[[#This Row],[Age]]&gt;44,"45+",IF(data[[#This Row],[Age]]&lt;18,"below 18 ")))))</f>
        <v>25-34</v>
      </c>
    </row>
    <row r="1201" spans="1:31" x14ac:dyDescent="0.25">
      <c r="A1201" t="s">
        <v>1254</v>
      </c>
      <c r="B1201">
        <v>22</v>
      </c>
      <c r="C1201" t="s">
        <v>47</v>
      </c>
      <c r="D1201" t="s">
        <v>39</v>
      </c>
      <c r="E1201" t="s">
        <v>40</v>
      </c>
      <c r="F1201" t="s">
        <v>41</v>
      </c>
      <c r="G1201">
        <v>2.5</v>
      </c>
      <c r="H1201">
        <v>5</v>
      </c>
      <c r="I1201">
        <v>5</v>
      </c>
      <c r="J1201" t="s">
        <v>42</v>
      </c>
      <c r="K1201" t="s">
        <v>62</v>
      </c>
      <c r="L1201">
        <v>105</v>
      </c>
      <c r="M1201">
        <v>2.4</v>
      </c>
      <c r="N1201">
        <v>9.4</v>
      </c>
      <c r="O1201">
        <v>7.1</v>
      </c>
      <c r="P1201">
        <v>6.6</v>
      </c>
      <c r="Q1201" t="s">
        <v>42</v>
      </c>
      <c r="R1201" t="s">
        <v>35</v>
      </c>
      <c r="S1201">
        <v>4.4000000000000004</v>
      </c>
      <c r="T1201">
        <v>1.7</v>
      </c>
      <c r="U1201">
        <v>4.5</v>
      </c>
      <c r="V1201">
        <v>4.0999999999999996</v>
      </c>
      <c r="W1201">
        <v>4.5</v>
      </c>
      <c r="X1201">
        <v>8.3000000000000007</v>
      </c>
      <c r="Y1201">
        <v>7.9</v>
      </c>
      <c r="Z1201">
        <v>2</v>
      </c>
      <c r="AA1201">
        <v>1.1000000000000001</v>
      </c>
      <c r="AB1201">
        <v>5.4</v>
      </c>
      <c r="AC1201">
        <v>5</v>
      </c>
      <c r="AD1201" t="s">
        <v>45</v>
      </c>
      <c r="AE1201" t="str">
        <f>IF(AND(data[[#This Row],[Age]]&gt;=18,data[[#This Row],[Age]]&lt;=24),"18-24",IF(AND(data[[#This Row],[Age]]&gt;=25,data[[#This Row],[Age]]&lt;=34),"25-34",IF(AND(data[[#This Row],[Age]]&gt;35,data[[#This Row],[Age]]&lt;=44),"35-44",IF(data[[#This Row],[Age]]&gt;44,"45+",IF(data[[#This Row],[Age]]&lt;18,"below 18 ")))))</f>
        <v>18-24</v>
      </c>
    </row>
    <row r="1202" spans="1:31" x14ac:dyDescent="0.25">
      <c r="A1202" t="s">
        <v>1255</v>
      </c>
      <c r="B1202">
        <v>44</v>
      </c>
      <c r="C1202" t="s">
        <v>47</v>
      </c>
      <c r="D1202" t="s">
        <v>32</v>
      </c>
      <c r="E1202" t="s">
        <v>33</v>
      </c>
      <c r="F1202" t="s">
        <v>70</v>
      </c>
      <c r="G1202">
        <v>7.3</v>
      </c>
      <c r="H1202">
        <v>4</v>
      </c>
      <c r="I1202">
        <v>2</v>
      </c>
      <c r="J1202" t="s">
        <v>35</v>
      </c>
      <c r="K1202" t="s">
        <v>36</v>
      </c>
      <c r="L1202">
        <v>55</v>
      </c>
      <c r="M1202">
        <v>5.9</v>
      </c>
      <c r="N1202">
        <v>7.1</v>
      </c>
      <c r="O1202">
        <v>7.9</v>
      </c>
      <c r="P1202">
        <v>4.5999999999999996</v>
      </c>
      <c r="Q1202" t="s">
        <v>42</v>
      </c>
      <c r="R1202" t="s">
        <v>35</v>
      </c>
      <c r="S1202">
        <v>4.5</v>
      </c>
      <c r="T1202">
        <v>2.6</v>
      </c>
      <c r="U1202">
        <v>0.7</v>
      </c>
      <c r="W1202">
        <v>7.4</v>
      </c>
      <c r="X1202">
        <v>8.6999999999999993</v>
      </c>
      <c r="Y1202">
        <v>0.7</v>
      </c>
      <c r="Z1202">
        <v>5.7</v>
      </c>
      <c r="AA1202">
        <v>3.4</v>
      </c>
      <c r="AB1202">
        <v>4.0999999999999996</v>
      </c>
      <c r="AC1202">
        <v>6.5</v>
      </c>
      <c r="AD1202" t="s">
        <v>53</v>
      </c>
      <c r="AE1202" t="str">
        <f>IF(AND(data[[#This Row],[Age]]&gt;=18,data[[#This Row],[Age]]&lt;=24),"18-24",IF(AND(data[[#This Row],[Age]]&gt;=25,data[[#This Row],[Age]]&lt;=34),"25-34",IF(AND(data[[#This Row],[Age]]&gt;35,data[[#This Row],[Age]]&lt;=44),"35-44",IF(data[[#This Row],[Age]]&gt;44,"45+",IF(data[[#This Row],[Age]]&lt;18,"below 18 ")))))</f>
        <v>35-44</v>
      </c>
    </row>
    <row r="1203" spans="1:31" x14ac:dyDescent="0.25">
      <c r="A1203" t="s">
        <v>1256</v>
      </c>
      <c r="B1203">
        <v>25</v>
      </c>
      <c r="C1203" t="s">
        <v>47</v>
      </c>
      <c r="D1203" t="s">
        <v>64</v>
      </c>
      <c r="E1203" t="s">
        <v>58</v>
      </c>
      <c r="F1203" t="s">
        <v>51</v>
      </c>
      <c r="G1203">
        <v>5.6</v>
      </c>
      <c r="H1203">
        <v>4</v>
      </c>
      <c r="I1203">
        <v>4</v>
      </c>
      <c r="J1203" t="s">
        <v>35</v>
      </c>
      <c r="K1203" t="s">
        <v>36</v>
      </c>
      <c r="L1203">
        <v>5</v>
      </c>
      <c r="M1203">
        <v>4.5999999999999996</v>
      </c>
      <c r="N1203">
        <v>8.4</v>
      </c>
      <c r="P1203">
        <v>4</v>
      </c>
      <c r="Q1203" t="s">
        <v>42</v>
      </c>
      <c r="R1203" t="s">
        <v>42</v>
      </c>
      <c r="S1203">
        <v>4.4000000000000004</v>
      </c>
      <c r="T1203">
        <v>1.1000000000000001</v>
      </c>
      <c r="U1203">
        <v>3.9</v>
      </c>
      <c r="V1203">
        <v>7</v>
      </c>
      <c r="W1203">
        <v>2.6</v>
      </c>
      <c r="X1203">
        <v>7.7</v>
      </c>
      <c r="Y1203">
        <v>7.1</v>
      </c>
      <c r="Z1203">
        <v>2.8</v>
      </c>
      <c r="AA1203">
        <v>8.6</v>
      </c>
      <c r="AB1203">
        <v>5.3</v>
      </c>
      <c r="AC1203">
        <v>5.7</v>
      </c>
      <c r="AD1203" t="s">
        <v>53</v>
      </c>
      <c r="AE1203" t="str">
        <f>IF(AND(data[[#This Row],[Age]]&gt;=18,data[[#This Row],[Age]]&lt;=24),"18-24",IF(AND(data[[#This Row],[Age]]&gt;=25,data[[#This Row],[Age]]&lt;=34),"25-34",IF(AND(data[[#This Row],[Age]]&gt;35,data[[#This Row],[Age]]&lt;=44),"35-44",IF(data[[#This Row],[Age]]&gt;44,"45+",IF(data[[#This Row],[Age]]&lt;18,"below 18 ")))))</f>
        <v>25-34</v>
      </c>
    </row>
    <row r="1204" spans="1:31" x14ac:dyDescent="0.25">
      <c r="A1204" t="s">
        <v>1257</v>
      </c>
      <c r="B1204">
        <v>28</v>
      </c>
      <c r="C1204" t="s">
        <v>47</v>
      </c>
      <c r="D1204" t="s">
        <v>39</v>
      </c>
      <c r="E1204" t="s">
        <v>40</v>
      </c>
      <c r="F1204" t="s">
        <v>34</v>
      </c>
      <c r="G1204">
        <v>8.6</v>
      </c>
      <c r="H1204">
        <v>6</v>
      </c>
      <c r="I1204">
        <v>7</v>
      </c>
      <c r="J1204" t="s">
        <v>35</v>
      </c>
      <c r="K1204" t="s">
        <v>52</v>
      </c>
      <c r="L1204">
        <v>69</v>
      </c>
      <c r="M1204">
        <v>3.2</v>
      </c>
      <c r="N1204">
        <v>5.0999999999999996</v>
      </c>
      <c r="O1204">
        <v>4.7</v>
      </c>
      <c r="P1204">
        <v>6</v>
      </c>
      <c r="Q1204" t="s">
        <v>42</v>
      </c>
      <c r="R1204" t="s">
        <v>42</v>
      </c>
      <c r="S1204">
        <v>1.1000000000000001</v>
      </c>
      <c r="T1204">
        <v>2.6</v>
      </c>
      <c r="U1204">
        <v>8.1</v>
      </c>
      <c r="V1204">
        <v>2.9</v>
      </c>
      <c r="W1204">
        <v>6</v>
      </c>
      <c r="X1204">
        <v>5.7</v>
      </c>
      <c r="Y1204">
        <v>4.7</v>
      </c>
      <c r="Z1204">
        <v>6.1</v>
      </c>
      <c r="AA1204">
        <v>1.4</v>
      </c>
      <c r="AC1204">
        <v>6.7</v>
      </c>
      <c r="AD1204" t="s">
        <v>53</v>
      </c>
      <c r="AE1204" t="str">
        <f>IF(AND(data[[#This Row],[Age]]&gt;=18,data[[#This Row],[Age]]&lt;=24),"18-24",IF(AND(data[[#This Row],[Age]]&gt;=25,data[[#This Row],[Age]]&lt;=34),"25-34",IF(AND(data[[#This Row],[Age]]&gt;35,data[[#This Row],[Age]]&lt;=44),"35-44",IF(data[[#This Row],[Age]]&gt;44,"45+",IF(data[[#This Row],[Age]]&lt;18,"below 18 ")))))</f>
        <v>25-34</v>
      </c>
    </row>
    <row r="1205" spans="1:31" x14ac:dyDescent="0.25">
      <c r="A1205" t="s">
        <v>1258</v>
      </c>
      <c r="B1205">
        <v>39</v>
      </c>
      <c r="C1205" t="s">
        <v>47</v>
      </c>
      <c r="D1205" t="s">
        <v>39</v>
      </c>
      <c r="E1205" t="s">
        <v>33</v>
      </c>
      <c r="F1205" t="s">
        <v>34</v>
      </c>
      <c r="G1205">
        <v>6.4</v>
      </c>
      <c r="H1205">
        <v>3</v>
      </c>
      <c r="I1205">
        <v>2</v>
      </c>
      <c r="J1205" t="s">
        <v>42</v>
      </c>
      <c r="K1205" t="s">
        <v>36</v>
      </c>
      <c r="L1205">
        <v>6</v>
      </c>
      <c r="M1205">
        <v>8.4</v>
      </c>
      <c r="N1205">
        <v>7.6</v>
      </c>
      <c r="O1205">
        <v>9.3000000000000007</v>
      </c>
      <c r="P1205">
        <v>5.3</v>
      </c>
      <c r="Q1205" t="s">
        <v>42</v>
      </c>
      <c r="R1205" t="s">
        <v>35</v>
      </c>
      <c r="S1205">
        <v>9.3000000000000007</v>
      </c>
      <c r="T1205">
        <v>2.4</v>
      </c>
      <c r="U1205">
        <v>6.2</v>
      </c>
      <c r="V1205">
        <v>6.6</v>
      </c>
      <c r="W1205">
        <v>10</v>
      </c>
      <c r="X1205">
        <v>6.3</v>
      </c>
      <c r="Y1205">
        <v>4.8</v>
      </c>
      <c r="Z1205">
        <v>2.7</v>
      </c>
      <c r="AA1205">
        <v>3.9</v>
      </c>
      <c r="AB1205">
        <v>3.7</v>
      </c>
      <c r="AC1205">
        <v>5.3</v>
      </c>
      <c r="AD1205" t="s">
        <v>43</v>
      </c>
      <c r="AE1205" t="str">
        <f>IF(AND(data[[#This Row],[Age]]&gt;=18,data[[#This Row],[Age]]&lt;=24),"18-24",IF(AND(data[[#This Row],[Age]]&gt;=25,data[[#This Row],[Age]]&lt;=34),"25-34",IF(AND(data[[#This Row],[Age]]&gt;35,data[[#This Row],[Age]]&lt;=44),"35-44",IF(data[[#This Row],[Age]]&gt;44,"45+",IF(data[[#This Row],[Age]]&lt;18,"below 18 ")))))</f>
        <v>35-44</v>
      </c>
    </row>
    <row r="1206" spans="1:31" x14ac:dyDescent="0.25">
      <c r="A1206" t="s">
        <v>1259</v>
      </c>
      <c r="B1206">
        <v>27</v>
      </c>
      <c r="C1206" t="s">
        <v>47</v>
      </c>
      <c r="D1206" t="s">
        <v>32</v>
      </c>
      <c r="E1206" t="s">
        <v>58</v>
      </c>
      <c r="F1206" t="s">
        <v>41</v>
      </c>
      <c r="G1206">
        <v>2.7</v>
      </c>
      <c r="H1206">
        <v>5</v>
      </c>
      <c r="I1206">
        <v>3</v>
      </c>
      <c r="J1206" t="s">
        <v>42</v>
      </c>
      <c r="K1206" t="s">
        <v>52</v>
      </c>
      <c r="L1206">
        <v>36</v>
      </c>
      <c r="M1206">
        <v>10</v>
      </c>
      <c r="N1206">
        <v>7.4</v>
      </c>
      <c r="O1206">
        <v>7.2</v>
      </c>
      <c r="P1206">
        <v>6.5</v>
      </c>
      <c r="R1206" t="s">
        <v>35</v>
      </c>
      <c r="S1206">
        <v>1.7</v>
      </c>
      <c r="T1206">
        <v>9.3000000000000007</v>
      </c>
      <c r="U1206">
        <v>6.4</v>
      </c>
      <c r="V1206">
        <v>9.3000000000000007</v>
      </c>
      <c r="W1206">
        <v>4.9000000000000004</v>
      </c>
      <c r="X1206">
        <v>6.8</v>
      </c>
      <c r="Y1206">
        <v>5.4</v>
      </c>
      <c r="Z1206">
        <v>5.0999999999999996</v>
      </c>
      <c r="AA1206">
        <v>4</v>
      </c>
      <c r="AB1206">
        <v>5.3</v>
      </c>
      <c r="AC1206">
        <v>7.1</v>
      </c>
      <c r="AD1206" t="s">
        <v>53</v>
      </c>
      <c r="AE1206" t="str">
        <f>IF(AND(data[[#This Row],[Age]]&gt;=18,data[[#This Row],[Age]]&lt;=24),"18-24",IF(AND(data[[#This Row],[Age]]&gt;=25,data[[#This Row],[Age]]&lt;=34),"25-34",IF(AND(data[[#This Row],[Age]]&gt;35,data[[#This Row],[Age]]&lt;=44),"35-44",IF(data[[#This Row],[Age]]&gt;44,"45+",IF(data[[#This Row],[Age]]&lt;18,"below 18 ")))))</f>
        <v>25-34</v>
      </c>
    </row>
    <row r="1207" spans="1:31" x14ac:dyDescent="0.25">
      <c r="A1207" t="s">
        <v>1260</v>
      </c>
      <c r="B1207">
        <v>23</v>
      </c>
      <c r="C1207" t="s">
        <v>31</v>
      </c>
      <c r="D1207" t="s">
        <v>32</v>
      </c>
      <c r="E1207" t="s">
        <v>40</v>
      </c>
      <c r="F1207" t="s">
        <v>41</v>
      </c>
      <c r="G1207">
        <v>7.2</v>
      </c>
      <c r="H1207">
        <v>1</v>
      </c>
      <c r="I1207">
        <v>1</v>
      </c>
      <c r="J1207" t="s">
        <v>35</v>
      </c>
      <c r="K1207" t="s">
        <v>52</v>
      </c>
      <c r="L1207">
        <v>81</v>
      </c>
      <c r="M1207">
        <v>6</v>
      </c>
      <c r="N1207">
        <v>6.2</v>
      </c>
      <c r="O1207">
        <v>2.1</v>
      </c>
      <c r="P1207">
        <v>0</v>
      </c>
      <c r="Q1207" t="s">
        <v>42</v>
      </c>
      <c r="R1207" t="s">
        <v>35</v>
      </c>
      <c r="S1207">
        <v>6.7</v>
      </c>
      <c r="T1207">
        <v>4.4000000000000004</v>
      </c>
      <c r="U1207">
        <v>6.7</v>
      </c>
      <c r="V1207">
        <v>7.1</v>
      </c>
      <c r="W1207">
        <v>7.4</v>
      </c>
      <c r="X1207">
        <v>7.6</v>
      </c>
      <c r="Y1207">
        <v>3.8</v>
      </c>
      <c r="Z1207">
        <v>9.1999999999999993</v>
      </c>
      <c r="AA1207">
        <v>1.7</v>
      </c>
      <c r="AB1207">
        <v>2.2999999999999998</v>
      </c>
      <c r="AC1207">
        <v>7.8</v>
      </c>
      <c r="AD1207" t="s">
        <v>37</v>
      </c>
      <c r="AE1207" t="str">
        <f>IF(AND(data[[#This Row],[Age]]&gt;=18,data[[#This Row],[Age]]&lt;=24),"18-24",IF(AND(data[[#This Row],[Age]]&gt;=25,data[[#This Row],[Age]]&lt;=34),"25-34",IF(AND(data[[#This Row],[Age]]&gt;35,data[[#This Row],[Age]]&lt;=44),"35-44",IF(data[[#This Row],[Age]]&gt;44,"45+",IF(data[[#This Row],[Age]]&lt;18,"below 18 ")))))</f>
        <v>18-24</v>
      </c>
    </row>
    <row r="1208" spans="1:31" x14ac:dyDescent="0.25">
      <c r="A1208" t="s">
        <v>1261</v>
      </c>
      <c r="B1208">
        <v>39</v>
      </c>
      <c r="C1208" t="s">
        <v>47</v>
      </c>
      <c r="D1208" t="s">
        <v>39</v>
      </c>
      <c r="E1208" t="s">
        <v>33</v>
      </c>
      <c r="F1208" t="s">
        <v>51</v>
      </c>
      <c r="G1208">
        <v>7.6</v>
      </c>
      <c r="H1208">
        <v>1</v>
      </c>
      <c r="I1208">
        <v>1</v>
      </c>
      <c r="J1208" t="s">
        <v>42</v>
      </c>
      <c r="K1208" t="s">
        <v>52</v>
      </c>
      <c r="L1208">
        <v>51</v>
      </c>
      <c r="M1208">
        <v>5.7</v>
      </c>
      <c r="N1208">
        <v>2.1</v>
      </c>
      <c r="O1208">
        <v>5.8</v>
      </c>
      <c r="P1208">
        <v>6.9</v>
      </c>
      <c r="Q1208" t="s">
        <v>42</v>
      </c>
      <c r="R1208" t="s">
        <v>35</v>
      </c>
      <c r="S1208">
        <v>7.4</v>
      </c>
      <c r="T1208">
        <v>8.8000000000000007</v>
      </c>
      <c r="U1208">
        <v>0</v>
      </c>
      <c r="V1208">
        <v>5.7</v>
      </c>
      <c r="W1208">
        <v>4.4000000000000004</v>
      </c>
      <c r="X1208">
        <v>7.6</v>
      </c>
      <c r="Y1208">
        <v>3.1</v>
      </c>
      <c r="Z1208">
        <v>7.3</v>
      </c>
      <c r="AA1208">
        <v>0.5</v>
      </c>
      <c r="AB1208">
        <v>4.2</v>
      </c>
      <c r="AC1208">
        <v>7</v>
      </c>
      <c r="AD1208" t="s">
        <v>53</v>
      </c>
      <c r="AE1208" t="str">
        <f>IF(AND(data[[#This Row],[Age]]&gt;=18,data[[#This Row],[Age]]&lt;=24),"18-24",IF(AND(data[[#This Row],[Age]]&gt;=25,data[[#This Row],[Age]]&lt;=34),"25-34",IF(AND(data[[#This Row],[Age]]&gt;35,data[[#This Row],[Age]]&lt;=44),"35-44",IF(data[[#This Row],[Age]]&gt;44,"45+",IF(data[[#This Row],[Age]]&lt;18,"below 18 ")))))</f>
        <v>35-44</v>
      </c>
    </row>
    <row r="1209" spans="1:31" x14ac:dyDescent="0.25">
      <c r="A1209" t="s">
        <v>1262</v>
      </c>
      <c r="B1209">
        <v>39</v>
      </c>
      <c r="C1209" t="s">
        <v>31</v>
      </c>
      <c r="D1209" t="s">
        <v>39</v>
      </c>
      <c r="E1209" t="s">
        <v>58</v>
      </c>
      <c r="F1209" t="s">
        <v>48</v>
      </c>
      <c r="G1209">
        <v>7</v>
      </c>
      <c r="H1209">
        <v>4</v>
      </c>
      <c r="I1209">
        <v>6</v>
      </c>
      <c r="J1209" t="s">
        <v>42</v>
      </c>
      <c r="K1209" t="s">
        <v>62</v>
      </c>
      <c r="L1209">
        <v>65</v>
      </c>
      <c r="M1209">
        <v>1.2</v>
      </c>
      <c r="N1209">
        <v>8.5</v>
      </c>
      <c r="P1209">
        <v>5.9</v>
      </c>
      <c r="Q1209" t="s">
        <v>35</v>
      </c>
      <c r="R1209" t="s">
        <v>42</v>
      </c>
      <c r="S1209">
        <v>4</v>
      </c>
      <c r="T1209">
        <v>0</v>
      </c>
      <c r="U1209">
        <v>3.9</v>
      </c>
      <c r="V1209">
        <v>1.2</v>
      </c>
      <c r="W1209">
        <v>6.3</v>
      </c>
      <c r="X1209">
        <v>8.9</v>
      </c>
      <c r="Y1209">
        <v>6.5</v>
      </c>
      <c r="Z1209">
        <v>8.4</v>
      </c>
      <c r="AA1209">
        <v>5.0999999999999996</v>
      </c>
      <c r="AB1209">
        <v>3.1</v>
      </c>
      <c r="AC1209">
        <v>7.2</v>
      </c>
      <c r="AD1209" t="s">
        <v>53</v>
      </c>
      <c r="AE1209" t="str">
        <f>IF(AND(data[[#This Row],[Age]]&gt;=18,data[[#This Row],[Age]]&lt;=24),"18-24",IF(AND(data[[#This Row],[Age]]&gt;=25,data[[#This Row],[Age]]&lt;=34),"25-34",IF(AND(data[[#This Row],[Age]]&gt;35,data[[#This Row],[Age]]&lt;=44),"35-44",IF(data[[#This Row],[Age]]&gt;44,"45+",IF(data[[#This Row],[Age]]&lt;18,"below 18 ")))))</f>
        <v>35-44</v>
      </c>
    </row>
    <row r="1210" spans="1:31" x14ac:dyDescent="0.25">
      <c r="A1210" t="s">
        <v>1263</v>
      </c>
      <c r="B1210">
        <v>40</v>
      </c>
      <c r="C1210" t="s">
        <v>31</v>
      </c>
      <c r="D1210" t="s">
        <v>39</v>
      </c>
      <c r="E1210" t="s">
        <v>40</v>
      </c>
      <c r="F1210" t="s">
        <v>34</v>
      </c>
      <c r="G1210">
        <v>4</v>
      </c>
      <c r="H1210">
        <v>2</v>
      </c>
      <c r="I1210">
        <v>3</v>
      </c>
      <c r="J1210" t="s">
        <v>42</v>
      </c>
      <c r="K1210" t="s">
        <v>36</v>
      </c>
      <c r="L1210">
        <v>38</v>
      </c>
      <c r="M1210">
        <v>4.8</v>
      </c>
      <c r="N1210">
        <v>7.8</v>
      </c>
      <c r="O1210">
        <v>3.6</v>
      </c>
      <c r="P1210">
        <v>0</v>
      </c>
      <c r="Q1210" t="s">
        <v>35</v>
      </c>
      <c r="R1210" t="s">
        <v>42</v>
      </c>
      <c r="S1210">
        <v>4.2</v>
      </c>
      <c r="T1210">
        <v>3</v>
      </c>
      <c r="U1210">
        <v>1.3</v>
      </c>
      <c r="V1210">
        <v>7.8</v>
      </c>
      <c r="W1210">
        <v>2.2000000000000002</v>
      </c>
      <c r="X1210">
        <v>6.5</v>
      </c>
      <c r="Y1210">
        <v>3.7</v>
      </c>
      <c r="Z1210">
        <v>9.5</v>
      </c>
      <c r="AA1210">
        <v>3.7</v>
      </c>
      <c r="AB1210">
        <v>4.4000000000000004</v>
      </c>
      <c r="AC1210">
        <v>7.2</v>
      </c>
      <c r="AD1210" t="s">
        <v>37</v>
      </c>
      <c r="AE1210" t="str">
        <f>IF(AND(data[[#This Row],[Age]]&gt;=18,data[[#This Row],[Age]]&lt;=24),"18-24",IF(AND(data[[#This Row],[Age]]&gt;=25,data[[#This Row],[Age]]&lt;=34),"25-34",IF(AND(data[[#This Row],[Age]]&gt;35,data[[#This Row],[Age]]&lt;=44),"35-44",IF(data[[#This Row],[Age]]&gt;44,"45+",IF(data[[#This Row],[Age]]&lt;18,"below 18 ")))))</f>
        <v>35-44</v>
      </c>
    </row>
    <row r="1211" spans="1:31" x14ac:dyDescent="0.25">
      <c r="A1211" t="s">
        <v>1264</v>
      </c>
      <c r="B1211">
        <v>24</v>
      </c>
      <c r="C1211" t="s">
        <v>47</v>
      </c>
      <c r="D1211" t="s">
        <v>39</v>
      </c>
      <c r="E1211" t="s">
        <v>58</v>
      </c>
      <c r="F1211" t="s">
        <v>41</v>
      </c>
      <c r="G1211">
        <v>3.7</v>
      </c>
      <c r="H1211">
        <v>6</v>
      </c>
      <c r="I1211">
        <v>7</v>
      </c>
      <c r="J1211" t="s">
        <v>35</v>
      </c>
      <c r="K1211" t="s">
        <v>36</v>
      </c>
      <c r="L1211">
        <v>70</v>
      </c>
      <c r="M1211">
        <v>4.2</v>
      </c>
      <c r="N1211">
        <v>3.7</v>
      </c>
      <c r="P1211">
        <v>4.7</v>
      </c>
      <c r="Q1211" t="s">
        <v>42</v>
      </c>
      <c r="R1211" t="s">
        <v>42</v>
      </c>
      <c r="S1211">
        <v>4.5</v>
      </c>
      <c r="T1211">
        <v>5</v>
      </c>
      <c r="U1211">
        <v>4.2</v>
      </c>
      <c r="V1211">
        <v>2.9</v>
      </c>
      <c r="Y1211">
        <v>2.8</v>
      </c>
      <c r="Z1211">
        <v>0.6</v>
      </c>
      <c r="AA1211">
        <v>1.3</v>
      </c>
      <c r="AB1211">
        <v>0</v>
      </c>
      <c r="AC1211">
        <v>5.7</v>
      </c>
      <c r="AD1211" t="s">
        <v>45</v>
      </c>
      <c r="AE1211" t="str">
        <f>IF(AND(data[[#This Row],[Age]]&gt;=18,data[[#This Row],[Age]]&lt;=24),"18-24",IF(AND(data[[#This Row],[Age]]&gt;=25,data[[#This Row],[Age]]&lt;=34),"25-34",IF(AND(data[[#This Row],[Age]]&gt;35,data[[#This Row],[Age]]&lt;=44),"35-44",IF(data[[#This Row],[Age]]&gt;44,"45+",IF(data[[#This Row],[Age]]&lt;18,"below 18 ")))))</f>
        <v>18-24</v>
      </c>
    </row>
    <row r="1212" spans="1:31" x14ac:dyDescent="0.25">
      <c r="A1212" t="s">
        <v>1265</v>
      </c>
      <c r="B1212">
        <v>25</v>
      </c>
      <c r="C1212" t="s">
        <v>50</v>
      </c>
      <c r="D1212" t="s">
        <v>32</v>
      </c>
      <c r="E1212" t="s">
        <v>40</v>
      </c>
      <c r="F1212" t="s">
        <v>59</v>
      </c>
      <c r="G1212">
        <v>7.6</v>
      </c>
      <c r="H1212">
        <v>4</v>
      </c>
      <c r="I1212">
        <v>2</v>
      </c>
      <c r="J1212" t="s">
        <v>42</v>
      </c>
      <c r="K1212" t="s">
        <v>36</v>
      </c>
      <c r="L1212">
        <v>82</v>
      </c>
      <c r="M1212">
        <v>2.2000000000000002</v>
      </c>
      <c r="N1212">
        <v>5.2</v>
      </c>
      <c r="O1212">
        <v>4.8</v>
      </c>
      <c r="P1212">
        <v>5.4</v>
      </c>
      <c r="Q1212" t="s">
        <v>35</v>
      </c>
      <c r="R1212" t="s">
        <v>42</v>
      </c>
      <c r="S1212">
        <v>1.8</v>
      </c>
      <c r="T1212">
        <v>6.2</v>
      </c>
      <c r="U1212">
        <v>3.7</v>
      </c>
      <c r="V1212">
        <v>8.3000000000000007</v>
      </c>
      <c r="W1212">
        <v>6.9</v>
      </c>
      <c r="X1212">
        <v>4.8</v>
      </c>
      <c r="Y1212">
        <v>2.5</v>
      </c>
      <c r="Z1212">
        <v>5.0999999999999996</v>
      </c>
      <c r="AA1212">
        <v>3.9</v>
      </c>
      <c r="AB1212">
        <v>1.3</v>
      </c>
      <c r="AC1212">
        <v>6.2</v>
      </c>
      <c r="AD1212" t="s">
        <v>53</v>
      </c>
      <c r="AE1212" t="str">
        <f>IF(AND(data[[#This Row],[Age]]&gt;=18,data[[#This Row],[Age]]&lt;=24),"18-24",IF(AND(data[[#This Row],[Age]]&gt;=25,data[[#This Row],[Age]]&lt;=34),"25-34",IF(AND(data[[#This Row],[Age]]&gt;35,data[[#This Row],[Age]]&lt;=44),"35-44",IF(data[[#This Row],[Age]]&gt;44,"45+",IF(data[[#This Row],[Age]]&lt;18,"below 18 ")))))</f>
        <v>25-34</v>
      </c>
    </row>
    <row r="1213" spans="1:31" x14ac:dyDescent="0.25">
      <c r="A1213" t="s">
        <v>1266</v>
      </c>
      <c r="B1213">
        <v>39</v>
      </c>
      <c r="C1213" t="s">
        <v>47</v>
      </c>
      <c r="D1213" t="s">
        <v>39</v>
      </c>
      <c r="E1213" t="s">
        <v>33</v>
      </c>
      <c r="F1213" t="s">
        <v>48</v>
      </c>
      <c r="G1213">
        <v>2.9</v>
      </c>
      <c r="H1213">
        <v>3</v>
      </c>
      <c r="I1213">
        <v>3</v>
      </c>
      <c r="J1213" t="s">
        <v>35</v>
      </c>
      <c r="K1213" t="s">
        <v>62</v>
      </c>
      <c r="L1213">
        <v>77</v>
      </c>
      <c r="M1213">
        <v>6.2</v>
      </c>
      <c r="N1213">
        <v>1.7</v>
      </c>
      <c r="O1213">
        <v>5.2</v>
      </c>
      <c r="P1213">
        <v>7.2</v>
      </c>
      <c r="Q1213" t="s">
        <v>35</v>
      </c>
      <c r="R1213" t="s">
        <v>42</v>
      </c>
      <c r="S1213">
        <v>6.4</v>
      </c>
      <c r="T1213">
        <v>1.9</v>
      </c>
      <c r="U1213">
        <v>3.1</v>
      </c>
      <c r="V1213">
        <v>6.4</v>
      </c>
      <c r="X1213">
        <v>5.4</v>
      </c>
      <c r="Y1213">
        <v>6.7</v>
      </c>
      <c r="Z1213">
        <v>6.1</v>
      </c>
      <c r="AA1213">
        <v>6.2</v>
      </c>
      <c r="AC1213">
        <v>7.6</v>
      </c>
      <c r="AD1213" t="s">
        <v>37</v>
      </c>
      <c r="AE1213" t="str">
        <f>IF(AND(data[[#This Row],[Age]]&gt;=18,data[[#This Row],[Age]]&lt;=24),"18-24",IF(AND(data[[#This Row],[Age]]&gt;=25,data[[#This Row],[Age]]&lt;=34),"25-34",IF(AND(data[[#This Row],[Age]]&gt;35,data[[#This Row],[Age]]&lt;=44),"35-44",IF(data[[#This Row],[Age]]&gt;44,"45+",IF(data[[#This Row],[Age]]&lt;18,"below 18 ")))))</f>
        <v>35-44</v>
      </c>
    </row>
    <row r="1214" spans="1:31" x14ac:dyDescent="0.25">
      <c r="A1214" t="s">
        <v>1267</v>
      </c>
      <c r="B1214">
        <v>29</v>
      </c>
      <c r="C1214" t="s">
        <v>31</v>
      </c>
      <c r="D1214" t="s">
        <v>32</v>
      </c>
      <c r="E1214" t="s">
        <v>58</v>
      </c>
      <c r="F1214" t="s">
        <v>51</v>
      </c>
      <c r="G1214">
        <v>6.6</v>
      </c>
      <c r="H1214">
        <v>3</v>
      </c>
      <c r="I1214">
        <v>8</v>
      </c>
      <c r="J1214" t="s">
        <v>35</v>
      </c>
      <c r="K1214" t="s">
        <v>52</v>
      </c>
      <c r="L1214">
        <v>147</v>
      </c>
      <c r="M1214">
        <v>6.1</v>
      </c>
      <c r="N1214">
        <v>7.3</v>
      </c>
      <c r="O1214">
        <v>3.7</v>
      </c>
      <c r="P1214">
        <v>4.5</v>
      </c>
      <c r="Q1214" t="s">
        <v>42</v>
      </c>
      <c r="R1214" t="s">
        <v>35</v>
      </c>
      <c r="S1214">
        <v>2.9</v>
      </c>
      <c r="T1214">
        <v>3.4</v>
      </c>
      <c r="U1214">
        <v>4.3</v>
      </c>
      <c r="V1214">
        <v>4.2</v>
      </c>
      <c r="W1214">
        <v>4.4000000000000004</v>
      </c>
      <c r="X1214">
        <v>5.8</v>
      </c>
      <c r="Y1214">
        <v>5.8</v>
      </c>
      <c r="Z1214">
        <v>4.9000000000000004</v>
      </c>
      <c r="AA1214">
        <v>6.2</v>
      </c>
      <c r="AB1214">
        <v>2.6</v>
      </c>
      <c r="AC1214">
        <v>7</v>
      </c>
      <c r="AD1214" t="s">
        <v>53</v>
      </c>
      <c r="AE1214" t="str">
        <f>IF(AND(data[[#This Row],[Age]]&gt;=18,data[[#This Row],[Age]]&lt;=24),"18-24",IF(AND(data[[#This Row],[Age]]&gt;=25,data[[#This Row],[Age]]&lt;=34),"25-34",IF(AND(data[[#This Row],[Age]]&gt;35,data[[#This Row],[Age]]&lt;=44),"35-44",IF(data[[#This Row],[Age]]&gt;44,"45+",IF(data[[#This Row],[Age]]&lt;18,"below 18 ")))))</f>
        <v>25-34</v>
      </c>
    </row>
    <row r="1215" spans="1:31" x14ac:dyDescent="0.25">
      <c r="A1215" t="s">
        <v>1268</v>
      </c>
      <c r="B1215">
        <v>40</v>
      </c>
      <c r="C1215" t="s">
        <v>47</v>
      </c>
      <c r="D1215" t="s">
        <v>32</v>
      </c>
      <c r="E1215" t="s">
        <v>58</v>
      </c>
      <c r="F1215" t="s">
        <v>51</v>
      </c>
      <c r="G1215">
        <v>4.9000000000000004</v>
      </c>
      <c r="H1215">
        <v>3</v>
      </c>
      <c r="I1215">
        <v>2</v>
      </c>
      <c r="J1215" t="s">
        <v>35</v>
      </c>
      <c r="K1215" t="s">
        <v>36</v>
      </c>
      <c r="L1215">
        <v>84</v>
      </c>
      <c r="M1215">
        <v>4.4000000000000004</v>
      </c>
      <c r="N1215">
        <v>2.8</v>
      </c>
      <c r="O1215">
        <v>6.7</v>
      </c>
      <c r="P1215">
        <v>6.3</v>
      </c>
      <c r="R1215" t="s">
        <v>35</v>
      </c>
      <c r="S1215">
        <v>5.3</v>
      </c>
      <c r="T1215">
        <v>5.7</v>
      </c>
      <c r="U1215">
        <v>4.2</v>
      </c>
      <c r="V1215">
        <v>6.5</v>
      </c>
      <c r="W1215">
        <v>8.1999999999999993</v>
      </c>
      <c r="X1215">
        <v>4.8</v>
      </c>
      <c r="Y1215">
        <v>2.7</v>
      </c>
      <c r="AA1215">
        <v>0.3</v>
      </c>
      <c r="AB1215">
        <v>3.6</v>
      </c>
      <c r="AC1215">
        <v>8.3000000000000007</v>
      </c>
      <c r="AD1215" t="s">
        <v>37</v>
      </c>
      <c r="AE1215" t="str">
        <f>IF(AND(data[[#This Row],[Age]]&gt;=18,data[[#This Row],[Age]]&lt;=24),"18-24",IF(AND(data[[#This Row],[Age]]&gt;=25,data[[#This Row],[Age]]&lt;=34),"25-34",IF(AND(data[[#This Row],[Age]]&gt;35,data[[#This Row],[Age]]&lt;=44),"35-44",IF(data[[#This Row],[Age]]&gt;44,"45+",IF(data[[#This Row],[Age]]&lt;18,"below 18 ")))))</f>
        <v>35-44</v>
      </c>
    </row>
    <row r="1216" spans="1:31" x14ac:dyDescent="0.25">
      <c r="A1216" t="s">
        <v>1269</v>
      </c>
      <c r="B1216">
        <v>18</v>
      </c>
      <c r="C1216" t="s">
        <v>50</v>
      </c>
      <c r="D1216" t="s">
        <v>39</v>
      </c>
      <c r="E1216" t="s">
        <v>58</v>
      </c>
      <c r="F1216" t="s">
        <v>34</v>
      </c>
      <c r="G1216">
        <v>3.2</v>
      </c>
      <c r="H1216">
        <v>4</v>
      </c>
      <c r="I1216">
        <v>3</v>
      </c>
      <c r="J1216" t="s">
        <v>35</v>
      </c>
      <c r="K1216" t="s">
        <v>36</v>
      </c>
      <c r="L1216">
        <v>48</v>
      </c>
      <c r="M1216">
        <v>4.8</v>
      </c>
      <c r="N1216">
        <v>3.7</v>
      </c>
      <c r="O1216">
        <v>6.1</v>
      </c>
      <c r="P1216">
        <v>6.8</v>
      </c>
      <c r="Q1216" t="s">
        <v>35</v>
      </c>
      <c r="R1216" t="s">
        <v>42</v>
      </c>
      <c r="S1216">
        <v>4.8</v>
      </c>
      <c r="T1216">
        <v>5.8</v>
      </c>
      <c r="U1216">
        <v>6.3</v>
      </c>
      <c r="V1216">
        <v>7.2</v>
      </c>
      <c r="W1216">
        <v>6</v>
      </c>
      <c r="X1216">
        <v>6.3</v>
      </c>
      <c r="Y1216">
        <v>5.0999999999999996</v>
      </c>
      <c r="Z1216">
        <v>6</v>
      </c>
      <c r="AA1216">
        <v>1.7</v>
      </c>
      <c r="AB1216">
        <v>4.3</v>
      </c>
      <c r="AC1216">
        <v>6</v>
      </c>
      <c r="AD1216" t="s">
        <v>45</v>
      </c>
      <c r="AE1216" t="str">
        <f>IF(AND(data[[#This Row],[Age]]&gt;=18,data[[#This Row],[Age]]&lt;=24),"18-24",IF(AND(data[[#This Row],[Age]]&gt;=25,data[[#This Row],[Age]]&lt;=34),"25-34",IF(AND(data[[#This Row],[Age]]&gt;35,data[[#This Row],[Age]]&lt;=44),"35-44",IF(data[[#This Row],[Age]]&gt;44,"45+",IF(data[[#This Row],[Age]]&lt;18,"below 18 ")))))</f>
        <v>18-24</v>
      </c>
    </row>
    <row r="1217" spans="1:31" x14ac:dyDescent="0.25">
      <c r="A1217" t="s">
        <v>1270</v>
      </c>
      <c r="B1217">
        <v>30</v>
      </c>
      <c r="D1217" t="s">
        <v>32</v>
      </c>
      <c r="E1217" t="s">
        <v>58</v>
      </c>
      <c r="F1217" t="s">
        <v>51</v>
      </c>
      <c r="G1217">
        <v>3.8</v>
      </c>
      <c r="H1217">
        <v>2</v>
      </c>
      <c r="I1217">
        <v>3</v>
      </c>
      <c r="J1217" t="s">
        <v>42</v>
      </c>
      <c r="K1217" t="s">
        <v>62</v>
      </c>
      <c r="L1217">
        <v>46</v>
      </c>
      <c r="M1217">
        <v>7.6</v>
      </c>
      <c r="N1217">
        <v>6.4</v>
      </c>
      <c r="O1217">
        <v>5.5</v>
      </c>
      <c r="P1217">
        <v>8</v>
      </c>
      <c r="Q1217" t="s">
        <v>42</v>
      </c>
      <c r="R1217" t="s">
        <v>35</v>
      </c>
      <c r="S1217">
        <v>4.2</v>
      </c>
      <c r="T1217">
        <v>3.9</v>
      </c>
      <c r="U1217">
        <v>5.3</v>
      </c>
      <c r="V1217">
        <v>5.0999999999999996</v>
      </c>
      <c r="W1217">
        <v>6.3</v>
      </c>
      <c r="X1217">
        <v>5.0999999999999996</v>
      </c>
      <c r="Y1217">
        <v>5.3</v>
      </c>
      <c r="Z1217">
        <v>7.6</v>
      </c>
      <c r="AA1217">
        <v>1.4</v>
      </c>
      <c r="AB1217">
        <v>2.4</v>
      </c>
      <c r="AC1217">
        <v>6.5</v>
      </c>
      <c r="AD1217" t="s">
        <v>45</v>
      </c>
      <c r="AE1217" t="str">
        <f>IF(AND(data[[#This Row],[Age]]&gt;=18,data[[#This Row],[Age]]&lt;=24),"18-24",IF(AND(data[[#This Row],[Age]]&gt;=25,data[[#This Row],[Age]]&lt;=34),"25-34",IF(AND(data[[#This Row],[Age]]&gt;35,data[[#This Row],[Age]]&lt;=44),"35-44",IF(data[[#This Row],[Age]]&gt;44,"45+",IF(data[[#This Row],[Age]]&lt;18,"below 18 ")))))</f>
        <v>25-34</v>
      </c>
    </row>
    <row r="1218" spans="1:31" x14ac:dyDescent="0.25">
      <c r="A1218" t="s">
        <v>1271</v>
      </c>
      <c r="B1218">
        <v>25</v>
      </c>
      <c r="C1218" t="s">
        <v>31</v>
      </c>
      <c r="D1218" t="s">
        <v>39</v>
      </c>
      <c r="E1218" t="s">
        <v>58</v>
      </c>
      <c r="F1218" t="s">
        <v>51</v>
      </c>
      <c r="G1218">
        <v>3.4</v>
      </c>
      <c r="H1218">
        <v>1</v>
      </c>
      <c r="I1218">
        <v>6</v>
      </c>
      <c r="J1218" t="s">
        <v>42</v>
      </c>
      <c r="K1218" t="s">
        <v>52</v>
      </c>
      <c r="L1218">
        <v>118</v>
      </c>
      <c r="M1218">
        <v>7.8</v>
      </c>
      <c r="N1218">
        <v>8.1</v>
      </c>
      <c r="O1218">
        <v>2</v>
      </c>
      <c r="P1218">
        <v>10</v>
      </c>
      <c r="Q1218" t="s">
        <v>42</v>
      </c>
      <c r="R1218" t="s">
        <v>35</v>
      </c>
      <c r="S1218">
        <v>0.1</v>
      </c>
      <c r="T1218">
        <v>1.5</v>
      </c>
      <c r="U1218">
        <v>3.7</v>
      </c>
      <c r="V1218">
        <v>7.4</v>
      </c>
      <c r="W1218">
        <v>5.6</v>
      </c>
      <c r="X1218">
        <v>7</v>
      </c>
      <c r="Y1218">
        <v>6.3</v>
      </c>
      <c r="Z1218">
        <v>3.2</v>
      </c>
      <c r="AA1218">
        <v>1.3</v>
      </c>
      <c r="AB1218">
        <v>2.8</v>
      </c>
      <c r="AC1218">
        <v>5</v>
      </c>
      <c r="AD1218" t="s">
        <v>45</v>
      </c>
      <c r="AE1218" t="str">
        <f>IF(AND(data[[#This Row],[Age]]&gt;=18,data[[#This Row],[Age]]&lt;=24),"18-24",IF(AND(data[[#This Row],[Age]]&gt;=25,data[[#This Row],[Age]]&lt;=34),"25-34",IF(AND(data[[#This Row],[Age]]&gt;35,data[[#This Row],[Age]]&lt;=44),"35-44",IF(data[[#This Row],[Age]]&gt;44,"45+",IF(data[[#This Row],[Age]]&lt;18,"below 18 ")))))</f>
        <v>25-34</v>
      </c>
    </row>
    <row r="1219" spans="1:31" x14ac:dyDescent="0.25">
      <c r="A1219" t="s">
        <v>1272</v>
      </c>
      <c r="B1219">
        <v>16</v>
      </c>
      <c r="C1219" t="s">
        <v>31</v>
      </c>
      <c r="E1219" t="s">
        <v>58</v>
      </c>
      <c r="F1219" t="s">
        <v>59</v>
      </c>
      <c r="G1219">
        <v>5.7</v>
      </c>
      <c r="H1219">
        <v>6</v>
      </c>
      <c r="I1219">
        <v>6</v>
      </c>
      <c r="J1219" t="s">
        <v>35</v>
      </c>
      <c r="K1219" t="s">
        <v>36</v>
      </c>
      <c r="L1219">
        <v>45</v>
      </c>
      <c r="M1219">
        <v>6.9</v>
      </c>
      <c r="N1219">
        <v>6.2</v>
      </c>
      <c r="O1219">
        <v>6</v>
      </c>
      <c r="P1219">
        <v>6.8</v>
      </c>
      <c r="R1219" t="s">
        <v>35</v>
      </c>
      <c r="S1219">
        <v>6.3</v>
      </c>
      <c r="T1219">
        <v>1.1000000000000001</v>
      </c>
      <c r="U1219">
        <v>3.2</v>
      </c>
      <c r="V1219">
        <v>6.6</v>
      </c>
      <c r="W1219">
        <v>6</v>
      </c>
      <c r="X1219">
        <v>6.8</v>
      </c>
      <c r="Z1219">
        <v>5.8</v>
      </c>
      <c r="AA1219">
        <v>4.3</v>
      </c>
      <c r="AB1219">
        <v>2.6</v>
      </c>
      <c r="AC1219">
        <v>5.3</v>
      </c>
      <c r="AD1219" t="s">
        <v>45</v>
      </c>
      <c r="AE1219" t="str">
        <f>IF(AND(data[[#This Row],[Age]]&gt;=18,data[[#This Row],[Age]]&lt;=24),"18-24",IF(AND(data[[#This Row],[Age]]&gt;=25,data[[#This Row],[Age]]&lt;=34),"25-34",IF(AND(data[[#This Row],[Age]]&gt;35,data[[#This Row],[Age]]&lt;=44),"35-44",IF(data[[#This Row],[Age]]&gt;44,"45+",IF(data[[#This Row],[Age]]&lt;18,"below 18 ")))))</f>
        <v xml:space="preserve">below 18 </v>
      </c>
    </row>
    <row r="1220" spans="1:31" x14ac:dyDescent="0.25">
      <c r="A1220" t="s">
        <v>1273</v>
      </c>
      <c r="B1220">
        <v>25</v>
      </c>
      <c r="C1220" t="s">
        <v>47</v>
      </c>
      <c r="D1220" t="s">
        <v>39</v>
      </c>
      <c r="E1220" t="s">
        <v>58</v>
      </c>
      <c r="F1220" t="s">
        <v>48</v>
      </c>
      <c r="G1220">
        <v>3.2</v>
      </c>
      <c r="H1220">
        <v>2</v>
      </c>
      <c r="I1220">
        <v>6</v>
      </c>
      <c r="J1220" t="s">
        <v>42</v>
      </c>
      <c r="K1220" t="s">
        <v>36</v>
      </c>
      <c r="L1220">
        <v>102</v>
      </c>
      <c r="M1220">
        <v>5.3</v>
      </c>
      <c r="N1220">
        <v>6.6</v>
      </c>
      <c r="O1220">
        <v>4.5999999999999996</v>
      </c>
      <c r="P1220">
        <v>6.4</v>
      </c>
      <c r="Q1220" t="s">
        <v>42</v>
      </c>
      <c r="R1220" t="s">
        <v>42</v>
      </c>
      <c r="S1220">
        <v>6.6</v>
      </c>
      <c r="T1220">
        <v>6.1</v>
      </c>
      <c r="U1220">
        <v>5.3</v>
      </c>
      <c r="V1220">
        <v>7.2</v>
      </c>
      <c r="W1220">
        <v>5.8</v>
      </c>
      <c r="X1220">
        <v>6</v>
      </c>
      <c r="Y1220">
        <v>6.4</v>
      </c>
      <c r="Z1220">
        <v>4.2</v>
      </c>
      <c r="AA1220">
        <v>4</v>
      </c>
      <c r="AB1220">
        <v>3.8</v>
      </c>
      <c r="AC1220">
        <v>4.5</v>
      </c>
      <c r="AD1220" t="s">
        <v>43</v>
      </c>
      <c r="AE1220" t="str">
        <f>IF(AND(data[[#This Row],[Age]]&gt;=18,data[[#This Row],[Age]]&lt;=24),"18-24",IF(AND(data[[#This Row],[Age]]&gt;=25,data[[#This Row],[Age]]&lt;=34),"25-34",IF(AND(data[[#This Row],[Age]]&gt;35,data[[#This Row],[Age]]&lt;=44),"35-44",IF(data[[#This Row],[Age]]&gt;44,"45+",IF(data[[#This Row],[Age]]&lt;18,"below 18 ")))))</f>
        <v>25-34</v>
      </c>
    </row>
    <row r="1221" spans="1:31" x14ac:dyDescent="0.25">
      <c r="A1221" t="s">
        <v>1274</v>
      </c>
      <c r="B1221">
        <v>25</v>
      </c>
      <c r="C1221" t="s">
        <v>31</v>
      </c>
      <c r="D1221" t="s">
        <v>32</v>
      </c>
      <c r="E1221" t="s">
        <v>58</v>
      </c>
      <c r="F1221" t="s">
        <v>34</v>
      </c>
      <c r="G1221">
        <v>4.4000000000000004</v>
      </c>
      <c r="H1221">
        <v>3</v>
      </c>
      <c r="I1221">
        <v>2</v>
      </c>
      <c r="J1221" t="s">
        <v>35</v>
      </c>
      <c r="K1221" t="s">
        <v>36</v>
      </c>
      <c r="L1221">
        <v>95</v>
      </c>
      <c r="M1221">
        <v>7.2</v>
      </c>
      <c r="N1221">
        <v>6.3</v>
      </c>
      <c r="P1221">
        <v>3.9</v>
      </c>
      <c r="Q1221" t="s">
        <v>35</v>
      </c>
      <c r="R1221" t="s">
        <v>35</v>
      </c>
      <c r="S1221">
        <v>8.1</v>
      </c>
      <c r="T1221">
        <v>0.9</v>
      </c>
      <c r="U1221">
        <v>3.7</v>
      </c>
      <c r="V1221">
        <v>2</v>
      </c>
      <c r="W1221">
        <v>9.8000000000000007</v>
      </c>
      <c r="X1221">
        <v>4.7</v>
      </c>
      <c r="Y1221">
        <v>4.7</v>
      </c>
      <c r="Z1221">
        <v>5.2</v>
      </c>
      <c r="AA1221">
        <v>2.4</v>
      </c>
      <c r="AB1221">
        <v>1.1000000000000001</v>
      </c>
      <c r="AC1221">
        <v>7.1</v>
      </c>
      <c r="AD1221" t="s">
        <v>53</v>
      </c>
      <c r="AE1221" t="str">
        <f>IF(AND(data[[#This Row],[Age]]&gt;=18,data[[#This Row],[Age]]&lt;=24),"18-24",IF(AND(data[[#This Row],[Age]]&gt;=25,data[[#This Row],[Age]]&lt;=34),"25-34",IF(AND(data[[#This Row],[Age]]&gt;35,data[[#This Row],[Age]]&lt;=44),"35-44",IF(data[[#This Row],[Age]]&gt;44,"45+",IF(data[[#This Row],[Age]]&lt;18,"below 18 ")))))</f>
        <v>25-34</v>
      </c>
    </row>
    <row r="1222" spans="1:31" x14ac:dyDescent="0.25">
      <c r="A1222" t="s">
        <v>1275</v>
      </c>
      <c r="B1222">
        <v>31</v>
      </c>
      <c r="C1222" t="s">
        <v>31</v>
      </c>
      <c r="D1222" t="s">
        <v>32</v>
      </c>
      <c r="E1222" t="s">
        <v>58</v>
      </c>
      <c r="F1222" t="s">
        <v>51</v>
      </c>
      <c r="G1222">
        <v>4.0999999999999996</v>
      </c>
      <c r="H1222">
        <v>3</v>
      </c>
      <c r="I1222">
        <v>4</v>
      </c>
      <c r="J1222" t="s">
        <v>42</v>
      </c>
      <c r="K1222" t="s">
        <v>36</v>
      </c>
      <c r="L1222">
        <v>37</v>
      </c>
      <c r="M1222">
        <v>3.3</v>
      </c>
      <c r="N1222">
        <v>7.1</v>
      </c>
      <c r="O1222">
        <v>5.6</v>
      </c>
      <c r="P1222">
        <v>6.4</v>
      </c>
      <c r="Q1222" t="s">
        <v>35</v>
      </c>
      <c r="R1222" t="s">
        <v>35</v>
      </c>
      <c r="S1222">
        <v>5.4</v>
      </c>
      <c r="T1222">
        <v>4</v>
      </c>
      <c r="U1222">
        <v>6.3</v>
      </c>
      <c r="V1222">
        <v>4.9000000000000004</v>
      </c>
      <c r="W1222">
        <v>8.6999999999999993</v>
      </c>
      <c r="X1222">
        <v>6.6</v>
      </c>
      <c r="Y1222">
        <v>8.3000000000000007</v>
      </c>
      <c r="Z1222">
        <v>4.3</v>
      </c>
      <c r="AA1222">
        <v>1.5</v>
      </c>
      <c r="AB1222">
        <v>4.5999999999999996</v>
      </c>
      <c r="AC1222">
        <v>6.9</v>
      </c>
      <c r="AD1222" t="s">
        <v>53</v>
      </c>
      <c r="AE1222" t="str">
        <f>IF(AND(data[[#This Row],[Age]]&gt;=18,data[[#This Row],[Age]]&lt;=24),"18-24",IF(AND(data[[#This Row],[Age]]&gt;=25,data[[#This Row],[Age]]&lt;=34),"25-34",IF(AND(data[[#This Row],[Age]]&gt;35,data[[#This Row],[Age]]&lt;=44),"35-44",IF(data[[#This Row],[Age]]&gt;44,"45+",IF(data[[#This Row],[Age]]&lt;18,"below 18 ")))))</f>
        <v>25-34</v>
      </c>
    </row>
    <row r="1223" spans="1:31" x14ac:dyDescent="0.25">
      <c r="A1223" t="s">
        <v>1276</v>
      </c>
      <c r="B1223">
        <v>42</v>
      </c>
      <c r="C1223" t="s">
        <v>50</v>
      </c>
      <c r="D1223" t="s">
        <v>32</v>
      </c>
      <c r="E1223" t="s">
        <v>40</v>
      </c>
      <c r="F1223" t="s">
        <v>59</v>
      </c>
      <c r="G1223">
        <v>5.5</v>
      </c>
      <c r="H1223">
        <v>1</v>
      </c>
      <c r="I1223">
        <v>4</v>
      </c>
      <c r="J1223" t="s">
        <v>35</v>
      </c>
      <c r="K1223" t="s">
        <v>62</v>
      </c>
      <c r="L1223">
        <v>5</v>
      </c>
      <c r="M1223">
        <v>4.8</v>
      </c>
      <c r="N1223">
        <v>7.8</v>
      </c>
      <c r="P1223">
        <v>6.5</v>
      </c>
      <c r="Q1223" t="s">
        <v>35</v>
      </c>
      <c r="R1223" t="s">
        <v>35</v>
      </c>
      <c r="S1223">
        <v>3.2</v>
      </c>
      <c r="T1223">
        <v>5.5</v>
      </c>
      <c r="U1223">
        <v>1.9</v>
      </c>
      <c r="V1223">
        <v>3.9</v>
      </c>
      <c r="W1223">
        <v>3.6</v>
      </c>
      <c r="X1223">
        <v>5.9</v>
      </c>
      <c r="Y1223">
        <v>3.6</v>
      </c>
      <c r="Z1223">
        <v>8.4</v>
      </c>
      <c r="AA1223">
        <v>3.6</v>
      </c>
      <c r="AB1223">
        <v>4.9000000000000004</v>
      </c>
      <c r="AC1223">
        <v>9</v>
      </c>
      <c r="AD1223" t="s">
        <v>37</v>
      </c>
      <c r="AE1223" t="str">
        <f>IF(AND(data[[#This Row],[Age]]&gt;=18,data[[#This Row],[Age]]&lt;=24),"18-24",IF(AND(data[[#This Row],[Age]]&gt;=25,data[[#This Row],[Age]]&lt;=34),"25-34",IF(AND(data[[#This Row],[Age]]&gt;35,data[[#This Row],[Age]]&lt;=44),"35-44",IF(data[[#This Row],[Age]]&gt;44,"45+",IF(data[[#This Row],[Age]]&lt;18,"below 18 ")))))</f>
        <v>35-44</v>
      </c>
    </row>
    <row r="1224" spans="1:31" x14ac:dyDescent="0.25">
      <c r="A1224" t="s">
        <v>1277</v>
      </c>
      <c r="B1224">
        <v>27</v>
      </c>
      <c r="C1224" t="s">
        <v>47</v>
      </c>
      <c r="D1224" t="s">
        <v>32</v>
      </c>
      <c r="E1224" t="s">
        <v>33</v>
      </c>
      <c r="F1224" t="s">
        <v>51</v>
      </c>
      <c r="G1224">
        <v>6.9</v>
      </c>
      <c r="H1224">
        <v>5</v>
      </c>
      <c r="I1224">
        <v>3</v>
      </c>
      <c r="J1224" t="s">
        <v>42</v>
      </c>
      <c r="K1224" t="s">
        <v>62</v>
      </c>
      <c r="L1224">
        <v>93</v>
      </c>
      <c r="M1224">
        <v>5.3</v>
      </c>
      <c r="N1224">
        <v>3.1</v>
      </c>
      <c r="O1224">
        <v>4.2</v>
      </c>
      <c r="P1224">
        <v>1.9</v>
      </c>
      <c r="Q1224" t="s">
        <v>42</v>
      </c>
      <c r="R1224" t="s">
        <v>42</v>
      </c>
      <c r="S1224">
        <v>2.5</v>
      </c>
      <c r="T1224">
        <v>3.3</v>
      </c>
      <c r="U1224">
        <v>2.5</v>
      </c>
      <c r="V1224">
        <v>5.8</v>
      </c>
      <c r="W1224">
        <v>7.1</v>
      </c>
      <c r="X1224">
        <v>6.1</v>
      </c>
      <c r="Y1224">
        <v>5</v>
      </c>
      <c r="Z1224">
        <v>7.1</v>
      </c>
      <c r="AA1224">
        <v>4.8</v>
      </c>
      <c r="AB1224">
        <v>4.2</v>
      </c>
      <c r="AC1224">
        <v>7.2</v>
      </c>
      <c r="AD1224" t="s">
        <v>37</v>
      </c>
      <c r="AE1224" t="str">
        <f>IF(AND(data[[#This Row],[Age]]&gt;=18,data[[#This Row],[Age]]&lt;=24),"18-24",IF(AND(data[[#This Row],[Age]]&gt;=25,data[[#This Row],[Age]]&lt;=34),"25-34",IF(AND(data[[#This Row],[Age]]&gt;35,data[[#This Row],[Age]]&lt;=44),"35-44",IF(data[[#This Row],[Age]]&gt;44,"45+",IF(data[[#This Row],[Age]]&lt;18,"below 18 ")))))</f>
        <v>25-34</v>
      </c>
    </row>
    <row r="1225" spans="1:31" x14ac:dyDescent="0.25">
      <c r="A1225" t="s">
        <v>1278</v>
      </c>
      <c r="B1225">
        <v>32</v>
      </c>
      <c r="C1225" t="s">
        <v>47</v>
      </c>
      <c r="D1225" t="s">
        <v>32</v>
      </c>
      <c r="E1225" t="s">
        <v>58</v>
      </c>
      <c r="F1225" t="s">
        <v>41</v>
      </c>
      <c r="G1225">
        <v>1.4</v>
      </c>
      <c r="H1225">
        <v>3</v>
      </c>
      <c r="I1225">
        <v>6</v>
      </c>
      <c r="J1225" t="s">
        <v>42</v>
      </c>
      <c r="K1225" t="s">
        <v>36</v>
      </c>
      <c r="L1225">
        <v>68</v>
      </c>
      <c r="M1225">
        <v>5</v>
      </c>
      <c r="N1225">
        <v>10</v>
      </c>
      <c r="O1225">
        <v>4.3</v>
      </c>
      <c r="P1225">
        <v>5.8</v>
      </c>
      <c r="Q1225" t="s">
        <v>35</v>
      </c>
      <c r="R1225" t="s">
        <v>35</v>
      </c>
      <c r="S1225">
        <v>4.0999999999999996</v>
      </c>
      <c r="T1225">
        <v>6</v>
      </c>
      <c r="U1225">
        <v>6.7</v>
      </c>
      <c r="V1225">
        <v>6.8</v>
      </c>
      <c r="W1225">
        <v>4.7</v>
      </c>
      <c r="X1225">
        <v>5.7</v>
      </c>
      <c r="Y1225">
        <v>6</v>
      </c>
      <c r="Z1225">
        <v>2.4</v>
      </c>
      <c r="AA1225">
        <v>0.1</v>
      </c>
      <c r="AB1225">
        <v>6.4</v>
      </c>
      <c r="AC1225">
        <v>4.7</v>
      </c>
      <c r="AD1225" t="s">
        <v>43</v>
      </c>
      <c r="AE1225" t="str">
        <f>IF(AND(data[[#This Row],[Age]]&gt;=18,data[[#This Row],[Age]]&lt;=24),"18-24",IF(AND(data[[#This Row],[Age]]&gt;=25,data[[#This Row],[Age]]&lt;=34),"25-34",IF(AND(data[[#This Row],[Age]]&gt;35,data[[#This Row],[Age]]&lt;=44),"35-44",IF(data[[#This Row],[Age]]&gt;44,"45+",IF(data[[#This Row],[Age]]&lt;18,"below 18 ")))))</f>
        <v>25-34</v>
      </c>
    </row>
    <row r="1226" spans="1:31" x14ac:dyDescent="0.25">
      <c r="A1226" t="s">
        <v>1279</v>
      </c>
      <c r="B1226">
        <v>44</v>
      </c>
      <c r="C1226" t="s">
        <v>31</v>
      </c>
      <c r="D1226" t="s">
        <v>39</v>
      </c>
      <c r="E1226" t="s">
        <v>33</v>
      </c>
      <c r="F1226" t="s">
        <v>34</v>
      </c>
      <c r="G1226">
        <v>5.5</v>
      </c>
      <c r="H1226">
        <v>6</v>
      </c>
      <c r="I1226">
        <v>3</v>
      </c>
      <c r="K1226" t="s">
        <v>36</v>
      </c>
      <c r="L1226">
        <v>52</v>
      </c>
      <c r="M1226">
        <v>5.2</v>
      </c>
      <c r="N1226">
        <v>6.9</v>
      </c>
      <c r="O1226">
        <v>6.7</v>
      </c>
      <c r="P1226">
        <v>7.3</v>
      </c>
      <c r="Q1226" t="s">
        <v>35</v>
      </c>
      <c r="R1226" t="s">
        <v>35</v>
      </c>
      <c r="S1226">
        <v>0.8</v>
      </c>
      <c r="T1226">
        <v>5.4</v>
      </c>
      <c r="U1226">
        <v>1.8</v>
      </c>
      <c r="V1226">
        <v>3.5</v>
      </c>
      <c r="W1226">
        <v>5.3</v>
      </c>
      <c r="X1226">
        <v>8.1</v>
      </c>
      <c r="Y1226">
        <v>3</v>
      </c>
      <c r="Z1226">
        <v>4.4000000000000004</v>
      </c>
      <c r="AA1226">
        <v>0.4</v>
      </c>
      <c r="AB1226">
        <v>5</v>
      </c>
      <c r="AC1226">
        <v>6.1</v>
      </c>
      <c r="AD1226" t="s">
        <v>53</v>
      </c>
      <c r="AE1226" t="str">
        <f>IF(AND(data[[#This Row],[Age]]&gt;=18,data[[#This Row],[Age]]&lt;=24),"18-24",IF(AND(data[[#This Row],[Age]]&gt;=25,data[[#This Row],[Age]]&lt;=34),"25-34",IF(AND(data[[#This Row],[Age]]&gt;35,data[[#This Row],[Age]]&lt;=44),"35-44",IF(data[[#This Row],[Age]]&gt;44,"45+",IF(data[[#This Row],[Age]]&lt;18,"below 18 ")))))</f>
        <v>35-44</v>
      </c>
    </row>
    <row r="1227" spans="1:31" x14ac:dyDescent="0.25">
      <c r="A1227" t="s">
        <v>1280</v>
      </c>
      <c r="B1227">
        <v>23</v>
      </c>
      <c r="C1227" t="s">
        <v>31</v>
      </c>
      <c r="D1227" t="s">
        <v>39</v>
      </c>
      <c r="E1227" t="s">
        <v>58</v>
      </c>
      <c r="F1227" t="s">
        <v>41</v>
      </c>
      <c r="G1227">
        <v>3.1</v>
      </c>
      <c r="H1227">
        <v>2</v>
      </c>
      <c r="I1227">
        <v>6</v>
      </c>
      <c r="J1227" t="s">
        <v>42</v>
      </c>
      <c r="K1227" t="s">
        <v>62</v>
      </c>
      <c r="L1227">
        <v>98</v>
      </c>
      <c r="M1227">
        <v>6.6</v>
      </c>
      <c r="N1227">
        <v>2.6</v>
      </c>
      <c r="O1227">
        <v>7.7</v>
      </c>
      <c r="P1227">
        <v>6.3</v>
      </c>
      <c r="Q1227" t="s">
        <v>42</v>
      </c>
      <c r="R1227" t="s">
        <v>35</v>
      </c>
      <c r="S1227">
        <v>6.4</v>
      </c>
      <c r="T1227">
        <v>3.5</v>
      </c>
      <c r="U1227">
        <v>8.1999999999999993</v>
      </c>
      <c r="V1227">
        <v>6.5</v>
      </c>
      <c r="W1227">
        <v>6.2</v>
      </c>
      <c r="X1227">
        <v>8.6</v>
      </c>
      <c r="Y1227">
        <v>6.5</v>
      </c>
      <c r="Z1227">
        <v>5</v>
      </c>
      <c r="AA1227">
        <v>3.9</v>
      </c>
      <c r="AB1227">
        <v>0</v>
      </c>
      <c r="AC1227">
        <v>5.9</v>
      </c>
      <c r="AD1227" t="s">
        <v>45</v>
      </c>
      <c r="AE1227" t="str">
        <f>IF(AND(data[[#This Row],[Age]]&gt;=18,data[[#This Row],[Age]]&lt;=24),"18-24",IF(AND(data[[#This Row],[Age]]&gt;=25,data[[#This Row],[Age]]&lt;=34),"25-34",IF(AND(data[[#This Row],[Age]]&gt;35,data[[#This Row],[Age]]&lt;=44),"35-44",IF(data[[#This Row],[Age]]&gt;44,"45+",IF(data[[#This Row],[Age]]&lt;18,"below 18 ")))))</f>
        <v>18-24</v>
      </c>
    </row>
    <row r="1228" spans="1:31" x14ac:dyDescent="0.25">
      <c r="A1228" t="s">
        <v>1281</v>
      </c>
      <c r="B1228">
        <v>26</v>
      </c>
      <c r="C1228" t="s">
        <v>31</v>
      </c>
      <c r="D1228" t="s">
        <v>57</v>
      </c>
      <c r="E1228" t="s">
        <v>33</v>
      </c>
      <c r="F1228" t="s">
        <v>34</v>
      </c>
      <c r="G1228">
        <v>4.2</v>
      </c>
      <c r="H1228">
        <v>4</v>
      </c>
      <c r="I1228">
        <v>3</v>
      </c>
      <c r="J1228" t="s">
        <v>35</v>
      </c>
      <c r="K1228" t="s">
        <v>36</v>
      </c>
      <c r="L1228">
        <v>81</v>
      </c>
      <c r="M1228">
        <v>0</v>
      </c>
      <c r="N1228">
        <v>6.1</v>
      </c>
      <c r="P1228">
        <v>5</v>
      </c>
      <c r="Q1228" t="s">
        <v>42</v>
      </c>
      <c r="R1228" t="s">
        <v>42</v>
      </c>
      <c r="S1228">
        <v>6.1</v>
      </c>
      <c r="T1228">
        <v>5.7</v>
      </c>
      <c r="U1228">
        <v>3.5</v>
      </c>
      <c r="V1228">
        <v>5.4</v>
      </c>
      <c r="W1228">
        <v>9.3000000000000007</v>
      </c>
      <c r="X1228">
        <v>6.7</v>
      </c>
      <c r="Y1228">
        <v>4</v>
      </c>
      <c r="Z1228">
        <v>2.8</v>
      </c>
      <c r="AA1228">
        <v>3.3</v>
      </c>
      <c r="AB1228">
        <v>3.8</v>
      </c>
      <c r="AC1228">
        <v>7.6</v>
      </c>
      <c r="AD1228" t="s">
        <v>37</v>
      </c>
      <c r="AE1228" t="str">
        <f>IF(AND(data[[#This Row],[Age]]&gt;=18,data[[#This Row],[Age]]&lt;=24),"18-24",IF(AND(data[[#This Row],[Age]]&gt;=25,data[[#This Row],[Age]]&lt;=34),"25-34",IF(AND(data[[#This Row],[Age]]&gt;35,data[[#This Row],[Age]]&lt;=44),"35-44",IF(data[[#This Row],[Age]]&gt;44,"45+",IF(data[[#This Row],[Age]]&lt;18,"below 18 ")))))</f>
        <v>25-34</v>
      </c>
    </row>
    <row r="1229" spans="1:31" x14ac:dyDescent="0.25">
      <c r="A1229" t="s">
        <v>1282</v>
      </c>
      <c r="B1229">
        <v>31</v>
      </c>
      <c r="C1229" t="s">
        <v>31</v>
      </c>
      <c r="D1229" t="s">
        <v>32</v>
      </c>
      <c r="E1229" t="s">
        <v>33</v>
      </c>
      <c r="F1229" t="s">
        <v>51</v>
      </c>
      <c r="G1229">
        <v>4.3</v>
      </c>
      <c r="H1229">
        <v>1</v>
      </c>
      <c r="I1229">
        <v>4</v>
      </c>
      <c r="J1229" t="s">
        <v>35</v>
      </c>
      <c r="K1229" t="s">
        <v>52</v>
      </c>
      <c r="L1229">
        <v>109</v>
      </c>
      <c r="N1229">
        <v>6.8</v>
      </c>
      <c r="O1229">
        <v>5.5</v>
      </c>
      <c r="P1229">
        <v>5.7</v>
      </c>
      <c r="Q1229" t="s">
        <v>35</v>
      </c>
      <c r="R1229" t="s">
        <v>42</v>
      </c>
      <c r="S1229">
        <v>5.2</v>
      </c>
      <c r="T1229">
        <v>6.8</v>
      </c>
      <c r="U1229">
        <v>3.6</v>
      </c>
      <c r="V1229">
        <v>7.3</v>
      </c>
      <c r="W1229">
        <v>4.5999999999999996</v>
      </c>
      <c r="X1229">
        <v>7.3</v>
      </c>
      <c r="Y1229">
        <v>8.5</v>
      </c>
      <c r="Z1229">
        <v>7.3</v>
      </c>
      <c r="AA1229">
        <v>1.9</v>
      </c>
      <c r="AB1229">
        <v>2.6</v>
      </c>
      <c r="AC1229">
        <v>5.0999999999999996</v>
      </c>
      <c r="AD1229" t="s">
        <v>43</v>
      </c>
      <c r="AE1229" t="str">
        <f>IF(AND(data[[#This Row],[Age]]&gt;=18,data[[#This Row],[Age]]&lt;=24),"18-24",IF(AND(data[[#This Row],[Age]]&gt;=25,data[[#This Row],[Age]]&lt;=34),"25-34",IF(AND(data[[#This Row],[Age]]&gt;35,data[[#This Row],[Age]]&lt;=44),"35-44",IF(data[[#This Row],[Age]]&gt;44,"45+",IF(data[[#This Row],[Age]]&lt;18,"below 18 ")))))</f>
        <v>25-34</v>
      </c>
    </row>
    <row r="1230" spans="1:31" x14ac:dyDescent="0.25">
      <c r="A1230" t="s">
        <v>1283</v>
      </c>
      <c r="B1230">
        <v>40</v>
      </c>
      <c r="C1230" t="s">
        <v>47</v>
      </c>
      <c r="D1230" t="s">
        <v>64</v>
      </c>
      <c r="E1230" t="s">
        <v>40</v>
      </c>
      <c r="F1230" t="s">
        <v>34</v>
      </c>
      <c r="G1230">
        <v>8.1</v>
      </c>
      <c r="H1230">
        <v>5</v>
      </c>
      <c r="I1230">
        <v>2</v>
      </c>
      <c r="J1230" t="s">
        <v>42</v>
      </c>
      <c r="K1230" t="s">
        <v>36</v>
      </c>
      <c r="L1230">
        <v>69</v>
      </c>
      <c r="M1230">
        <v>4.0999999999999996</v>
      </c>
      <c r="N1230">
        <v>4.8</v>
      </c>
      <c r="O1230">
        <v>1.9</v>
      </c>
      <c r="P1230">
        <v>5.4</v>
      </c>
      <c r="Q1230" t="s">
        <v>42</v>
      </c>
      <c r="R1230" t="s">
        <v>35</v>
      </c>
      <c r="S1230">
        <v>6.3</v>
      </c>
      <c r="T1230">
        <v>4.5999999999999996</v>
      </c>
      <c r="U1230">
        <v>5.4</v>
      </c>
      <c r="V1230">
        <v>6.9</v>
      </c>
      <c r="W1230">
        <v>5.5</v>
      </c>
      <c r="X1230">
        <v>5.7</v>
      </c>
      <c r="Y1230">
        <v>8.8000000000000007</v>
      </c>
      <c r="Z1230">
        <v>3.8</v>
      </c>
      <c r="AA1230">
        <v>4.9000000000000004</v>
      </c>
      <c r="AB1230">
        <v>0</v>
      </c>
      <c r="AC1230">
        <v>5.3</v>
      </c>
      <c r="AD1230" t="s">
        <v>45</v>
      </c>
      <c r="AE1230" t="str">
        <f>IF(AND(data[[#This Row],[Age]]&gt;=18,data[[#This Row],[Age]]&lt;=24),"18-24",IF(AND(data[[#This Row],[Age]]&gt;=25,data[[#This Row],[Age]]&lt;=34),"25-34",IF(AND(data[[#This Row],[Age]]&gt;35,data[[#This Row],[Age]]&lt;=44),"35-44",IF(data[[#This Row],[Age]]&gt;44,"45+",IF(data[[#This Row],[Age]]&lt;18,"below 18 ")))))</f>
        <v>35-44</v>
      </c>
    </row>
    <row r="1231" spans="1:31" x14ac:dyDescent="0.25">
      <c r="A1231" t="s">
        <v>1284</v>
      </c>
      <c r="B1231">
        <v>23</v>
      </c>
      <c r="D1231" t="s">
        <v>32</v>
      </c>
      <c r="E1231" t="s">
        <v>58</v>
      </c>
      <c r="F1231" t="s">
        <v>51</v>
      </c>
      <c r="G1231">
        <v>8</v>
      </c>
      <c r="H1231">
        <v>3</v>
      </c>
      <c r="I1231">
        <v>6</v>
      </c>
      <c r="J1231" t="s">
        <v>35</v>
      </c>
      <c r="K1231" t="s">
        <v>52</v>
      </c>
      <c r="L1231">
        <v>85</v>
      </c>
      <c r="M1231">
        <v>4.2</v>
      </c>
      <c r="N1231">
        <v>6.1</v>
      </c>
      <c r="O1231">
        <v>4.4000000000000004</v>
      </c>
      <c r="P1231">
        <v>9.3000000000000007</v>
      </c>
      <c r="Q1231" t="s">
        <v>35</v>
      </c>
      <c r="R1231" t="s">
        <v>42</v>
      </c>
      <c r="S1231">
        <v>4.8</v>
      </c>
      <c r="T1231">
        <v>0.3</v>
      </c>
      <c r="U1231">
        <v>5.8</v>
      </c>
      <c r="V1231">
        <v>6.2</v>
      </c>
      <c r="W1231">
        <v>5.7</v>
      </c>
      <c r="X1231">
        <v>4.0999999999999996</v>
      </c>
      <c r="Y1231">
        <v>4.5999999999999996</v>
      </c>
      <c r="Z1231">
        <v>5.6</v>
      </c>
      <c r="AA1231">
        <v>1.7</v>
      </c>
      <c r="AB1231">
        <v>3</v>
      </c>
      <c r="AC1231">
        <v>5.8</v>
      </c>
      <c r="AD1231" t="s">
        <v>53</v>
      </c>
      <c r="AE1231" t="str">
        <f>IF(AND(data[[#This Row],[Age]]&gt;=18,data[[#This Row],[Age]]&lt;=24),"18-24",IF(AND(data[[#This Row],[Age]]&gt;=25,data[[#This Row],[Age]]&lt;=34),"25-34",IF(AND(data[[#This Row],[Age]]&gt;35,data[[#This Row],[Age]]&lt;=44),"35-44",IF(data[[#This Row],[Age]]&gt;44,"45+",IF(data[[#This Row],[Age]]&lt;18,"below 18 ")))))</f>
        <v>18-24</v>
      </c>
    </row>
    <row r="1232" spans="1:31" x14ac:dyDescent="0.25">
      <c r="A1232" t="s">
        <v>1285</v>
      </c>
      <c r="B1232">
        <v>38</v>
      </c>
      <c r="C1232" t="s">
        <v>50</v>
      </c>
      <c r="D1232" t="s">
        <v>32</v>
      </c>
      <c r="E1232" t="s">
        <v>58</v>
      </c>
      <c r="F1232" t="s">
        <v>34</v>
      </c>
      <c r="G1232">
        <v>4.0999999999999996</v>
      </c>
      <c r="H1232">
        <v>1</v>
      </c>
      <c r="I1232">
        <v>7</v>
      </c>
      <c r="J1232" t="s">
        <v>42</v>
      </c>
      <c r="K1232" t="s">
        <v>52</v>
      </c>
      <c r="L1232">
        <v>46</v>
      </c>
      <c r="M1232">
        <v>6.9</v>
      </c>
      <c r="N1232">
        <v>5.4</v>
      </c>
      <c r="O1232">
        <v>6.2</v>
      </c>
      <c r="P1232">
        <v>7.2</v>
      </c>
      <c r="Q1232" t="s">
        <v>35</v>
      </c>
      <c r="R1232" t="s">
        <v>35</v>
      </c>
      <c r="S1232">
        <v>6.6</v>
      </c>
      <c r="T1232">
        <v>4.2</v>
      </c>
      <c r="U1232">
        <v>3.9</v>
      </c>
      <c r="V1232">
        <v>7.4</v>
      </c>
      <c r="W1232">
        <v>7.6</v>
      </c>
      <c r="X1232">
        <v>6.9</v>
      </c>
      <c r="Y1232">
        <v>9.1999999999999993</v>
      </c>
      <c r="Z1232">
        <v>9</v>
      </c>
      <c r="AA1232">
        <v>4.4000000000000004</v>
      </c>
      <c r="AB1232">
        <v>3</v>
      </c>
      <c r="AC1232">
        <v>6.3</v>
      </c>
      <c r="AD1232" t="s">
        <v>53</v>
      </c>
      <c r="AE1232" t="str">
        <f>IF(AND(data[[#This Row],[Age]]&gt;=18,data[[#This Row],[Age]]&lt;=24),"18-24",IF(AND(data[[#This Row],[Age]]&gt;=25,data[[#This Row],[Age]]&lt;=34),"25-34",IF(AND(data[[#This Row],[Age]]&gt;35,data[[#This Row],[Age]]&lt;=44),"35-44",IF(data[[#This Row],[Age]]&gt;44,"45+",IF(data[[#This Row],[Age]]&lt;18,"below 18 ")))))</f>
        <v>35-44</v>
      </c>
    </row>
    <row r="1233" spans="1:31" x14ac:dyDescent="0.25">
      <c r="A1233" t="s">
        <v>1286</v>
      </c>
      <c r="B1233">
        <v>19</v>
      </c>
      <c r="C1233" t="s">
        <v>50</v>
      </c>
      <c r="D1233" t="s">
        <v>39</v>
      </c>
      <c r="E1233" t="s">
        <v>33</v>
      </c>
      <c r="F1233" t="s">
        <v>48</v>
      </c>
      <c r="G1233">
        <v>4.0999999999999996</v>
      </c>
      <c r="H1233">
        <v>4</v>
      </c>
      <c r="I1233">
        <v>1</v>
      </c>
      <c r="J1233" t="s">
        <v>35</v>
      </c>
      <c r="K1233" t="s">
        <v>36</v>
      </c>
      <c r="L1233">
        <v>52</v>
      </c>
      <c r="M1233">
        <v>7.2</v>
      </c>
      <c r="N1233">
        <v>5.2</v>
      </c>
      <c r="O1233">
        <v>9.4</v>
      </c>
      <c r="P1233">
        <v>4.4000000000000004</v>
      </c>
      <c r="Q1233" t="s">
        <v>35</v>
      </c>
      <c r="R1233" t="s">
        <v>35</v>
      </c>
      <c r="S1233">
        <v>6</v>
      </c>
      <c r="T1233">
        <v>6.1</v>
      </c>
      <c r="U1233">
        <v>4.5999999999999996</v>
      </c>
      <c r="V1233">
        <v>4.8</v>
      </c>
      <c r="W1233">
        <v>10</v>
      </c>
      <c r="X1233">
        <v>4.5999999999999996</v>
      </c>
      <c r="Y1233">
        <v>5</v>
      </c>
      <c r="Z1233">
        <v>7</v>
      </c>
      <c r="AA1233">
        <v>1</v>
      </c>
      <c r="AB1233">
        <v>5.5</v>
      </c>
      <c r="AC1233">
        <v>7.5</v>
      </c>
      <c r="AD1233" t="s">
        <v>53</v>
      </c>
      <c r="AE1233" t="str">
        <f>IF(AND(data[[#This Row],[Age]]&gt;=18,data[[#This Row],[Age]]&lt;=24),"18-24",IF(AND(data[[#This Row],[Age]]&gt;=25,data[[#This Row],[Age]]&lt;=34),"25-34",IF(AND(data[[#This Row],[Age]]&gt;35,data[[#This Row],[Age]]&lt;=44),"35-44",IF(data[[#This Row],[Age]]&gt;44,"45+",IF(data[[#This Row],[Age]]&lt;18,"below 18 ")))))</f>
        <v>18-24</v>
      </c>
    </row>
    <row r="1234" spans="1:31" x14ac:dyDescent="0.25">
      <c r="A1234" t="s">
        <v>1287</v>
      </c>
      <c r="B1234">
        <v>35</v>
      </c>
      <c r="C1234" t="s">
        <v>31</v>
      </c>
      <c r="D1234" t="s">
        <v>32</v>
      </c>
      <c r="E1234" t="s">
        <v>58</v>
      </c>
      <c r="F1234" t="s">
        <v>51</v>
      </c>
      <c r="G1234">
        <v>7.8</v>
      </c>
      <c r="H1234">
        <v>4</v>
      </c>
      <c r="I1234">
        <v>8</v>
      </c>
      <c r="J1234" t="s">
        <v>42</v>
      </c>
      <c r="K1234" t="s">
        <v>62</v>
      </c>
      <c r="L1234">
        <v>30</v>
      </c>
      <c r="M1234">
        <v>7.6</v>
      </c>
      <c r="N1234">
        <v>4</v>
      </c>
      <c r="O1234">
        <v>2.6</v>
      </c>
      <c r="P1234">
        <v>6.9</v>
      </c>
      <c r="R1234" t="s">
        <v>35</v>
      </c>
      <c r="S1234">
        <v>4.3</v>
      </c>
      <c r="T1234">
        <v>5.8</v>
      </c>
      <c r="U1234">
        <v>6</v>
      </c>
      <c r="V1234">
        <v>2.4</v>
      </c>
      <c r="W1234">
        <v>1.6</v>
      </c>
      <c r="X1234">
        <v>6.9</v>
      </c>
      <c r="Y1234">
        <v>1.7</v>
      </c>
      <c r="Z1234">
        <v>4.0999999999999996</v>
      </c>
      <c r="AA1234">
        <v>3.6</v>
      </c>
      <c r="AB1234">
        <v>2.1</v>
      </c>
      <c r="AC1234">
        <v>6.5</v>
      </c>
      <c r="AD1234" t="s">
        <v>45</v>
      </c>
      <c r="AE1234" t="b">
        <f>IF(AND(data[[#This Row],[Age]]&gt;=18,data[[#This Row],[Age]]&lt;=24),"18-24",IF(AND(data[[#This Row],[Age]]&gt;=25,data[[#This Row],[Age]]&lt;=34),"25-34",IF(AND(data[[#This Row],[Age]]&gt;35,data[[#This Row],[Age]]&lt;=44),"35-44",IF(data[[#This Row],[Age]]&gt;44,"45+",IF(data[[#This Row],[Age]]&lt;18,"below 18 ")))))</f>
        <v>0</v>
      </c>
    </row>
    <row r="1235" spans="1:31" x14ac:dyDescent="0.25">
      <c r="A1235" t="s">
        <v>1288</v>
      </c>
      <c r="B1235">
        <v>31</v>
      </c>
      <c r="C1235" t="s">
        <v>31</v>
      </c>
      <c r="D1235" t="s">
        <v>32</v>
      </c>
      <c r="E1235" t="s">
        <v>58</v>
      </c>
      <c r="F1235" t="s">
        <v>34</v>
      </c>
      <c r="G1235">
        <v>5.8</v>
      </c>
      <c r="H1235">
        <v>4</v>
      </c>
      <c r="I1235">
        <v>2</v>
      </c>
      <c r="J1235" t="s">
        <v>35</v>
      </c>
      <c r="K1235" t="s">
        <v>36</v>
      </c>
      <c r="L1235">
        <v>9</v>
      </c>
      <c r="M1235">
        <v>7.4</v>
      </c>
      <c r="N1235">
        <v>4.9000000000000004</v>
      </c>
      <c r="P1235">
        <v>5.9</v>
      </c>
      <c r="Q1235" t="s">
        <v>35</v>
      </c>
      <c r="R1235" t="s">
        <v>35</v>
      </c>
      <c r="S1235">
        <v>4.8</v>
      </c>
      <c r="T1235">
        <v>4.4000000000000004</v>
      </c>
      <c r="U1235">
        <v>5.8</v>
      </c>
      <c r="V1235">
        <v>6</v>
      </c>
      <c r="W1235">
        <v>1.7</v>
      </c>
      <c r="X1235">
        <v>7</v>
      </c>
      <c r="Y1235">
        <v>3.9</v>
      </c>
      <c r="Z1235">
        <v>2.9</v>
      </c>
      <c r="AA1235">
        <v>0.8</v>
      </c>
      <c r="AB1235">
        <v>0.5</v>
      </c>
      <c r="AC1235">
        <v>6.6</v>
      </c>
      <c r="AD1235" t="s">
        <v>53</v>
      </c>
      <c r="AE1235" t="str">
        <f>IF(AND(data[[#This Row],[Age]]&gt;=18,data[[#This Row],[Age]]&lt;=24),"18-24",IF(AND(data[[#This Row],[Age]]&gt;=25,data[[#This Row],[Age]]&lt;=34),"25-34",IF(AND(data[[#This Row],[Age]]&gt;35,data[[#This Row],[Age]]&lt;=44),"35-44",IF(data[[#This Row],[Age]]&gt;44,"45+",IF(data[[#This Row],[Age]]&lt;18,"below 18 ")))))</f>
        <v>25-34</v>
      </c>
    </row>
    <row r="1236" spans="1:31" x14ac:dyDescent="0.25">
      <c r="A1236" t="s">
        <v>1289</v>
      </c>
      <c r="B1236">
        <v>20</v>
      </c>
      <c r="C1236" t="s">
        <v>47</v>
      </c>
      <c r="D1236" t="s">
        <v>32</v>
      </c>
      <c r="E1236" t="s">
        <v>33</v>
      </c>
      <c r="F1236" t="s">
        <v>70</v>
      </c>
      <c r="G1236">
        <v>8.8000000000000007</v>
      </c>
      <c r="H1236">
        <v>3</v>
      </c>
      <c r="I1236">
        <v>4</v>
      </c>
      <c r="J1236" t="s">
        <v>35</v>
      </c>
      <c r="K1236" t="s">
        <v>36</v>
      </c>
      <c r="L1236">
        <v>67</v>
      </c>
      <c r="M1236">
        <v>6.2</v>
      </c>
      <c r="N1236">
        <v>7.3</v>
      </c>
      <c r="O1236">
        <v>4.5</v>
      </c>
      <c r="P1236">
        <v>7.2</v>
      </c>
      <c r="Q1236" t="s">
        <v>42</v>
      </c>
      <c r="R1236" t="s">
        <v>35</v>
      </c>
      <c r="S1236">
        <v>2.4</v>
      </c>
      <c r="T1236">
        <v>6.8</v>
      </c>
      <c r="U1236">
        <v>5.0999999999999996</v>
      </c>
      <c r="V1236">
        <v>1.2</v>
      </c>
      <c r="W1236">
        <v>3.7</v>
      </c>
      <c r="Y1236">
        <v>5.0999999999999996</v>
      </c>
      <c r="Z1236">
        <v>2.5</v>
      </c>
      <c r="AA1236">
        <v>2.8</v>
      </c>
      <c r="AB1236">
        <v>2.7</v>
      </c>
      <c r="AC1236">
        <v>4.5</v>
      </c>
      <c r="AD1236" t="s">
        <v>43</v>
      </c>
      <c r="AE1236" t="str">
        <f>IF(AND(data[[#This Row],[Age]]&gt;=18,data[[#This Row],[Age]]&lt;=24),"18-24",IF(AND(data[[#This Row],[Age]]&gt;=25,data[[#This Row],[Age]]&lt;=34),"25-34",IF(AND(data[[#This Row],[Age]]&gt;35,data[[#This Row],[Age]]&lt;=44),"35-44",IF(data[[#This Row],[Age]]&gt;44,"45+",IF(data[[#This Row],[Age]]&lt;18,"below 18 ")))))</f>
        <v>18-24</v>
      </c>
    </row>
    <row r="1237" spans="1:31" x14ac:dyDescent="0.25">
      <c r="A1237" t="s">
        <v>1290</v>
      </c>
      <c r="B1237">
        <v>25</v>
      </c>
      <c r="C1237" t="s">
        <v>31</v>
      </c>
      <c r="D1237" t="s">
        <v>32</v>
      </c>
      <c r="E1237" t="s">
        <v>40</v>
      </c>
      <c r="F1237" t="s">
        <v>34</v>
      </c>
      <c r="G1237">
        <v>3.1</v>
      </c>
      <c r="H1237">
        <v>4</v>
      </c>
      <c r="I1237">
        <v>6</v>
      </c>
      <c r="J1237" t="s">
        <v>42</v>
      </c>
      <c r="K1237" t="s">
        <v>52</v>
      </c>
      <c r="L1237">
        <v>37</v>
      </c>
      <c r="M1237">
        <v>6.2</v>
      </c>
      <c r="N1237">
        <v>3.4</v>
      </c>
      <c r="O1237">
        <v>3.5</v>
      </c>
      <c r="P1237">
        <v>5.0999999999999996</v>
      </c>
      <c r="R1237" t="s">
        <v>42</v>
      </c>
      <c r="S1237">
        <v>7.3</v>
      </c>
      <c r="T1237">
        <v>4.3</v>
      </c>
      <c r="U1237">
        <v>4.5999999999999996</v>
      </c>
      <c r="W1237">
        <v>8</v>
      </c>
      <c r="X1237">
        <v>6.1</v>
      </c>
      <c r="Y1237">
        <v>3.6</v>
      </c>
      <c r="Z1237">
        <v>7.6</v>
      </c>
      <c r="AA1237">
        <v>1.2</v>
      </c>
      <c r="AB1237">
        <v>3.7</v>
      </c>
      <c r="AC1237">
        <v>7.1</v>
      </c>
      <c r="AD1237" t="s">
        <v>37</v>
      </c>
      <c r="AE1237" t="str">
        <f>IF(AND(data[[#This Row],[Age]]&gt;=18,data[[#This Row],[Age]]&lt;=24),"18-24",IF(AND(data[[#This Row],[Age]]&gt;=25,data[[#This Row],[Age]]&lt;=34),"25-34",IF(AND(data[[#This Row],[Age]]&gt;35,data[[#This Row],[Age]]&lt;=44),"35-44",IF(data[[#This Row],[Age]]&gt;44,"45+",IF(data[[#This Row],[Age]]&lt;18,"below 18 ")))))</f>
        <v>25-34</v>
      </c>
    </row>
    <row r="1238" spans="1:31" x14ac:dyDescent="0.25">
      <c r="A1238" t="s">
        <v>1291</v>
      </c>
      <c r="B1238">
        <v>27</v>
      </c>
      <c r="C1238" t="s">
        <v>50</v>
      </c>
      <c r="D1238" t="s">
        <v>64</v>
      </c>
      <c r="E1238" t="s">
        <v>33</v>
      </c>
      <c r="F1238" t="s">
        <v>41</v>
      </c>
      <c r="G1238">
        <v>7.1</v>
      </c>
      <c r="H1238">
        <v>2</v>
      </c>
      <c r="I1238">
        <v>3</v>
      </c>
      <c r="J1238" t="s">
        <v>42</v>
      </c>
      <c r="K1238" t="s">
        <v>52</v>
      </c>
      <c r="L1238">
        <v>112</v>
      </c>
      <c r="M1238">
        <v>5.2</v>
      </c>
      <c r="N1238">
        <v>2.2000000000000002</v>
      </c>
      <c r="O1238">
        <v>4.4000000000000004</v>
      </c>
      <c r="P1238">
        <v>3.7</v>
      </c>
      <c r="Q1238" t="s">
        <v>35</v>
      </c>
      <c r="R1238" t="s">
        <v>35</v>
      </c>
      <c r="S1238">
        <v>8.6</v>
      </c>
      <c r="T1238">
        <v>1</v>
      </c>
      <c r="U1238">
        <v>1.7</v>
      </c>
      <c r="V1238">
        <v>3.9</v>
      </c>
      <c r="W1238">
        <v>8.6</v>
      </c>
      <c r="X1238">
        <v>4.8</v>
      </c>
      <c r="Y1238">
        <v>10</v>
      </c>
      <c r="Z1238">
        <v>5.5</v>
      </c>
      <c r="AA1238">
        <v>4.3</v>
      </c>
      <c r="AC1238">
        <v>7.1</v>
      </c>
      <c r="AD1238" t="s">
        <v>37</v>
      </c>
      <c r="AE1238" t="str">
        <f>IF(AND(data[[#This Row],[Age]]&gt;=18,data[[#This Row],[Age]]&lt;=24),"18-24",IF(AND(data[[#This Row],[Age]]&gt;=25,data[[#This Row],[Age]]&lt;=34),"25-34",IF(AND(data[[#This Row],[Age]]&gt;35,data[[#This Row],[Age]]&lt;=44),"35-44",IF(data[[#This Row],[Age]]&gt;44,"45+",IF(data[[#This Row],[Age]]&lt;18,"below 18 ")))))</f>
        <v>25-34</v>
      </c>
    </row>
    <row r="1239" spans="1:31" x14ac:dyDescent="0.25">
      <c r="A1239" t="s">
        <v>1292</v>
      </c>
      <c r="B1239">
        <v>27</v>
      </c>
      <c r="C1239" t="s">
        <v>47</v>
      </c>
      <c r="D1239" t="s">
        <v>64</v>
      </c>
      <c r="E1239" t="s">
        <v>33</v>
      </c>
      <c r="F1239" t="s">
        <v>34</v>
      </c>
      <c r="H1239">
        <v>3</v>
      </c>
      <c r="I1239">
        <v>3</v>
      </c>
      <c r="J1239" t="s">
        <v>35</v>
      </c>
      <c r="K1239" t="s">
        <v>62</v>
      </c>
      <c r="L1239">
        <v>88</v>
      </c>
      <c r="M1239">
        <v>7</v>
      </c>
      <c r="N1239">
        <v>5.9</v>
      </c>
      <c r="O1239">
        <v>4.9000000000000004</v>
      </c>
      <c r="P1239">
        <v>3.5</v>
      </c>
      <c r="Q1239" t="s">
        <v>35</v>
      </c>
      <c r="R1239" t="s">
        <v>35</v>
      </c>
      <c r="T1239">
        <v>6.6</v>
      </c>
      <c r="U1239">
        <v>5.7</v>
      </c>
      <c r="V1239">
        <v>2.4</v>
      </c>
      <c r="W1239">
        <v>0</v>
      </c>
      <c r="X1239">
        <v>5.0999999999999996</v>
      </c>
      <c r="Y1239">
        <v>5.9</v>
      </c>
      <c r="Z1239">
        <v>3.4</v>
      </c>
      <c r="AA1239">
        <v>3.2</v>
      </c>
      <c r="AC1239">
        <v>7.3</v>
      </c>
      <c r="AD1239" t="s">
        <v>53</v>
      </c>
      <c r="AE1239" t="str">
        <f>IF(AND(data[[#This Row],[Age]]&gt;=18,data[[#This Row],[Age]]&lt;=24),"18-24",IF(AND(data[[#This Row],[Age]]&gt;=25,data[[#This Row],[Age]]&lt;=34),"25-34",IF(AND(data[[#This Row],[Age]]&gt;35,data[[#This Row],[Age]]&lt;=44),"35-44",IF(data[[#This Row],[Age]]&gt;44,"45+",IF(data[[#This Row],[Age]]&lt;18,"below 18 ")))))</f>
        <v>25-34</v>
      </c>
    </row>
    <row r="1240" spans="1:31" x14ac:dyDescent="0.25">
      <c r="A1240" t="s">
        <v>1293</v>
      </c>
      <c r="B1240">
        <v>34</v>
      </c>
      <c r="C1240" t="s">
        <v>31</v>
      </c>
      <c r="D1240" t="s">
        <v>39</v>
      </c>
      <c r="E1240" t="s">
        <v>58</v>
      </c>
      <c r="F1240" t="s">
        <v>41</v>
      </c>
      <c r="G1240">
        <v>0.5</v>
      </c>
      <c r="H1240">
        <v>3</v>
      </c>
      <c r="I1240">
        <v>7</v>
      </c>
      <c r="J1240" t="s">
        <v>42</v>
      </c>
      <c r="K1240" t="s">
        <v>36</v>
      </c>
      <c r="L1240">
        <v>119</v>
      </c>
      <c r="M1240">
        <v>6.9</v>
      </c>
      <c r="N1240">
        <v>3.7</v>
      </c>
      <c r="O1240">
        <v>4.0999999999999996</v>
      </c>
      <c r="P1240">
        <v>3.3</v>
      </c>
      <c r="Q1240" t="s">
        <v>35</v>
      </c>
      <c r="R1240" t="s">
        <v>35</v>
      </c>
      <c r="S1240">
        <v>2.9</v>
      </c>
      <c r="T1240">
        <v>7</v>
      </c>
      <c r="U1240">
        <v>2.5</v>
      </c>
      <c r="V1240">
        <v>6.3</v>
      </c>
      <c r="W1240">
        <v>6.4</v>
      </c>
      <c r="X1240">
        <v>4.8</v>
      </c>
      <c r="Y1240">
        <v>8.4</v>
      </c>
      <c r="Z1240">
        <v>7.7</v>
      </c>
      <c r="AB1240">
        <v>0</v>
      </c>
      <c r="AC1240">
        <v>6</v>
      </c>
      <c r="AD1240" t="s">
        <v>53</v>
      </c>
      <c r="AE1240" t="str">
        <f>IF(AND(data[[#This Row],[Age]]&gt;=18,data[[#This Row],[Age]]&lt;=24),"18-24",IF(AND(data[[#This Row],[Age]]&gt;=25,data[[#This Row],[Age]]&lt;=34),"25-34",IF(AND(data[[#This Row],[Age]]&gt;35,data[[#This Row],[Age]]&lt;=44),"35-44",IF(data[[#This Row],[Age]]&gt;44,"45+",IF(data[[#This Row],[Age]]&lt;18,"below 18 ")))))</f>
        <v>25-34</v>
      </c>
    </row>
    <row r="1241" spans="1:31" x14ac:dyDescent="0.25">
      <c r="A1241" t="s">
        <v>1294</v>
      </c>
      <c r="B1241">
        <v>18</v>
      </c>
      <c r="C1241" t="s">
        <v>31</v>
      </c>
      <c r="D1241" t="s">
        <v>64</v>
      </c>
      <c r="E1241" t="s">
        <v>40</v>
      </c>
      <c r="F1241" t="s">
        <v>41</v>
      </c>
      <c r="G1241">
        <v>6.3</v>
      </c>
      <c r="H1241">
        <v>1</v>
      </c>
      <c r="I1241">
        <v>3</v>
      </c>
      <c r="J1241" t="s">
        <v>42</v>
      </c>
      <c r="K1241" t="s">
        <v>36</v>
      </c>
      <c r="L1241">
        <v>18</v>
      </c>
      <c r="M1241">
        <v>4.9000000000000004</v>
      </c>
      <c r="N1241">
        <v>5.4</v>
      </c>
      <c r="O1241">
        <v>0.2</v>
      </c>
      <c r="P1241">
        <v>5.5</v>
      </c>
      <c r="Q1241" t="s">
        <v>42</v>
      </c>
      <c r="R1241" t="s">
        <v>42</v>
      </c>
      <c r="S1241">
        <v>4.4000000000000004</v>
      </c>
      <c r="T1241">
        <v>6.6</v>
      </c>
      <c r="U1241">
        <v>3.6</v>
      </c>
      <c r="V1241">
        <v>8.3000000000000007</v>
      </c>
      <c r="W1241">
        <v>5.5</v>
      </c>
      <c r="X1241">
        <v>7.3</v>
      </c>
      <c r="Z1241">
        <v>4.9000000000000004</v>
      </c>
      <c r="AA1241">
        <v>2</v>
      </c>
      <c r="AB1241">
        <v>2.8</v>
      </c>
      <c r="AC1241">
        <v>6.7</v>
      </c>
      <c r="AD1241" t="s">
        <v>53</v>
      </c>
      <c r="AE1241" t="str">
        <f>IF(AND(data[[#This Row],[Age]]&gt;=18,data[[#This Row],[Age]]&lt;=24),"18-24",IF(AND(data[[#This Row],[Age]]&gt;=25,data[[#This Row],[Age]]&lt;=34),"25-34",IF(AND(data[[#This Row],[Age]]&gt;35,data[[#This Row],[Age]]&lt;=44),"35-44",IF(data[[#This Row],[Age]]&gt;44,"45+",IF(data[[#This Row],[Age]]&lt;18,"below 18 ")))))</f>
        <v>18-24</v>
      </c>
    </row>
    <row r="1242" spans="1:31" x14ac:dyDescent="0.25">
      <c r="A1242" t="s">
        <v>1295</v>
      </c>
      <c r="B1242">
        <v>27</v>
      </c>
      <c r="C1242" t="s">
        <v>31</v>
      </c>
      <c r="D1242" t="s">
        <v>32</v>
      </c>
      <c r="E1242" t="s">
        <v>40</v>
      </c>
      <c r="F1242" t="s">
        <v>41</v>
      </c>
      <c r="G1242">
        <v>2.5</v>
      </c>
      <c r="H1242">
        <v>2</v>
      </c>
      <c r="I1242">
        <v>3</v>
      </c>
      <c r="J1242" t="s">
        <v>42</v>
      </c>
      <c r="K1242" t="s">
        <v>62</v>
      </c>
      <c r="L1242">
        <v>47</v>
      </c>
      <c r="M1242">
        <v>8.1999999999999993</v>
      </c>
      <c r="N1242">
        <v>6.5</v>
      </c>
      <c r="O1242">
        <v>4.2</v>
      </c>
      <c r="P1242">
        <v>4.9000000000000004</v>
      </c>
      <c r="Q1242" t="s">
        <v>42</v>
      </c>
      <c r="R1242" t="s">
        <v>35</v>
      </c>
      <c r="S1242">
        <v>3.4</v>
      </c>
      <c r="T1242">
        <v>2</v>
      </c>
      <c r="U1242">
        <v>3.3</v>
      </c>
      <c r="V1242">
        <v>5.6</v>
      </c>
      <c r="W1242">
        <v>7.2</v>
      </c>
      <c r="X1242">
        <v>6.1</v>
      </c>
      <c r="Y1242">
        <v>5.7</v>
      </c>
      <c r="Z1242">
        <v>4.7</v>
      </c>
      <c r="AA1242">
        <v>3.5</v>
      </c>
      <c r="AB1242">
        <v>2.1</v>
      </c>
      <c r="AC1242">
        <v>7.8</v>
      </c>
      <c r="AD1242" t="s">
        <v>37</v>
      </c>
      <c r="AE1242" t="str">
        <f>IF(AND(data[[#This Row],[Age]]&gt;=18,data[[#This Row],[Age]]&lt;=24),"18-24",IF(AND(data[[#This Row],[Age]]&gt;=25,data[[#This Row],[Age]]&lt;=34),"25-34",IF(AND(data[[#This Row],[Age]]&gt;35,data[[#This Row],[Age]]&lt;=44),"35-44",IF(data[[#This Row],[Age]]&gt;44,"45+",IF(data[[#This Row],[Age]]&lt;18,"below 18 ")))))</f>
        <v>25-34</v>
      </c>
    </row>
    <row r="1243" spans="1:31" x14ac:dyDescent="0.25">
      <c r="A1243" t="s">
        <v>1296</v>
      </c>
      <c r="B1243">
        <v>21</v>
      </c>
      <c r="C1243" t="s">
        <v>47</v>
      </c>
      <c r="D1243" t="s">
        <v>39</v>
      </c>
      <c r="E1243" t="s">
        <v>58</v>
      </c>
      <c r="F1243" t="s">
        <v>41</v>
      </c>
      <c r="G1243">
        <v>6.2</v>
      </c>
      <c r="H1243">
        <v>2</v>
      </c>
      <c r="I1243">
        <v>6</v>
      </c>
      <c r="J1243" t="s">
        <v>35</v>
      </c>
      <c r="K1243" t="s">
        <v>62</v>
      </c>
      <c r="L1243">
        <v>57</v>
      </c>
      <c r="M1243">
        <v>4.8</v>
      </c>
      <c r="N1243">
        <v>4</v>
      </c>
      <c r="O1243">
        <v>4.5</v>
      </c>
      <c r="P1243">
        <v>2</v>
      </c>
      <c r="Q1243" t="s">
        <v>42</v>
      </c>
      <c r="R1243" t="s">
        <v>42</v>
      </c>
      <c r="S1243">
        <v>5.3</v>
      </c>
      <c r="T1243">
        <v>2.8</v>
      </c>
      <c r="U1243">
        <v>7.5</v>
      </c>
      <c r="V1243">
        <v>6.8</v>
      </c>
      <c r="W1243">
        <v>5.9</v>
      </c>
      <c r="X1243">
        <v>6.3</v>
      </c>
      <c r="Y1243">
        <v>3.7</v>
      </c>
      <c r="Z1243">
        <v>7.1</v>
      </c>
      <c r="AA1243">
        <v>5.5</v>
      </c>
      <c r="AB1243">
        <v>2.9</v>
      </c>
      <c r="AC1243">
        <v>7.8</v>
      </c>
      <c r="AD1243" t="s">
        <v>37</v>
      </c>
      <c r="AE1243" t="str">
        <f>IF(AND(data[[#This Row],[Age]]&gt;=18,data[[#This Row],[Age]]&lt;=24),"18-24",IF(AND(data[[#This Row],[Age]]&gt;=25,data[[#This Row],[Age]]&lt;=34),"25-34",IF(AND(data[[#This Row],[Age]]&gt;35,data[[#This Row],[Age]]&lt;=44),"35-44",IF(data[[#This Row],[Age]]&gt;44,"45+",IF(data[[#This Row],[Age]]&lt;18,"below 18 ")))))</f>
        <v>18-24</v>
      </c>
    </row>
    <row r="1244" spans="1:31" x14ac:dyDescent="0.25">
      <c r="A1244" t="s">
        <v>1297</v>
      </c>
      <c r="B1244">
        <v>32</v>
      </c>
      <c r="C1244" t="s">
        <v>31</v>
      </c>
      <c r="D1244" t="s">
        <v>64</v>
      </c>
      <c r="E1244" t="s">
        <v>58</v>
      </c>
      <c r="F1244" t="s">
        <v>41</v>
      </c>
      <c r="G1244">
        <v>4</v>
      </c>
      <c r="H1244">
        <v>4</v>
      </c>
      <c r="I1244">
        <v>3</v>
      </c>
      <c r="J1244" t="s">
        <v>42</v>
      </c>
      <c r="K1244" t="s">
        <v>52</v>
      </c>
      <c r="L1244">
        <v>7</v>
      </c>
      <c r="M1244">
        <v>10</v>
      </c>
      <c r="N1244">
        <v>7.3</v>
      </c>
      <c r="O1244">
        <v>6.9</v>
      </c>
      <c r="P1244">
        <v>4.0999999999999996</v>
      </c>
      <c r="Q1244" t="s">
        <v>42</v>
      </c>
      <c r="R1244" t="s">
        <v>42</v>
      </c>
      <c r="S1244">
        <v>7</v>
      </c>
      <c r="T1244">
        <v>4.0999999999999996</v>
      </c>
      <c r="U1244">
        <v>2.2999999999999998</v>
      </c>
      <c r="V1244">
        <v>5.3</v>
      </c>
      <c r="W1244">
        <v>6.7</v>
      </c>
      <c r="X1244">
        <v>8.8000000000000007</v>
      </c>
      <c r="Y1244">
        <v>5.3</v>
      </c>
      <c r="Z1244">
        <v>5.5</v>
      </c>
      <c r="AA1244">
        <v>0.5</v>
      </c>
      <c r="AB1244">
        <v>5</v>
      </c>
      <c r="AC1244">
        <v>5.3</v>
      </c>
      <c r="AD1244" t="s">
        <v>43</v>
      </c>
      <c r="AE1244" t="str">
        <f>IF(AND(data[[#This Row],[Age]]&gt;=18,data[[#This Row],[Age]]&lt;=24),"18-24",IF(AND(data[[#This Row],[Age]]&gt;=25,data[[#This Row],[Age]]&lt;=34),"25-34",IF(AND(data[[#This Row],[Age]]&gt;35,data[[#This Row],[Age]]&lt;=44),"35-44",IF(data[[#This Row],[Age]]&gt;44,"45+",IF(data[[#This Row],[Age]]&lt;18,"below 18 ")))))</f>
        <v>25-34</v>
      </c>
    </row>
    <row r="1245" spans="1:31" x14ac:dyDescent="0.25">
      <c r="A1245" t="s">
        <v>1298</v>
      </c>
      <c r="B1245">
        <v>44</v>
      </c>
      <c r="C1245" t="s">
        <v>50</v>
      </c>
      <c r="D1245" t="s">
        <v>39</v>
      </c>
      <c r="E1245" t="s">
        <v>58</v>
      </c>
      <c r="F1245" t="s">
        <v>51</v>
      </c>
      <c r="G1245">
        <v>7.4</v>
      </c>
      <c r="H1245">
        <v>3</v>
      </c>
      <c r="I1245">
        <v>4</v>
      </c>
      <c r="J1245" t="s">
        <v>42</v>
      </c>
      <c r="K1245" t="s">
        <v>62</v>
      </c>
      <c r="L1245">
        <v>13</v>
      </c>
      <c r="M1245">
        <v>4.5</v>
      </c>
      <c r="N1245">
        <v>3.6</v>
      </c>
      <c r="O1245">
        <v>3.5</v>
      </c>
      <c r="P1245">
        <v>4.4000000000000004</v>
      </c>
      <c r="Q1245" t="s">
        <v>35</v>
      </c>
      <c r="R1245" t="s">
        <v>35</v>
      </c>
      <c r="S1245">
        <v>4.3</v>
      </c>
      <c r="T1245">
        <v>5</v>
      </c>
      <c r="U1245">
        <v>5.7</v>
      </c>
      <c r="V1245">
        <v>4.0999999999999996</v>
      </c>
      <c r="W1245">
        <v>4.3</v>
      </c>
      <c r="X1245">
        <v>6.3</v>
      </c>
      <c r="Y1245">
        <v>6</v>
      </c>
      <c r="Z1245">
        <v>5.3</v>
      </c>
      <c r="AA1245">
        <v>5.9</v>
      </c>
      <c r="AB1245">
        <v>4.5</v>
      </c>
      <c r="AC1245">
        <v>8.4</v>
      </c>
      <c r="AD1245" t="s">
        <v>37</v>
      </c>
      <c r="AE1245" t="str">
        <f>IF(AND(data[[#This Row],[Age]]&gt;=18,data[[#This Row],[Age]]&lt;=24),"18-24",IF(AND(data[[#This Row],[Age]]&gt;=25,data[[#This Row],[Age]]&lt;=34),"25-34",IF(AND(data[[#This Row],[Age]]&gt;35,data[[#This Row],[Age]]&lt;=44),"35-44",IF(data[[#This Row],[Age]]&gt;44,"45+",IF(data[[#This Row],[Age]]&lt;18,"below 18 ")))))</f>
        <v>35-44</v>
      </c>
    </row>
    <row r="1246" spans="1:31" x14ac:dyDescent="0.25">
      <c r="A1246" t="s">
        <v>1299</v>
      </c>
      <c r="B1246">
        <v>32</v>
      </c>
      <c r="C1246" t="s">
        <v>47</v>
      </c>
      <c r="D1246" t="s">
        <v>39</v>
      </c>
      <c r="E1246" t="s">
        <v>40</v>
      </c>
      <c r="F1246" t="s">
        <v>51</v>
      </c>
      <c r="G1246">
        <v>1.6</v>
      </c>
      <c r="H1246">
        <v>2</v>
      </c>
      <c r="I1246">
        <v>1</v>
      </c>
      <c r="J1246" t="s">
        <v>42</v>
      </c>
      <c r="K1246" t="s">
        <v>62</v>
      </c>
      <c r="L1246">
        <v>63</v>
      </c>
      <c r="M1246">
        <v>9.4</v>
      </c>
      <c r="N1246">
        <v>4.4000000000000004</v>
      </c>
      <c r="O1246">
        <v>3.9</v>
      </c>
      <c r="P1246">
        <v>5.4</v>
      </c>
      <c r="Q1246" t="s">
        <v>42</v>
      </c>
      <c r="R1246" t="s">
        <v>42</v>
      </c>
      <c r="S1246">
        <v>4.3</v>
      </c>
      <c r="T1246">
        <v>4.4000000000000004</v>
      </c>
      <c r="U1246">
        <v>0.7</v>
      </c>
      <c r="V1246">
        <v>5.5</v>
      </c>
      <c r="W1246">
        <v>4.5999999999999996</v>
      </c>
      <c r="X1246">
        <v>6</v>
      </c>
      <c r="Y1246">
        <v>7.9</v>
      </c>
      <c r="Z1246">
        <v>6.7</v>
      </c>
      <c r="AA1246">
        <v>0.2</v>
      </c>
      <c r="AB1246">
        <v>4.4000000000000004</v>
      </c>
      <c r="AC1246">
        <v>5.4</v>
      </c>
      <c r="AD1246" t="s">
        <v>45</v>
      </c>
      <c r="AE1246" t="str">
        <f>IF(AND(data[[#This Row],[Age]]&gt;=18,data[[#This Row],[Age]]&lt;=24),"18-24",IF(AND(data[[#This Row],[Age]]&gt;=25,data[[#This Row],[Age]]&lt;=34),"25-34",IF(AND(data[[#This Row],[Age]]&gt;35,data[[#This Row],[Age]]&lt;=44),"35-44",IF(data[[#This Row],[Age]]&gt;44,"45+",IF(data[[#This Row],[Age]]&lt;18,"below 18 ")))))</f>
        <v>25-34</v>
      </c>
    </row>
    <row r="1247" spans="1:31" x14ac:dyDescent="0.25">
      <c r="A1247" t="s">
        <v>1300</v>
      </c>
      <c r="B1247">
        <v>27</v>
      </c>
      <c r="C1247" t="s">
        <v>47</v>
      </c>
      <c r="D1247" t="s">
        <v>32</v>
      </c>
      <c r="E1247" t="s">
        <v>40</v>
      </c>
      <c r="F1247" t="s">
        <v>59</v>
      </c>
      <c r="G1247">
        <v>1.2</v>
      </c>
      <c r="H1247">
        <v>2</v>
      </c>
      <c r="I1247">
        <v>5</v>
      </c>
      <c r="J1247" t="s">
        <v>35</v>
      </c>
      <c r="K1247" t="s">
        <v>62</v>
      </c>
      <c r="L1247">
        <v>63</v>
      </c>
      <c r="M1247">
        <v>9.6999999999999993</v>
      </c>
      <c r="N1247">
        <v>4.4000000000000004</v>
      </c>
      <c r="O1247">
        <v>9.4</v>
      </c>
      <c r="P1247">
        <v>5.8</v>
      </c>
      <c r="Q1247" t="s">
        <v>35</v>
      </c>
      <c r="R1247" t="s">
        <v>42</v>
      </c>
      <c r="S1247">
        <v>5</v>
      </c>
      <c r="T1247">
        <v>3.8</v>
      </c>
      <c r="U1247">
        <v>8.5</v>
      </c>
      <c r="V1247">
        <v>6</v>
      </c>
      <c r="W1247">
        <v>8.6999999999999993</v>
      </c>
      <c r="X1247">
        <v>5.8</v>
      </c>
      <c r="Y1247">
        <v>3.2</v>
      </c>
      <c r="Z1247">
        <v>5.8</v>
      </c>
      <c r="AA1247">
        <v>2.6</v>
      </c>
      <c r="AB1247">
        <v>3.3</v>
      </c>
      <c r="AC1247">
        <v>5.7</v>
      </c>
      <c r="AD1247" t="s">
        <v>53</v>
      </c>
      <c r="AE1247" t="str">
        <f>IF(AND(data[[#This Row],[Age]]&gt;=18,data[[#This Row],[Age]]&lt;=24),"18-24",IF(AND(data[[#This Row],[Age]]&gt;=25,data[[#This Row],[Age]]&lt;=34),"25-34",IF(AND(data[[#This Row],[Age]]&gt;35,data[[#This Row],[Age]]&lt;=44),"35-44",IF(data[[#This Row],[Age]]&gt;44,"45+",IF(data[[#This Row],[Age]]&lt;18,"below 18 ")))))</f>
        <v>25-34</v>
      </c>
    </row>
    <row r="1248" spans="1:31" x14ac:dyDescent="0.25">
      <c r="A1248" t="s">
        <v>1301</v>
      </c>
      <c r="B1248">
        <v>36</v>
      </c>
      <c r="C1248" t="s">
        <v>50</v>
      </c>
      <c r="D1248" t="s">
        <v>32</v>
      </c>
      <c r="E1248" t="s">
        <v>40</v>
      </c>
      <c r="F1248" t="s">
        <v>41</v>
      </c>
      <c r="G1248">
        <v>7.9</v>
      </c>
      <c r="H1248">
        <v>3</v>
      </c>
      <c r="I1248">
        <v>1</v>
      </c>
      <c r="J1248" t="s">
        <v>35</v>
      </c>
      <c r="K1248" t="s">
        <v>52</v>
      </c>
      <c r="L1248">
        <v>67</v>
      </c>
      <c r="M1248">
        <v>7.3</v>
      </c>
      <c r="N1248">
        <v>4.9000000000000004</v>
      </c>
      <c r="O1248">
        <v>4.0999999999999996</v>
      </c>
      <c r="P1248">
        <v>7</v>
      </c>
      <c r="Q1248" t="s">
        <v>35</v>
      </c>
      <c r="R1248" t="s">
        <v>35</v>
      </c>
      <c r="S1248">
        <v>7</v>
      </c>
      <c r="T1248">
        <v>5.6</v>
      </c>
      <c r="U1248">
        <v>3.4</v>
      </c>
      <c r="V1248">
        <v>5.2</v>
      </c>
      <c r="W1248">
        <v>2.6</v>
      </c>
      <c r="X1248">
        <v>7</v>
      </c>
      <c r="Y1248">
        <v>4.3</v>
      </c>
      <c r="Z1248">
        <v>7.5</v>
      </c>
      <c r="AA1248">
        <v>5.7</v>
      </c>
      <c r="AB1248">
        <v>3</v>
      </c>
      <c r="AC1248">
        <v>6.6</v>
      </c>
      <c r="AD1248" t="s">
        <v>53</v>
      </c>
      <c r="AE1248" t="str">
        <f>IF(AND(data[[#This Row],[Age]]&gt;=18,data[[#This Row],[Age]]&lt;=24),"18-24",IF(AND(data[[#This Row],[Age]]&gt;=25,data[[#This Row],[Age]]&lt;=34),"25-34",IF(AND(data[[#This Row],[Age]]&gt;35,data[[#This Row],[Age]]&lt;=44),"35-44",IF(data[[#This Row],[Age]]&gt;44,"45+",IF(data[[#This Row],[Age]]&lt;18,"below 18 ")))))</f>
        <v>35-44</v>
      </c>
    </row>
    <row r="1249" spans="1:31" x14ac:dyDescent="0.25">
      <c r="A1249" t="s">
        <v>1302</v>
      </c>
      <c r="B1249">
        <v>17</v>
      </c>
      <c r="C1249" t="s">
        <v>47</v>
      </c>
      <c r="D1249" t="s">
        <v>39</v>
      </c>
      <c r="E1249" t="s">
        <v>58</v>
      </c>
      <c r="F1249" t="s">
        <v>41</v>
      </c>
      <c r="G1249">
        <v>7</v>
      </c>
      <c r="H1249">
        <v>7</v>
      </c>
      <c r="I1249">
        <v>4</v>
      </c>
      <c r="J1249" t="s">
        <v>42</v>
      </c>
      <c r="K1249" t="s">
        <v>36</v>
      </c>
      <c r="L1249">
        <v>62</v>
      </c>
      <c r="M1249">
        <v>9.5</v>
      </c>
      <c r="N1249">
        <v>6.2</v>
      </c>
      <c r="O1249">
        <v>9.6</v>
      </c>
      <c r="P1249">
        <v>4</v>
      </c>
      <c r="Q1249" t="s">
        <v>35</v>
      </c>
      <c r="R1249" t="s">
        <v>35</v>
      </c>
      <c r="S1249">
        <v>3.1</v>
      </c>
      <c r="T1249">
        <v>6.3</v>
      </c>
      <c r="U1249">
        <v>7.1</v>
      </c>
      <c r="V1249">
        <v>6.2</v>
      </c>
      <c r="W1249">
        <v>2.7</v>
      </c>
      <c r="Y1249">
        <v>5</v>
      </c>
      <c r="Z1249">
        <v>5.2</v>
      </c>
      <c r="AA1249">
        <v>2.8</v>
      </c>
      <c r="AB1249">
        <v>2.9</v>
      </c>
      <c r="AC1249">
        <v>3.8</v>
      </c>
      <c r="AD1249" t="s">
        <v>43</v>
      </c>
      <c r="AE1249" t="str">
        <f>IF(AND(data[[#This Row],[Age]]&gt;=18,data[[#This Row],[Age]]&lt;=24),"18-24",IF(AND(data[[#This Row],[Age]]&gt;=25,data[[#This Row],[Age]]&lt;=34),"25-34",IF(AND(data[[#This Row],[Age]]&gt;35,data[[#This Row],[Age]]&lt;=44),"35-44",IF(data[[#This Row],[Age]]&gt;44,"45+",IF(data[[#This Row],[Age]]&lt;18,"below 18 ")))))</f>
        <v xml:space="preserve">below 18 </v>
      </c>
    </row>
    <row r="1250" spans="1:31" x14ac:dyDescent="0.25">
      <c r="A1250" t="s">
        <v>1303</v>
      </c>
      <c r="B1250">
        <v>31</v>
      </c>
      <c r="C1250" t="s">
        <v>50</v>
      </c>
      <c r="D1250" t="s">
        <v>64</v>
      </c>
      <c r="E1250" t="s">
        <v>58</v>
      </c>
      <c r="F1250" t="s">
        <v>41</v>
      </c>
      <c r="G1250">
        <v>4.8</v>
      </c>
      <c r="H1250">
        <v>1</v>
      </c>
      <c r="I1250">
        <v>4</v>
      </c>
      <c r="J1250" t="s">
        <v>42</v>
      </c>
      <c r="K1250" t="s">
        <v>52</v>
      </c>
      <c r="L1250">
        <v>97</v>
      </c>
      <c r="M1250">
        <v>7.1</v>
      </c>
      <c r="N1250">
        <v>5.5</v>
      </c>
      <c r="O1250">
        <v>2.6</v>
      </c>
      <c r="P1250">
        <v>6.3</v>
      </c>
      <c r="Q1250" t="s">
        <v>35</v>
      </c>
      <c r="R1250" t="s">
        <v>42</v>
      </c>
      <c r="S1250">
        <v>6</v>
      </c>
      <c r="T1250">
        <v>2.2999999999999998</v>
      </c>
      <c r="U1250">
        <v>4.0999999999999996</v>
      </c>
      <c r="V1250">
        <v>7.7</v>
      </c>
      <c r="W1250">
        <v>1.1000000000000001</v>
      </c>
      <c r="X1250">
        <v>5.7</v>
      </c>
      <c r="Y1250">
        <v>6.1</v>
      </c>
      <c r="AA1250">
        <v>7.1</v>
      </c>
      <c r="AB1250">
        <v>3.4</v>
      </c>
      <c r="AC1250">
        <v>5.6</v>
      </c>
      <c r="AD1250" t="s">
        <v>43</v>
      </c>
      <c r="AE1250" t="str">
        <f>IF(AND(data[[#This Row],[Age]]&gt;=18,data[[#This Row],[Age]]&lt;=24),"18-24",IF(AND(data[[#This Row],[Age]]&gt;=25,data[[#This Row],[Age]]&lt;=34),"25-34",IF(AND(data[[#This Row],[Age]]&gt;35,data[[#This Row],[Age]]&lt;=44),"35-44",IF(data[[#This Row],[Age]]&gt;44,"45+",IF(data[[#This Row],[Age]]&lt;18,"below 18 ")))))</f>
        <v>25-34</v>
      </c>
    </row>
    <row r="1251" spans="1:31" x14ac:dyDescent="0.25">
      <c r="A1251" t="s">
        <v>1304</v>
      </c>
      <c r="B1251">
        <v>20</v>
      </c>
      <c r="C1251" t="s">
        <v>47</v>
      </c>
      <c r="F1251" t="s">
        <v>41</v>
      </c>
      <c r="G1251">
        <v>1</v>
      </c>
      <c r="H1251">
        <v>2</v>
      </c>
      <c r="I1251">
        <v>10</v>
      </c>
      <c r="J1251" t="s">
        <v>42</v>
      </c>
      <c r="K1251" t="s">
        <v>62</v>
      </c>
      <c r="L1251">
        <v>67</v>
      </c>
      <c r="N1251">
        <v>5.4</v>
      </c>
      <c r="O1251">
        <v>6.8</v>
      </c>
      <c r="P1251">
        <v>5.9</v>
      </c>
      <c r="Q1251" t="s">
        <v>42</v>
      </c>
      <c r="R1251" t="s">
        <v>42</v>
      </c>
      <c r="S1251">
        <v>5.2</v>
      </c>
      <c r="T1251">
        <v>4.9000000000000004</v>
      </c>
      <c r="U1251">
        <v>3.3</v>
      </c>
      <c r="V1251">
        <v>6.5</v>
      </c>
      <c r="W1251">
        <v>2.9</v>
      </c>
      <c r="X1251">
        <v>8.1999999999999993</v>
      </c>
      <c r="Y1251">
        <v>1.5</v>
      </c>
      <c r="Z1251">
        <v>4.7</v>
      </c>
      <c r="AA1251">
        <v>3.7</v>
      </c>
      <c r="AB1251">
        <v>3.9</v>
      </c>
      <c r="AC1251">
        <v>6.7</v>
      </c>
      <c r="AD1251" t="s">
        <v>37</v>
      </c>
      <c r="AE1251" t="str">
        <f>IF(AND(data[[#This Row],[Age]]&gt;=18,data[[#This Row],[Age]]&lt;=24),"18-24",IF(AND(data[[#This Row],[Age]]&gt;=25,data[[#This Row],[Age]]&lt;=34),"25-34",IF(AND(data[[#This Row],[Age]]&gt;35,data[[#This Row],[Age]]&lt;=44),"35-44",IF(data[[#This Row],[Age]]&gt;44,"45+",IF(data[[#This Row],[Age]]&lt;18,"below 18 ")))))</f>
        <v>18-24</v>
      </c>
    </row>
    <row r="1252" spans="1:31" x14ac:dyDescent="0.25">
      <c r="A1252" t="s">
        <v>1305</v>
      </c>
      <c r="B1252">
        <v>31</v>
      </c>
      <c r="C1252" t="s">
        <v>47</v>
      </c>
      <c r="D1252" t="s">
        <v>39</v>
      </c>
      <c r="E1252" t="s">
        <v>58</v>
      </c>
      <c r="F1252" t="s">
        <v>59</v>
      </c>
      <c r="G1252">
        <v>6.5</v>
      </c>
      <c r="H1252">
        <v>3</v>
      </c>
      <c r="I1252">
        <v>3</v>
      </c>
      <c r="J1252" t="s">
        <v>42</v>
      </c>
      <c r="K1252" t="s">
        <v>62</v>
      </c>
      <c r="L1252">
        <v>104</v>
      </c>
      <c r="M1252">
        <v>6.8</v>
      </c>
      <c r="N1252">
        <v>4.3</v>
      </c>
      <c r="O1252">
        <v>5.2</v>
      </c>
      <c r="P1252">
        <v>6.8</v>
      </c>
      <c r="Q1252" t="s">
        <v>35</v>
      </c>
      <c r="R1252" t="s">
        <v>42</v>
      </c>
      <c r="S1252">
        <v>6</v>
      </c>
      <c r="T1252">
        <v>1.9</v>
      </c>
      <c r="U1252">
        <v>3</v>
      </c>
      <c r="V1252">
        <v>6.5</v>
      </c>
      <c r="W1252">
        <v>5.8</v>
      </c>
      <c r="X1252">
        <v>7.1</v>
      </c>
      <c r="Y1252">
        <v>4.3</v>
      </c>
      <c r="Z1252">
        <v>6.9</v>
      </c>
      <c r="AA1252">
        <v>1</v>
      </c>
      <c r="AB1252">
        <v>0.3</v>
      </c>
      <c r="AC1252">
        <v>5.6</v>
      </c>
      <c r="AD1252" t="s">
        <v>45</v>
      </c>
      <c r="AE1252" t="str">
        <f>IF(AND(data[[#This Row],[Age]]&gt;=18,data[[#This Row],[Age]]&lt;=24),"18-24",IF(AND(data[[#This Row],[Age]]&gt;=25,data[[#This Row],[Age]]&lt;=34),"25-34",IF(AND(data[[#This Row],[Age]]&gt;35,data[[#This Row],[Age]]&lt;=44),"35-44",IF(data[[#This Row],[Age]]&gt;44,"45+",IF(data[[#This Row],[Age]]&lt;18,"below 18 ")))))</f>
        <v>25-34</v>
      </c>
    </row>
    <row r="1253" spans="1:31" x14ac:dyDescent="0.25">
      <c r="A1253" t="s">
        <v>1306</v>
      </c>
      <c r="B1253">
        <v>18</v>
      </c>
      <c r="C1253" t="s">
        <v>31</v>
      </c>
      <c r="D1253" t="s">
        <v>57</v>
      </c>
      <c r="F1253" t="s">
        <v>51</v>
      </c>
      <c r="G1253">
        <v>10</v>
      </c>
      <c r="H1253">
        <v>1</v>
      </c>
      <c r="I1253">
        <v>7</v>
      </c>
      <c r="J1253" t="s">
        <v>35</v>
      </c>
      <c r="K1253" t="s">
        <v>36</v>
      </c>
      <c r="L1253">
        <v>71</v>
      </c>
      <c r="M1253">
        <v>1.2</v>
      </c>
      <c r="N1253">
        <v>5.9</v>
      </c>
      <c r="O1253">
        <v>6.6</v>
      </c>
      <c r="P1253">
        <v>7.1</v>
      </c>
      <c r="Q1253" t="s">
        <v>35</v>
      </c>
      <c r="R1253" t="s">
        <v>42</v>
      </c>
      <c r="S1253">
        <v>9.6999999999999993</v>
      </c>
      <c r="T1253">
        <v>6.1</v>
      </c>
      <c r="U1253">
        <v>1.4</v>
      </c>
      <c r="V1253">
        <v>2.7</v>
      </c>
      <c r="W1253">
        <v>5.4</v>
      </c>
      <c r="X1253">
        <v>5.7</v>
      </c>
      <c r="Z1253">
        <v>4.9000000000000004</v>
      </c>
      <c r="AA1253">
        <v>0.7</v>
      </c>
      <c r="AB1253">
        <v>7.5</v>
      </c>
      <c r="AC1253">
        <v>6.6</v>
      </c>
      <c r="AD1253" t="s">
        <v>45</v>
      </c>
      <c r="AE1253" t="str">
        <f>IF(AND(data[[#This Row],[Age]]&gt;=18,data[[#This Row],[Age]]&lt;=24),"18-24",IF(AND(data[[#This Row],[Age]]&gt;=25,data[[#This Row],[Age]]&lt;=34),"25-34",IF(AND(data[[#This Row],[Age]]&gt;35,data[[#This Row],[Age]]&lt;=44),"35-44",IF(data[[#This Row],[Age]]&gt;44,"45+",IF(data[[#This Row],[Age]]&lt;18,"below 18 ")))))</f>
        <v>18-24</v>
      </c>
    </row>
    <row r="1254" spans="1:31" x14ac:dyDescent="0.25">
      <c r="A1254" t="s">
        <v>1307</v>
      </c>
      <c r="B1254">
        <v>19</v>
      </c>
      <c r="C1254" t="s">
        <v>47</v>
      </c>
      <c r="D1254" t="s">
        <v>39</v>
      </c>
      <c r="E1254" t="s">
        <v>58</v>
      </c>
      <c r="F1254" t="s">
        <v>34</v>
      </c>
      <c r="G1254">
        <v>3.8</v>
      </c>
      <c r="H1254">
        <v>2</v>
      </c>
      <c r="I1254">
        <v>2</v>
      </c>
      <c r="J1254" t="s">
        <v>35</v>
      </c>
      <c r="K1254" t="s">
        <v>36</v>
      </c>
      <c r="L1254">
        <v>20</v>
      </c>
      <c r="M1254">
        <v>3.7</v>
      </c>
      <c r="N1254">
        <v>10</v>
      </c>
      <c r="O1254">
        <v>7.3</v>
      </c>
      <c r="P1254">
        <v>5</v>
      </c>
      <c r="Q1254" t="s">
        <v>42</v>
      </c>
      <c r="R1254" t="s">
        <v>35</v>
      </c>
      <c r="S1254">
        <v>8.1</v>
      </c>
      <c r="T1254">
        <v>4.9000000000000004</v>
      </c>
      <c r="U1254">
        <v>4.9000000000000004</v>
      </c>
      <c r="V1254">
        <v>7.6</v>
      </c>
      <c r="W1254">
        <v>5.4</v>
      </c>
      <c r="X1254">
        <v>8</v>
      </c>
      <c r="Y1254">
        <v>3.1</v>
      </c>
      <c r="Z1254">
        <v>6.3</v>
      </c>
      <c r="AA1254">
        <v>4.4000000000000004</v>
      </c>
      <c r="AB1254">
        <v>0</v>
      </c>
      <c r="AC1254">
        <v>6.6</v>
      </c>
      <c r="AD1254" t="s">
        <v>53</v>
      </c>
      <c r="AE1254" t="str">
        <f>IF(AND(data[[#This Row],[Age]]&gt;=18,data[[#This Row],[Age]]&lt;=24),"18-24",IF(AND(data[[#This Row],[Age]]&gt;=25,data[[#This Row],[Age]]&lt;=34),"25-34",IF(AND(data[[#This Row],[Age]]&gt;35,data[[#This Row],[Age]]&lt;=44),"35-44",IF(data[[#This Row],[Age]]&gt;44,"45+",IF(data[[#This Row],[Age]]&lt;18,"below 18 ")))))</f>
        <v>18-24</v>
      </c>
    </row>
    <row r="1255" spans="1:31" x14ac:dyDescent="0.25">
      <c r="A1255" t="s">
        <v>1308</v>
      </c>
      <c r="B1255">
        <v>41</v>
      </c>
      <c r="C1255" t="s">
        <v>47</v>
      </c>
      <c r="D1255" t="s">
        <v>39</v>
      </c>
      <c r="E1255" t="s">
        <v>58</v>
      </c>
      <c r="F1255" t="s">
        <v>59</v>
      </c>
      <c r="G1255">
        <v>3.7</v>
      </c>
      <c r="H1255">
        <v>3</v>
      </c>
      <c r="I1255">
        <v>4</v>
      </c>
      <c r="J1255" t="s">
        <v>42</v>
      </c>
      <c r="K1255" t="s">
        <v>36</v>
      </c>
      <c r="L1255">
        <v>94</v>
      </c>
      <c r="M1255">
        <v>6.1</v>
      </c>
      <c r="N1255">
        <v>4.5</v>
      </c>
      <c r="P1255">
        <v>7.8</v>
      </c>
      <c r="Q1255" t="s">
        <v>35</v>
      </c>
      <c r="R1255" t="s">
        <v>35</v>
      </c>
      <c r="S1255">
        <v>5.2</v>
      </c>
      <c r="T1255">
        <v>8.4</v>
      </c>
      <c r="U1255">
        <v>3.3</v>
      </c>
      <c r="V1255">
        <v>7.7</v>
      </c>
      <c r="W1255">
        <v>6.7</v>
      </c>
      <c r="X1255">
        <v>8.1</v>
      </c>
      <c r="Y1255">
        <v>10</v>
      </c>
      <c r="Z1255">
        <v>4.5</v>
      </c>
      <c r="AA1255">
        <v>3.1</v>
      </c>
      <c r="AB1255">
        <v>3.5</v>
      </c>
      <c r="AC1255">
        <v>6.6</v>
      </c>
      <c r="AD1255" t="s">
        <v>53</v>
      </c>
      <c r="AE1255" t="str">
        <f>IF(AND(data[[#This Row],[Age]]&gt;=18,data[[#This Row],[Age]]&lt;=24),"18-24",IF(AND(data[[#This Row],[Age]]&gt;=25,data[[#This Row],[Age]]&lt;=34),"25-34",IF(AND(data[[#This Row],[Age]]&gt;35,data[[#This Row],[Age]]&lt;=44),"35-44",IF(data[[#This Row],[Age]]&gt;44,"45+",IF(data[[#This Row],[Age]]&lt;18,"below 18 ")))))</f>
        <v>35-44</v>
      </c>
    </row>
    <row r="1256" spans="1:31" x14ac:dyDescent="0.25">
      <c r="A1256" t="s">
        <v>1309</v>
      </c>
      <c r="B1256">
        <v>28</v>
      </c>
      <c r="C1256" t="s">
        <v>47</v>
      </c>
      <c r="D1256" t="s">
        <v>32</v>
      </c>
      <c r="E1256" t="s">
        <v>58</v>
      </c>
      <c r="F1256" t="s">
        <v>41</v>
      </c>
      <c r="G1256">
        <v>2.8</v>
      </c>
      <c r="H1256">
        <v>5</v>
      </c>
      <c r="I1256">
        <v>5</v>
      </c>
      <c r="J1256" t="s">
        <v>42</v>
      </c>
      <c r="K1256" t="s">
        <v>36</v>
      </c>
      <c r="L1256">
        <v>28</v>
      </c>
      <c r="M1256">
        <v>7.3</v>
      </c>
      <c r="N1256">
        <v>6.1</v>
      </c>
      <c r="O1256">
        <v>4.5999999999999996</v>
      </c>
      <c r="P1256">
        <v>8.1999999999999993</v>
      </c>
      <c r="Q1256" t="s">
        <v>35</v>
      </c>
      <c r="R1256" t="s">
        <v>35</v>
      </c>
      <c r="S1256">
        <v>7.4</v>
      </c>
      <c r="T1256">
        <v>3.1</v>
      </c>
      <c r="U1256">
        <v>6.7</v>
      </c>
      <c r="V1256">
        <v>4.3</v>
      </c>
      <c r="W1256">
        <v>0.9</v>
      </c>
      <c r="X1256">
        <v>4.0999999999999996</v>
      </c>
      <c r="Y1256">
        <v>0</v>
      </c>
      <c r="Z1256">
        <v>7.2</v>
      </c>
      <c r="AA1256">
        <v>2</v>
      </c>
      <c r="AB1256">
        <v>2.4</v>
      </c>
      <c r="AC1256">
        <v>5.7</v>
      </c>
      <c r="AD1256" t="s">
        <v>43</v>
      </c>
      <c r="AE1256" t="str">
        <f>IF(AND(data[[#This Row],[Age]]&gt;=18,data[[#This Row],[Age]]&lt;=24),"18-24",IF(AND(data[[#This Row],[Age]]&gt;=25,data[[#This Row],[Age]]&lt;=34),"25-34",IF(AND(data[[#This Row],[Age]]&gt;35,data[[#This Row],[Age]]&lt;=44),"35-44",IF(data[[#This Row],[Age]]&gt;44,"45+",IF(data[[#This Row],[Age]]&lt;18,"below 18 ")))))</f>
        <v>25-34</v>
      </c>
    </row>
    <row r="1257" spans="1:31" x14ac:dyDescent="0.25">
      <c r="A1257" t="s">
        <v>1310</v>
      </c>
      <c r="B1257">
        <v>32</v>
      </c>
      <c r="C1257" t="s">
        <v>47</v>
      </c>
      <c r="E1257" t="s">
        <v>40</v>
      </c>
      <c r="F1257" t="s">
        <v>41</v>
      </c>
      <c r="G1257">
        <v>5.6</v>
      </c>
      <c r="H1257">
        <v>5</v>
      </c>
      <c r="I1257">
        <v>1</v>
      </c>
      <c r="J1257" t="s">
        <v>35</v>
      </c>
      <c r="K1257" t="s">
        <v>36</v>
      </c>
      <c r="L1257">
        <v>95</v>
      </c>
      <c r="M1257">
        <v>7.9</v>
      </c>
      <c r="N1257">
        <v>7.4</v>
      </c>
      <c r="O1257">
        <v>4.8</v>
      </c>
      <c r="P1257">
        <v>3.7</v>
      </c>
      <c r="Q1257" t="s">
        <v>42</v>
      </c>
      <c r="R1257" t="s">
        <v>42</v>
      </c>
      <c r="S1257">
        <v>2.5</v>
      </c>
      <c r="T1257">
        <v>6.5</v>
      </c>
      <c r="U1257">
        <v>6.5</v>
      </c>
      <c r="V1257">
        <v>5.3</v>
      </c>
      <c r="W1257">
        <v>5.9</v>
      </c>
      <c r="X1257">
        <v>7.5</v>
      </c>
      <c r="Y1257">
        <v>1</v>
      </c>
      <c r="Z1257">
        <v>4.8</v>
      </c>
      <c r="AA1257">
        <v>2.1</v>
      </c>
      <c r="AB1257">
        <v>3.2</v>
      </c>
      <c r="AC1257">
        <v>4.9000000000000004</v>
      </c>
      <c r="AD1257" t="s">
        <v>43</v>
      </c>
      <c r="AE1257" t="str">
        <f>IF(AND(data[[#This Row],[Age]]&gt;=18,data[[#This Row],[Age]]&lt;=24),"18-24",IF(AND(data[[#This Row],[Age]]&gt;=25,data[[#This Row],[Age]]&lt;=34),"25-34",IF(AND(data[[#This Row],[Age]]&gt;35,data[[#This Row],[Age]]&lt;=44),"35-44",IF(data[[#This Row],[Age]]&gt;44,"45+",IF(data[[#This Row],[Age]]&lt;18,"below 18 ")))))</f>
        <v>25-34</v>
      </c>
    </row>
    <row r="1258" spans="1:31" x14ac:dyDescent="0.25">
      <c r="A1258" t="s">
        <v>1311</v>
      </c>
      <c r="B1258">
        <v>34</v>
      </c>
      <c r="C1258" t="s">
        <v>47</v>
      </c>
      <c r="D1258" t="s">
        <v>39</v>
      </c>
      <c r="E1258" t="s">
        <v>58</v>
      </c>
      <c r="F1258" t="s">
        <v>34</v>
      </c>
      <c r="G1258">
        <v>4.4000000000000004</v>
      </c>
      <c r="H1258">
        <v>1</v>
      </c>
      <c r="I1258">
        <v>6</v>
      </c>
      <c r="J1258" t="s">
        <v>35</v>
      </c>
      <c r="K1258" t="s">
        <v>62</v>
      </c>
      <c r="L1258">
        <v>91</v>
      </c>
      <c r="M1258">
        <v>7.5</v>
      </c>
      <c r="N1258">
        <v>2.4</v>
      </c>
      <c r="O1258">
        <v>7.9</v>
      </c>
      <c r="P1258">
        <v>0.1</v>
      </c>
      <c r="Q1258" t="s">
        <v>35</v>
      </c>
      <c r="R1258" t="s">
        <v>42</v>
      </c>
      <c r="S1258">
        <v>7.8</v>
      </c>
      <c r="T1258">
        <v>6.2</v>
      </c>
      <c r="U1258">
        <v>5.7</v>
      </c>
      <c r="V1258">
        <v>9.1</v>
      </c>
      <c r="W1258">
        <v>5.2</v>
      </c>
      <c r="X1258">
        <v>6.5</v>
      </c>
      <c r="Y1258">
        <v>4.4000000000000004</v>
      </c>
      <c r="Z1258">
        <v>2.1</v>
      </c>
      <c r="AA1258">
        <v>3.1</v>
      </c>
      <c r="AB1258">
        <v>0.5</v>
      </c>
      <c r="AC1258">
        <v>7.7</v>
      </c>
      <c r="AD1258" t="s">
        <v>37</v>
      </c>
      <c r="AE1258" t="str">
        <f>IF(AND(data[[#This Row],[Age]]&gt;=18,data[[#This Row],[Age]]&lt;=24),"18-24",IF(AND(data[[#This Row],[Age]]&gt;=25,data[[#This Row],[Age]]&lt;=34),"25-34",IF(AND(data[[#This Row],[Age]]&gt;35,data[[#This Row],[Age]]&lt;=44),"35-44",IF(data[[#This Row],[Age]]&gt;44,"45+",IF(data[[#This Row],[Age]]&lt;18,"below 18 ")))))</f>
        <v>25-34</v>
      </c>
    </row>
    <row r="1259" spans="1:31" x14ac:dyDescent="0.25">
      <c r="A1259" t="s">
        <v>1312</v>
      </c>
      <c r="B1259">
        <v>23</v>
      </c>
      <c r="C1259" t="s">
        <v>31</v>
      </c>
      <c r="D1259" t="s">
        <v>39</v>
      </c>
      <c r="E1259" t="s">
        <v>40</v>
      </c>
      <c r="F1259" t="s">
        <v>51</v>
      </c>
      <c r="G1259">
        <v>1.2</v>
      </c>
      <c r="H1259">
        <v>4</v>
      </c>
      <c r="I1259">
        <v>7</v>
      </c>
      <c r="J1259" t="s">
        <v>42</v>
      </c>
      <c r="K1259" t="s">
        <v>62</v>
      </c>
      <c r="L1259">
        <v>82</v>
      </c>
      <c r="M1259">
        <v>4.9000000000000004</v>
      </c>
      <c r="N1259">
        <v>6</v>
      </c>
      <c r="O1259">
        <v>5.8</v>
      </c>
      <c r="P1259">
        <v>5.5</v>
      </c>
      <c r="Q1259" t="s">
        <v>35</v>
      </c>
      <c r="R1259" t="s">
        <v>35</v>
      </c>
      <c r="S1259">
        <v>9.1999999999999993</v>
      </c>
      <c r="T1259">
        <v>6</v>
      </c>
      <c r="U1259">
        <v>5.4</v>
      </c>
      <c r="V1259">
        <v>5.4</v>
      </c>
      <c r="W1259">
        <v>8.3000000000000007</v>
      </c>
      <c r="X1259">
        <v>6.6</v>
      </c>
      <c r="Y1259">
        <v>5.8</v>
      </c>
      <c r="Z1259">
        <v>6.3</v>
      </c>
      <c r="AA1259">
        <v>2.4</v>
      </c>
      <c r="AB1259">
        <v>5.6</v>
      </c>
      <c r="AC1259">
        <v>8.1</v>
      </c>
      <c r="AD1259" t="s">
        <v>37</v>
      </c>
      <c r="AE1259" t="str">
        <f>IF(AND(data[[#This Row],[Age]]&gt;=18,data[[#This Row],[Age]]&lt;=24),"18-24",IF(AND(data[[#This Row],[Age]]&gt;=25,data[[#This Row],[Age]]&lt;=34),"25-34",IF(AND(data[[#This Row],[Age]]&gt;35,data[[#This Row],[Age]]&lt;=44),"35-44",IF(data[[#This Row],[Age]]&gt;44,"45+",IF(data[[#This Row],[Age]]&lt;18,"below 18 ")))))</f>
        <v>18-24</v>
      </c>
    </row>
    <row r="1260" spans="1:31" x14ac:dyDescent="0.25">
      <c r="A1260" t="s">
        <v>1313</v>
      </c>
      <c r="B1260">
        <v>36</v>
      </c>
      <c r="C1260" t="s">
        <v>31</v>
      </c>
      <c r="D1260" t="s">
        <v>39</v>
      </c>
      <c r="E1260" t="s">
        <v>58</v>
      </c>
      <c r="F1260" t="s">
        <v>41</v>
      </c>
      <c r="G1260">
        <v>3</v>
      </c>
      <c r="H1260">
        <v>2</v>
      </c>
      <c r="I1260">
        <v>5</v>
      </c>
      <c r="J1260" t="s">
        <v>35</v>
      </c>
      <c r="K1260" t="s">
        <v>52</v>
      </c>
      <c r="L1260">
        <v>54</v>
      </c>
      <c r="M1260">
        <v>4.3</v>
      </c>
      <c r="N1260">
        <v>2.1</v>
      </c>
      <c r="O1260">
        <v>2.9</v>
      </c>
      <c r="P1260">
        <v>0.8</v>
      </c>
      <c r="Q1260" t="s">
        <v>35</v>
      </c>
      <c r="R1260" t="s">
        <v>35</v>
      </c>
      <c r="S1260">
        <v>1</v>
      </c>
      <c r="T1260">
        <v>0</v>
      </c>
      <c r="U1260">
        <v>6.3</v>
      </c>
      <c r="V1260">
        <v>9.6</v>
      </c>
      <c r="W1260">
        <v>4.3</v>
      </c>
      <c r="X1260">
        <v>7.7</v>
      </c>
      <c r="Y1260">
        <v>7.3</v>
      </c>
      <c r="Z1260">
        <v>8.1</v>
      </c>
      <c r="AA1260">
        <v>1.4</v>
      </c>
      <c r="AB1260">
        <v>3.1</v>
      </c>
      <c r="AC1260">
        <v>10</v>
      </c>
      <c r="AD1260" t="s">
        <v>37</v>
      </c>
      <c r="AE1260" t="str">
        <f>IF(AND(data[[#This Row],[Age]]&gt;=18,data[[#This Row],[Age]]&lt;=24),"18-24",IF(AND(data[[#This Row],[Age]]&gt;=25,data[[#This Row],[Age]]&lt;=34),"25-34",IF(AND(data[[#This Row],[Age]]&gt;35,data[[#This Row],[Age]]&lt;=44),"35-44",IF(data[[#This Row],[Age]]&gt;44,"45+",IF(data[[#This Row],[Age]]&lt;18,"below 18 ")))))</f>
        <v>35-44</v>
      </c>
    </row>
    <row r="1261" spans="1:31" x14ac:dyDescent="0.25">
      <c r="A1261" t="s">
        <v>1314</v>
      </c>
      <c r="B1261">
        <v>19</v>
      </c>
      <c r="D1261" t="s">
        <v>39</v>
      </c>
      <c r="E1261" t="s">
        <v>40</v>
      </c>
      <c r="F1261" t="s">
        <v>70</v>
      </c>
      <c r="G1261">
        <v>6.7</v>
      </c>
      <c r="H1261">
        <v>2</v>
      </c>
      <c r="I1261">
        <v>3</v>
      </c>
      <c r="J1261" t="s">
        <v>42</v>
      </c>
      <c r="K1261" t="s">
        <v>36</v>
      </c>
      <c r="L1261">
        <v>48</v>
      </c>
      <c r="M1261">
        <v>6.9</v>
      </c>
      <c r="N1261">
        <v>1.7</v>
      </c>
      <c r="O1261">
        <v>0</v>
      </c>
      <c r="P1261">
        <v>5.9</v>
      </c>
      <c r="Q1261" t="s">
        <v>42</v>
      </c>
      <c r="R1261" t="s">
        <v>35</v>
      </c>
      <c r="S1261">
        <v>5.2</v>
      </c>
      <c r="T1261">
        <v>2</v>
      </c>
      <c r="U1261">
        <v>9.4</v>
      </c>
      <c r="V1261">
        <v>6.1</v>
      </c>
      <c r="W1261">
        <v>3.5</v>
      </c>
      <c r="X1261">
        <v>7.7</v>
      </c>
      <c r="Y1261">
        <v>6.1</v>
      </c>
      <c r="Z1261">
        <v>6.4</v>
      </c>
      <c r="AA1261">
        <v>2.6</v>
      </c>
      <c r="AB1261">
        <v>4.5999999999999996</v>
      </c>
      <c r="AC1261">
        <v>5.7</v>
      </c>
      <c r="AD1261" t="s">
        <v>45</v>
      </c>
      <c r="AE1261" t="str">
        <f>IF(AND(data[[#This Row],[Age]]&gt;=18,data[[#This Row],[Age]]&lt;=24),"18-24",IF(AND(data[[#This Row],[Age]]&gt;=25,data[[#This Row],[Age]]&lt;=34),"25-34",IF(AND(data[[#This Row],[Age]]&gt;35,data[[#This Row],[Age]]&lt;=44),"35-44",IF(data[[#This Row],[Age]]&gt;44,"45+",IF(data[[#This Row],[Age]]&lt;18,"below 18 ")))))</f>
        <v>18-24</v>
      </c>
    </row>
    <row r="1262" spans="1:31" x14ac:dyDescent="0.25">
      <c r="A1262" t="s">
        <v>1315</v>
      </c>
      <c r="B1262">
        <v>33</v>
      </c>
      <c r="C1262" t="s">
        <v>50</v>
      </c>
      <c r="D1262" t="s">
        <v>32</v>
      </c>
      <c r="E1262" t="s">
        <v>58</v>
      </c>
      <c r="F1262" t="s">
        <v>41</v>
      </c>
      <c r="G1262">
        <v>2.1</v>
      </c>
      <c r="H1262">
        <v>3</v>
      </c>
      <c r="I1262">
        <v>8</v>
      </c>
      <c r="J1262" t="s">
        <v>35</v>
      </c>
      <c r="K1262" t="s">
        <v>62</v>
      </c>
      <c r="L1262">
        <v>10</v>
      </c>
      <c r="M1262">
        <v>6.8</v>
      </c>
      <c r="N1262">
        <v>4</v>
      </c>
      <c r="O1262">
        <v>9.3000000000000007</v>
      </c>
      <c r="P1262">
        <v>6.5</v>
      </c>
      <c r="Q1262" t="s">
        <v>42</v>
      </c>
      <c r="R1262" t="s">
        <v>35</v>
      </c>
      <c r="S1262">
        <v>4.8</v>
      </c>
      <c r="T1262">
        <v>5.2</v>
      </c>
      <c r="U1262">
        <v>2.6</v>
      </c>
      <c r="V1262">
        <v>3.4</v>
      </c>
      <c r="W1262">
        <v>6.5</v>
      </c>
      <c r="X1262">
        <v>5</v>
      </c>
      <c r="Y1262">
        <v>2.8</v>
      </c>
      <c r="Z1262">
        <v>6.5</v>
      </c>
      <c r="AA1262">
        <v>4.2</v>
      </c>
      <c r="AB1262">
        <v>2.1</v>
      </c>
      <c r="AC1262">
        <v>8.5</v>
      </c>
      <c r="AD1262" t="s">
        <v>37</v>
      </c>
      <c r="AE1262" t="str">
        <f>IF(AND(data[[#This Row],[Age]]&gt;=18,data[[#This Row],[Age]]&lt;=24),"18-24",IF(AND(data[[#This Row],[Age]]&gt;=25,data[[#This Row],[Age]]&lt;=34),"25-34",IF(AND(data[[#This Row],[Age]]&gt;35,data[[#This Row],[Age]]&lt;=44),"35-44",IF(data[[#This Row],[Age]]&gt;44,"45+",IF(data[[#This Row],[Age]]&lt;18,"below 18 ")))))</f>
        <v>25-34</v>
      </c>
    </row>
    <row r="1263" spans="1:31" x14ac:dyDescent="0.25">
      <c r="A1263" t="s">
        <v>1316</v>
      </c>
      <c r="B1263">
        <v>16</v>
      </c>
      <c r="C1263" t="s">
        <v>31</v>
      </c>
      <c r="D1263" t="s">
        <v>39</v>
      </c>
      <c r="E1263" t="s">
        <v>40</v>
      </c>
      <c r="F1263" t="s">
        <v>48</v>
      </c>
      <c r="G1263">
        <v>5.0999999999999996</v>
      </c>
      <c r="H1263">
        <v>2</v>
      </c>
      <c r="I1263">
        <v>4</v>
      </c>
      <c r="J1263" t="s">
        <v>42</v>
      </c>
      <c r="K1263" t="s">
        <v>36</v>
      </c>
      <c r="L1263">
        <v>31</v>
      </c>
      <c r="M1263">
        <v>4.0999999999999996</v>
      </c>
      <c r="N1263">
        <v>4.0999999999999996</v>
      </c>
      <c r="O1263">
        <v>5.0999999999999996</v>
      </c>
      <c r="P1263">
        <v>3.6</v>
      </c>
      <c r="Q1263" t="s">
        <v>35</v>
      </c>
      <c r="R1263" t="s">
        <v>35</v>
      </c>
      <c r="S1263">
        <v>6.7</v>
      </c>
      <c r="T1263">
        <v>4.7</v>
      </c>
      <c r="U1263">
        <v>8</v>
      </c>
      <c r="V1263">
        <v>7.8</v>
      </c>
      <c r="W1263">
        <v>9</v>
      </c>
      <c r="X1263">
        <v>5.4</v>
      </c>
      <c r="Y1263">
        <v>8.1</v>
      </c>
      <c r="Z1263">
        <v>6.4</v>
      </c>
      <c r="AA1263">
        <v>2</v>
      </c>
      <c r="AB1263">
        <v>2.1</v>
      </c>
      <c r="AC1263">
        <v>7.2</v>
      </c>
      <c r="AD1263" t="s">
        <v>37</v>
      </c>
      <c r="AE1263" t="str">
        <f>IF(AND(data[[#This Row],[Age]]&gt;=18,data[[#This Row],[Age]]&lt;=24),"18-24",IF(AND(data[[#This Row],[Age]]&gt;=25,data[[#This Row],[Age]]&lt;=34),"25-34",IF(AND(data[[#This Row],[Age]]&gt;35,data[[#This Row],[Age]]&lt;=44),"35-44",IF(data[[#This Row],[Age]]&gt;44,"45+",IF(data[[#This Row],[Age]]&lt;18,"below 18 ")))))</f>
        <v xml:space="preserve">below 18 </v>
      </c>
    </row>
    <row r="1264" spans="1:31" x14ac:dyDescent="0.25">
      <c r="A1264" t="s">
        <v>1317</v>
      </c>
      <c r="B1264">
        <v>18</v>
      </c>
      <c r="C1264" t="s">
        <v>31</v>
      </c>
      <c r="D1264" t="s">
        <v>32</v>
      </c>
      <c r="E1264" t="s">
        <v>40</v>
      </c>
      <c r="F1264" t="s">
        <v>59</v>
      </c>
      <c r="G1264">
        <v>6.8</v>
      </c>
      <c r="H1264">
        <v>4</v>
      </c>
      <c r="I1264">
        <v>4</v>
      </c>
      <c r="J1264" t="s">
        <v>42</v>
      </c>
      <c r="K1264" t="s">
        <v>52</v>
      </c>
      <c r="L1264">
        <v>36</v>
      </c>
      <c r="M1264">
        <v>5.3</v>
      </c>
      <c r="N1264">
        <v>4.5</v>
      </c>
      <c r="O1264">
        <v>5.0999999999999996</v>
      </c>
      <c r="P1264">
        <v>0.8</v>
      </c>
      <c r="Q1264" t="s">
        <v>42</v>
      </c>
      <c r="R1264" t="s">
        <v>35</v>
      </c>
      <c r="S1264">
        <v>6.7</v>
      </c>
      <c r="T1264">
        <v>4.3</v>
      </c>
      <c r="U1264">
        <v>3.4</v>
      </c>
      <c r="V1264">
        <v>5</v>
      </c>
      <c r="W1264">
        <v>5.0999999999999996</v>
      </c>
      <c r="X1264">
        <v>7</v>
      </c>
      <c r="Y1264">
        <v>5.4</v>
      </c>
      <c r="Z1264">
        <v>4</v>
      </c>
      <c r="AA1264">
        <v>1.1000000000000001</v>
      </c>
      <c r="AB1264">
        <v>6.8</v>
      </c>
      <c r="AC1264">
        <v>6.2</v>
      </c>
      <c r="AD1264" t="s">
        <v>37</v>
      </c>
      <c r="AE1264" t="str">
        <f>IF(AND(data[[#This Row],[Age]]&gt;=18,data[[#This Row],[Age]]&lt;=24),"18-24",IF(AND(data[[#This Row],[Age]]&gt;=25,data[[#This Row],[Age]]&lt;=34),"25-34",IF(AND(data[[#This Row],[Age]]&gt;35,data[[#This Row],[Age]]&lt;=44),"35-44",IF(data[[#This Row],[Age]]&gt;44,"45+",IF(data[[#This Row],[Age]]&lt;18,"below 18 ")))))</f>
        <v>18-24</v>
      </c>
    </row>
    <row r="1265" spans="1:31" x14ac:dyDescent="0.25">
      <c r="A1265" t="s">
        <v>1318</v>
      </c>
      <c r="B1265">
        <v>29</v>
      </c>
      <c r="C1265" t="s">
        <v>31</v>
      </c>
      <c r="D1265" t="s">
        <v>64</v>
      </c>
      <c r="F1265" t="s">
        <v>51</v>
      </c>
      <c r="G1265">
        <v>6.2</v>
      </c>
      <c r="H1265">
        <v>3</v>
      </c>
      <c r="I1265">
        <v>4</v>
      </c>
      <c r="J1265" t="s">
        <v>35</v>
      </c>
      <c r="K1265" t="s">
        <v>36</v>
      </c>
      <c r="L1265">
        <v>27</v>
      </c>
      <c r="M1265">
        <v>5</v>
      </c>
      <c r="N1265">
        <v>4.3</v>
      </c>
      <c r="O1265">
        <v>6.6</v>
      </c>
      <c r="P1265">
        <v>6.2</v>
      </c>
      <c r="Q1265" t="s">
        <v>35</v>
      </c>
      <c r="R1265" t="s">
        <v>42</v>
      </c>
      <c r="S1265">
        <v>4.3</v>
      </c>
      <c r="T1265">
        <v>4.4000000000000004</v>
      </c>
      <c r="U1265">
        <v>5.9</v>
      </c>
      <c r="V1265">
        <v>6.9</v>
      </c>
      <c r="W1265">
        <v>3.9</v>
      </c>
      <c r="X1265">
        <v>6.4</v>
      </c>
      <c r="Y1265">
        <v>4</v>
      </c>
      <c r="Z1265">
        <v>8.1</v>
      </c>
      <c r="AA1265">
        <v>1.9</v>
      </c>
      <c r="AB1265">
        <v>3.7</v>
      </c>
      <c r="AC1265">
        <v>6</v>
      </c>
      <c r="AD1265" t="s">
        <v>45</v>
      </c>
      <c r="AE1265" t="str">
        <f>IF(AND(data[[#This Row],[Age]]&gt;=18,data[[#This Row],[Age]]&lt;=24),"18-24",IF(AND(data[[#This Row],[Age]]&gt;=25,data[[#This Row],[Age]]&lt;=34),"25-34",IF(AND(data[[#This Row],[Age]]&gt;35,data[[#This Row],[Age]]&lt;=44),"35-44",IF(data[[#This Row],[Age]]&gt;44,"45+",IF(data[[#This Row],[Age]]&lt;18,"below 18 ")))))</f>
        <v>25-34</v>
      </c>
    </row>
    <row r="1266" spans="1:31" x14ac:dyDescent="0.25">
      <c r="A1266" t="s">
        <v>1319</v>
      </c>
      <c r="B1266">
        <v>18</v>
      </c>
      <c r="C1266" t="s">
        <v>31</v>
      </c>
      <c r="D1266" t="s">
        <v>32</v>
      </c>
      <c r="E1266" t="s">
        <v>58</v>
      </c>
      <c r="F1266" t="s">
        <v>41</v>
      </c>
      <c r="G1266">
        <v>0.6</v>
      </c>
      <c r="H1266">
        <v>3</v>
      </c>
      <c r="I1266">
        <v>5</v>
      </c>
      <c r="J1266" t="s">
        <v>42</v>
      </c>
      <c r="K1266" t="s">
        <v>62</v>
      </c>
      <c r="L1266">
        <v>56</v>
      </c>
      <c r="M1266">
        <v>8.6999999999999993</v>
      </c>
      <c r="N1266">
        <v>5.8</v>
      </c>
      <c r="O1266">
        <v>5.8</v>
      </c>
      <c r="P1266">
        <v>4.0999999999999996</v>
      </c>
      <c r="Q1266" t="s">
        <v>35</v>
      </c>
      <c r="R1266" t="s">
        <v>35</v>
      </c>
      <c r="S1266">
        <v>5.5</v>
      </c>
      <c r="T1266">
        <v>4.3</v>
      </c>
      <c r="U1266">
        <v>4.8</v>
      </c>
      <c r="V1266">
        <v>5.0999999999999996</v>
      </c>
      <c r="W1266">
        <v>3.6</v>
      </c>
      <c r="X1266">
        <v>5.8</v>
      </c>
      <c r="Y1266">
        <v>9.9</v>
      </c>
      <c r="Z1266">
        <v>6.1</v>
      </c>
      <c r="AA1266">
        <v>4.7</v>
      </c>
      <c r="AB1266">
        <v>2.1</v>
      </c>
      <c r="AC1266">
        <v>6.2</v>
      </c>
      <c r="AD1266" t="s">
        <v>45</v>
      </c>
      <c r="AE1266" t="str">
        <f>IF(AND(data[[#This Row],[Age]]&gt;=18,data[[#This Row],[Age]]&lt;=24),"18-24",IF(AND(data[[#This Row],[Age]]&gt;=25,data[[#This Row],[Age]]&lt;=34),"25-34",IF(AND(data[[#This Row],[Age]]&gt;35,data[[#This Row],[Age]]&lt;=44),"35-44",IF(data[[#This Row],[Age]]&gt;44,"45+",IF(data[[#This Row],[Age]]&lt;18,"below 18 ")))))</f>
        <v>18-24</v>
      </c>
    </row>
    <row r="1267" spans="1:31" x14ac:dyDescent="0.25">
      <c r="A1267" t="s">
        <v>1320</v>
      </c>
      <c r="B1267">
        <v>32</v>
      </c>
      <c r="C1267" t="s">
        <v>50</v>
      </c>
      <c r="D1267" t="s">
        <v>39</v>
      </c>
      <c r="E1267" t="s">
        <v>58</v>
      </c>
      <c r="F1267" t="s">
        <v>41</v>
      </c>
      <c r="G1267">
        <v>5.8</v>
      </c>
      <c r="H1267">
        <v>4</v>
      </c>
      <c r="I1267">
        <v>3</v>
      </c>
      <c r="J1267" t="s">
        <v>42</v>
      </c>
      <c r="K1267" t="s">
        <v>36</v>
      </c>
      <c r="L1267">
        <v>46</v>
      </c>
      <c r="M1267">
        <v>5.2</v>
      </c>
      <c r="N1267">
        <v>4.8</v>
      </c>
      <c r="O1267">
        <v>2.5</v>
      </c>
      <c r="P1267">
        <v>4</v>
      </c>
      <c r="Q1267" t="s">
        <v>35</v>
      </c>
      <c r="R1267" t="s">
        <v>42</v>
      </c>
      <c r="S1267">
        <v>3.5</v>
      </c>
      <c r="T1267">
        <v>5.9</v>
      </c>
      <c r="U1267">
        <v>4.5999999999999996</v>
      </c>
      <c r="V1267">
        <v>8.6</v>
      </c>
      <c r="W1267">
        <v>6.1</v>
      </c>
      <c r="X1267">
        <v>7</v>
      </c>
      <c r="Y1267">
        <v>3.9</v>
      </c>
      <c r="AA1267">
        <v>4.3</v>
      </c>
      <c r="AB1267">
        <v>5.5</v>
      </c>
      <c r="AC1267">
        <v>7.2</v>
      </c>
      <c r="AD1267" t="s">
        <v>53</v>
      </c>
      <c r="AE1267" t="str">
        <f>IF(AND(data[[#This Row],[Age]]&gt;=18,data[[#This Row],[Age]]&lt;=24),"18-24",IF(AND(data[[#This Row],[Age]]&gt;=25,data[[#This Row],[Age]]&lt;=34),"25-34",IF(AND(data[[#This Row],[Age]]&gt;35,data[[#This Row],[Age]]&lt;=44),"35-44",IF(data[[#This Row],[Age]]&gt;44,"45+",IF(data[[#This Row],[Age]]&lt;18,"below 18 ")))))</f>
        <v>25-34</v>
      </c>
    </row>
    <row r="1268" spans="1:31" x14ac:dyDescent="0.25">
      <c r="A1268" t="s">
        <v>1321</v>
      </c>
      <c r="B1268">
        <v>21</v>
      </c>
      <c r="C1268" t="s">
        <v>31</v>
      </c>
      <c r="D1268" t="s">
        <v>39</v>
      </c>
      <c r="E1268" t="s">
        <v>40</v>
      </c>
      <c r="F1268" t="s">
        <v>41</v>
      </c>
      <c r="G1268">
        <v>2.1</v>
      </c>
      <c r="H1268">
        <v>2</v>
      </c>
      <c r="I1268">
        <v>4</v>
      </c>
      <c r="J1268" t="s">
        <v>42</v>
      </c>
      <c r="K1268" t="s">
        <v>52</v>
      </c>
      <c r="L1268">
        <v>70</v>
      </c>
      <c r="M1268">
        <v>5.3</v>
      </c>
      <c r="N1268">
        <v>4.8</v>
      </c>
      <c r="O1268">
        <v>6.4</v>
      </c>
      <c r="P1268">
        <v>6</v>
      </c>
      <c r="Q1268" t="s">
        <v>35</v>
      </c>
      <c r="R1268" t="s">
        <v>35</v>
      </c>
      <c r="S1268">
        <v>7.7</v>
      </c>
      <c r="T1268">
        <v>4.2</v>
      </c>
      <c r="U1268">
        <v>6.4</v>
      </c>
      <c r="V1268">
        <v>6.2</v>
      </c>
      <c r="W1268">
        <v>3.7</v>
      </c>
      <c r="X1268">
        <v>6.9</v>
      </c>
      <c r="Y1268">
        <v>5.0999999999999996</v>
      </c>
      <c r="Z1268">
        <v>3.8</v>
      </c>
      <c r="AA1268">
        <v>0</v>
      </c>
      <c r="AB1268">
        <v>4.3</v>
      </c>
      <c r="AC1268">
        <v>5.8</v>
      </c>
      <c r="AD1268" t="s">
        <v>45</v>
      </c>
      <c r="AE1268" t="str">
        <f>IF(AND(data[[#This Row],[Age]]&gt;=18,data[[#This Row],[Age]]&lt;=24),"18-24",IF(AND(data[[#This Row],[Age]]&gt;=25,data[[#This Row],[Age]]&lt;=34),"25-34",IF(AND(data[[#This Row],[Age]]&gt;35,data[[#This Row],[Age]]&lt;=44),"35-44",IF(data[[#This Row],[Age]]&gt;44,"45+",IF(data[[#This Row],[Age]]&lt;18,"below 18 ")))))</f>
        <v>18-24</v>
      </c>
    </row>
    <row r="1269" spans="1:31" x14ac:dyDescent="0.25">
      <c r="A1269" t="s">
        <v>1322</v>
      </c>
      <c r="B1269">
        <v>37</v>
      </c>
      <c r="C1269" t="s">
        <v>47</v>
      </c>
      <c r="D1269" t="s">
        <v>57</v>
      </c>
      <c r="E1269" t="s">
        <v>33</v>
      </c>
      <c r="F1269" t="s">
        <v>70</v>
      </c>
      <c r="G1269">
        <v>0.5</v>
      </c>
      <c r="H1269">
        <v>4</v>
      </c>
      <c r="I1269">
        <v>5</v>
      </c>
      <c r="J1269" t="s">
        <v>35</v>
      </c>
      <c r="K1269" t="s">
        <v>36</v>
      </c>
      <c r="L1269">
        <v>49</v>
      </c>
      <c r="M1269">
        <v>5.6</v>
      </c>
      <c r="N1269">
        <v>6.8</v>
      </c>
      <c r="O1269">
        <v>4.9000000000000004</v>
      </c>
      <c r="P1269">
        <v>1.7</v>
      </c>
      <c r="Q1269" t="s">
        <v>35</v>
      </c>
      <c r="R1269" t="s">
        <v>42</v>
      </c>
      <c r="S1269">
        <v>4.8</v>
      </c>
      <c r="T1269">
        <v>0.8</v>
      </c>
      <c r="U1269">
        <v>4.4000000000000004</v>
      </c>
      <c r="V1269">
        <v>3.6</v>
      </c>
      <c r="W1269">
        <v>4.9000000000000004</v>
      </c>
      <c r="X1269">
        <v>5.0999999999999996</v>
      </c>
      <c r="Y1269">
        <v>5.4</v>
      </c>
      <c r="Z1269">
        <v>5.9</v>
      </c>
      <c r="AA1269">
        <v>6.2</v>
      </c>
      <c r="AB1269">
        <v>4.8</v>
      </c>
      <c r="AC1269">
        <v>6.9</v>
      </c>
      <c r="AD1269" t="s">
        <v>37</v>
      </c>
      <c r="AE1269" t="str">
        <f>IF(AND(data[[#This Row],[Age]]&gt;=18,data[[#This Row],[Age]]&lt;=24),"18-24",IF(AND(data[[#This Row],[Age]]&gt;=25,data[[#This Row],[Age]]&lt;=34),"25-34",IF(AND(data[[#This Row],[Age]]&gt;35,data[[#This Row],[Age]]&lt;=44),"35-44",IF(data[[#This Row],[Age]]&gt;44,"45+",IF(data[[#This Row],[Age]]&lt;18,"below 18 ")))))</f>
        <v>35-44</v>
      </c>
    </row>
    <row r="1270" spans="1:31" x14ac:dyDescent="0.25">
      <c r="A1270" t="s">
        <v>1323</v>
      </c>
      <c r="B1270">
        <v>44</v>
      </c>
      <c r="C1270" t="s">
        <v>47</v>
      </c>
      <c r="D1270" t="s">
        <v>39</v>
      </c>
      <c r="E1270" t="s">
        <v>58</v>
      </c>
      <c r="F1270" t="s">
        <v>34</v>
      </c>
      <c r="G1270">
        <v>5.2</v>
      </c>
      <c r="H1270">
        <v>7</v>
      </c>
      <c r="I1270">
        <v>3</v>
      </c>
      <c r="J1270" t="s">
        <v>42</v>
      </c>
      <c r="K1270" t="s">
        <v>52</v>
      </c>
      <c r="L1270">
        <v>25</v>
      </c>
      <c r="M1270">
        <v>5.4</v>
      </c>
      <c r="N1270">
        <v>9.1</v>
      </c>
      <c r="P1270">
        <v>4.4000000000000004</v>
      </c>
      <c r="Q1270" t="s">
        <v>42</v>
      </c>
      <c r="R1270" t="s">
        <v>42</v>
      </c>
      <c r="S1270">
        <v>5.9</v>
      </c>
      <c r="T1270">
        <v>7.1</v>
      </c>
      <c r="U1270">
        <v>7</v>
      </c>
      <c r="V1270">
        <v>4.4000000000000004</v>
      </c>
      <c r="W1270">
        <v>8.4</v>
      </c>
      <c r="X1270">
        <v>8.6</v>
      </c>
      <c r="Y1270">
        <v>2.8</v>
      </c>
      <c r="Z1270">
        <v>2.4</v>
      </c>
      <c r="AA1270">
        <v>1.2</v>
      </c>
      <c r="AB1270">
        <v>1.7</v>
      </c>
      <c r="AC1270">
        <v>4.4000000000000004</v>
      </c>
      <c r="AD1270" t="s">
        <v>43</v>
      </c>
      <c r="AE1270" t="str">
        <f>IF(AND(data[[#This Row],[Age]]&gt;=18,data[[#This Row],[Age]]&lt;=24),"18-24",IF(AND(data[[#This Row],[Age]]&gt;=25,data[[#This Row],[Age]]&lt;=34),"25-34",IF(AND(data[[#This Row],[Age]]&gt;35,data[[#This Row],[Age]]&lt;=44),"35-44",IF(data[[#This Row],[Age]]&gt;44,"45+",IF(data[[#This Row],[Age]]&lt;18,"below 18 ")))))</f>
        <v>35-44</v>
      </c>
    </row>
    <row r="1271" spans="1:31" x14ac:dyDescent="0.25">
      <c r="A1271" t="s">
        <v>1324</v>
      </c>
      <c r="B1271">
        <v>38</v>
      </c>
      <c r="C1271" t="s">
        <v>31</v>
      </c>
      <c r="D1271" t="s">
        <v>32</v>
      </c>
      <c r="E1271" t="s">
        <v>33</v>
      </c>
      <c r="F1271" t="s">
        <v>41</v>
      </c>
      <c r="G1271">
        <v>0.9</v>
      </c>
      <c r="H1271">
        <v>4</v>
      </c>
      <c r="I1271">
        <v>1</v>
      </c>
      <c r="J1271" t="s">
        <v>35</v>
      </c>
      <c r="K1271" t="s">
        <v>36</v>
      </c>
      <c r="L1271">
        <v>49</v>
      </c>
      <c r="M1271">
        <v>3.2</v>
      </c>
      <c r="N1271">
        <v>5.4</v>
      </c>
      <c r="O1271">
        <v>5.2</v>
      </c>
      <c r="P1271">
        <v>5.3</v>
      </c>
      <c r="Q1271" t="s">
        <v>35</v>
      </c>
      <c r="R1271" t="s">
        <v>35</v>
      </c>
      <c r="S1271">
        <v>3.4</v>
      </c>
      <c r="T1271">
        <v>6.9</v>
      </c>
      <c r="U1271">
        <v>2.8</v>
      </c>
      <c r="V1271">
        <v>2.4</v>
      </c>
      <c r="W1271">
        <v>0.6</v>
      </c>
      <c r="X1271">
        <v>7.2</v>
      </c>
      <c r="Y1271">
        <v>4.5</v>
      </c>
      <c r="Z1271">
        <v>7.7</v>
      </c>
      <c r="AA1271">
        <v>5.6</v>
      </c>
      <c r="AB1271">
        <v>2</v>
      </c>
      <c r="AC1271">
        <v>8.1999999999999993</v>
      </c>
      <c r="AD1271" t="s">
        <v>37</v>
      </c>
      <c r="AE1271" t="str">
        <f>IF(AND(data[[#This Row],[Age]]&gt;=18,data[[#This Row],[Age]]&lt;=24),"18-24",IF(AND(data[[#This Row],[Age]]&gt;=25,data[[#This Row],[Age]]&lt;=34),"25-34",IF(AND(data[[#This Row],[Age]]&gt;35,data[[#This Row],[Age]]&lt;=44),"35-44",IF(data[[#This Row],[Age]]&gt;44,"45+",IF(data[[#This Row],[Age]]&lt;18,"below 18 ")))))</f>
        <v>35-44</v>
      </c>
    </row>
    <row r="1272" spans="1:31" x14ac:dyDescent="0.25">
      <c r="A1272" t="s">
        <v>1325</v>
      </c>
      <c r="B1272">
        <v>37</v>
      </c>
      <c r="C1272" t="s">
        <v>47</v>
      </c>
      <c r="D1272" t="s">
        <v>39</v>
      </c>
      <c r="E1272" t="s">
        <v>40</v>
      </c>
      <c r="F1272" t="s">
        <v>51</v>
      </c>
      <c r="G1272">
        <v>4</v>
      </c>
      <c r="H1272">
        <v>1</v>
      </c>
      <c r="I1272">
        <v>8</v>
      </c>
      <c r="J1272" t="s">
        <v>35</v>
      </c>
      <c r="K1272" t="s">
        <v>62</v>
      </c>
      <c r="L1272">
        <v>75</v>
      </c>
      <c r="M1272">
        <v>7</v>
      </c>
      <c r="N1272">
        <v>5.5</v>
      </c>
      <c r="O1272">
        <v>9.6999999999999993</v>
      </c>
      <c r="P1272">
        <v>5.3</v>
      </c>
      <c r="Q1272" t="s">
        <v>42</v>
      </c>
      <c r="R1272" t="s">
        <v>35</v>
      </c>
      <c r="S1272">
        <v>3.8</v>
      </c>
      <c r="T1272">
        <v>2.8</v>
      </c>
      <c r="U1272">
        <v>1.3</v>
      </c>
      <c r="V1272">
        <v>6.8</v>
      </c>
      <c r="W1272">
        <v>6.9</v>
      </c>
      <c r="X1272">
        <v>8.8000000000000007</v>
      </c>
      <c r="Y1272">
        <v>4</v>
      </c>
      <c r="Z1272">
        <v>5.8</v>
      </c>
      <c r="AA1272">
        <v>4.2</v>
      </c>
      <c r="AB1272">
        <v>5.4</v>
      </c>
      <c r="AC1272">
        <v>6.7</v>
      </c>
      <c r="AD1272" t="s">
        <v>53</v>
      </c>
      <c r="AE1272" t="str">
        <f>IF(AND(data[[#This Row],[Age]]&gt;=18,data[[#This Row],[Age]]&lt;=24),"18-24",IF(AND(data[[#This Row],[Age]]&gt;=25,data[[#This Row],[Age]]&lt;=34),"25-34",IF(AND(data[[#This Row],[Age]]&gt;35,data[[#This Row],[Age]]&lt;=44),"35-44",IF(data[[#This Row],[Age]]&gt;44,"45+",IF(data[[#This Row],[Age]]&lt;18,"below 18 ")))))</f>
        <v>35-44</v>
      </c>
    </row>
    <row r="1273" spans="1:31" x14ac:dyDescent="0.25">
      <c r="A1273" t="s">
        <v>1326</v>
      </c>
      <c r="B1273">
        <v>22</v>
      </c>
      <c r="D1273" t="s">
        <v>32</v>
      </c>
      <c r="E1273" t="s">
        <v>58</v>
      </c>
      <c r="F1273" t="s">
        <v>59</v>
      </c>
      <c r="G1273">
        <v>7.2</v>
      </c>
      <c r="H1273">
        <v>2</v>
      </c>
      <c r="I1273">
        <v>2</v>
      </c>
      <c r="J1273" t="s">
        <v>35</v>
      </c>
      <c r="K1273" t="s">
        <v>62</v>
      </c>
      <c r="L1273">
        <v>69</v>
      </c>
      <c r="M1273">
        <v>5.8</v>
      </c>
      <c r="N1273">
        <v>3.5</v>
      </c>
      <c r="O1273">
        <v>5</v>
      </c>
      <c r="P1273">
        <v>1.9</v>
      </c>
      <c r="Q1273" t="s">
        <v>35</v>
      </c>
      <c r="R1273" t="s">
        <v>42</v>
      </c>
      <c r="S1273">
        <v>8</v>
      </c>
      <c r="T1273">
        <v>5.6</v>
      </c>
      <c r="U1273">
        <v>6</v>
      </c>
      <c r="V1273">
        <v>8.9</v>
      </c>
      <c r="W1273">
        <v>2.5</v>
      </c>
      <c r="X1273">
        <v>8.4</v>
      </c>
      <c r="Y1273">
        <v>3.3</v>
      </c>
      <c r="Z1273">
        <v>5.6</v>
      </c>
      <c r="AA1273">
        <v>2.4</v>
      </c>
      <c r="AC1273">
        <v>7.5</v>
      </c>
      <c r="AD1273" t="s">
        <v>37</v>
      </c>
      <c r="AE1273" t="str">
        <f>IF(AND(data[[#This Row],[Age]]&gt;=18,data[[#This Row],[Age]]&lt;=24),"18-24",IF(AND(data[[#This Row],[Age]]&gt;=25,data[[#This Row],[Age]]&lt;=34),"25-34",IF(AND(data[[#This Row],[Age]]&gt;35,data[[#This Row],[Age]]&lt;=44),"35-44",IF(data[[#This Row],[Age]]&gt;44,"45+",IF(data[[#This Row],[Age]]&lt;18,"below 18 ")))))</f>
        <v>18-24</v>
      </c>
    </row>
    <row r="1274" spans="1:31" x14ac:dyDescent="0.25">
      <c r="A1274" t="s">
        <v>1327</v>
      </c>
      <c r="B1274">
        <v>16</v>
      </c>
      <c r="C1274" t="s">
        <v>31</v>
      </c>
      <c r="D1274" t="s">
        <v>32</v>
      </c>
      <c r="E1274" t="s">
        <v>33</v>
      </c>
      <c r="F1274" t="s">
        <v>41</v>
      </c>
      <c r="G1274">
        <v>5.7</v>
      </c>
      <c r="H1274">
        <v>3</v>
      </c>
      <c r="I1274">
        <v>5</v>
      </c>
      <c r="J1274" t="s">
        <v>42</v>
      </c>
      <c r="K1274" t="s">
        <v>52</v>
      </c>
      <c r="L1274">
        <v>47</v>
      </c>
      <c r="M1274">
        <v>5.7</v>
      </c>
      <c r="N1274">
        <v>7.8</v>
      </c>
      <c r="P1274">
        <v>5</v>
      </c>
      <c r="Q1274" t="s">
        <v>35</v>
      </c>
      <c r="R1274" t="s">
        <v>42</v>
      </c>
      <c r="S1274">
        <v>5.7</v>
      </c>
      <c r="T1274">
        <v>2.1</v>
      </c>
      <c r="U1274">
        <v>2.4</v>
      </c>
      <c r="V1274">
        <v>6.7</v>
      </c>
      <c r="W1274">
        <v>7.5</v>
      </c>
      <c r="X1274">
        <v>4.2</v>
      </c>
      <c r="Y1274">
        <v>9.6</v>
      </c>
      <c r="Z1274">
        <v>5.0999999999999996</v>
      </c>
      <c r="AA1274">
        <v>2.1</v>
      </c>
      <c r="AB1274">
        <v>2.1</v>
      </c>
      <c r="AC1274">
        <v>5.2</v>
      </c>
      <c r="AD1274" t="s">
        <v>43</v>
      </c>
      <c r="AE1274" t="str">
        <f>IF(AND(data[[#This Row],[Age]]&gt;=18,data[[#This Row],[Age]]&lt;=24),"18-24",IF(AND(data[[#This Row],[Age]]&gt;=25,data[[#This Row],[Age]]&lt;=34),"25-34",IF(AND(data[[#This Row],[Age]]&gt;35,data[[#This Row],[Age]]&lt;=44),"35-44",IF(data[[#This Row],[Age]]&gt;44,"45+",IF(data[[#This Row],[Age]]&lt;18,"below 18 ")))))</f>
        <v xml:space="preserve">below 18 </v>
      </c>
    </row>
    <row r="1275" spans="1:31" x14ac:dyDescent="0.25">
      <c r="A1275" t="s">
        <v>1328</v>
      </c>
      <c r="B1275">
        <v>28</v>
      </c>
      <c r="C1275" t="s">
        <v>31</v>
      </c>
      <c r="D1275" t="s">
        <v>57</v>
      </c>
      <c r="E1275" t="s">
        <v>58</v>
      </c>
      <c r="F1275" t="s">
        <v>34</v>
      </c>
      <c r="G1275">
        <v>4.2</v>
      </c>
      <c r="H1275">
        <v>2</v>
      </c>
      <c r="I1275">
        <v>3</v>
      </c>
      <c r="J1275" t="s">
        <v>35</v>
      </c>
      <c r="K1275" t="s">
        <v>62</v>
      </c>
      <c r="L1275">
        <v>29</v>
      </c>
      <c r="M1275">
        <v>5.2</v>
      </c>
      <c r="N1275">
        <v>2</v>
      </c>
      <c r="O1275">
        <v>5.8</v>
      </c>
      <c r="P1275">
        <v>1.7</v>
      </c>
      <c r="Q1275" t="s">
        <v>42</v>
      </c>
      <c r="R1275" t="s">
        <v>42</v>
      </c>
      <c r="S1275">
        <v>2.4</v>
      </c>
      <c r="T1275">
        <v>5.2</v>
      </c>
      <c r="U1275">
        <v>4.0999999999999996</v>
      </c>
      <c r="V1275">
        <v>4.8</v>
      </c>
      <c r="W1275">
        <v>2.5</v>
      </c>
      <c r="X1275">
        <v>5.9</v>
      </c>
      <c r="Y1275">
        <v>5.6</v>
      </c>
      <c r="Z1275">
        <v>3.5</v>
      </c>
      <c r="AA1275">
        <v>3.7</v>
      </c>
      <c r="AB1275">
        <v>4.7</v>
      </c>
      <c r="AC1275">
        <v>7.9</v>
      </c>
      <c r="AD1275" t="s">
        <v>37</v>
      </c>
      <c r="AE1275" t="str">
        <f>IF(AND(data[[#This Row],[Age]]&gt;=18,data[[#This Row],[Age]]&lt;=24),"18-24",IF(AND(data[[#This Row],[Age]]&gt;=25,data[[#This Row],[Age]]&lt;=34),"25-34",IF(AND(data[[#This Row],[Age]]&gt;35,data[[#This Row],[Age]]&lt;=44),"35-44",IF(data[[#This Row],[Age]]&gt;44,"45+",IF(data[[#This Row],[Age]]&lt;18,"below 18 ")))))</f>
        <v>25-34</v>
      </c>
    </row>
    <row r="1276" spans="1:31" x14ac:dyDescent="0.25">
      <c r="A1276" t="s">
        <v>1329</v>
      </c>
      <c r="B1276">
        <v>36</v>
      </c>
      <c r="C1276" t="s">
        <v>31</v>
      </c>
      <c r="D1276" t="s">
        <v>57</v>
      </c>
      <c r="E1276" t="s">
        <v>58</v>
      </c>
      <c r="F1276" t="s">
        <v>41</v>
      </c>
      <c r="G1276">
        <v>6.6</v>
      </c>
      <c r="H1276">
        <v>3</v>
      </c>
      <c r="I1276">
        <v>7</v>
      </c>
      <c r="J1276" t="s">
        <v>35</v>
      </c>
      <c r="K1276" t="s">
        <v>62</v>
      </c>
      <c r="L1276">
        <v>60</v>
      </c>
      <c r="M1276">
        <v>5.3</v>
      </c>
      <c r="N1276">
        <v>3.6</v>
      </c>
      <c r="O1276">
        <v>3.3</v>
      </c>
      <c r="P1276">
        <v>8</v>
      </c>
      <c r="Q1276" t="s">
        <v>42</v>
      </c>
      <c r="R1276" t="s">
        <v>35</v>
      </c>
      <c r="S1276">
        <v>4</v>
      </c>
      <c r="T1276">
        <v>5</v>
      </c>
      <c r="V1276">
        <v>5.7</v>
      </c>
      <c r="W1276">
        <v>2.1</v>
      </c>
      <c r="X1276">
        <v>5.8</v>
      </c>
      <c r="Y1276">
        <v>3.4</v>
      </c>
      <c r="Z1276">
        <v>4.9000000000000004</v>
      </c>
      <c r="AA1276">
        <v>2.6</v>
      </c>
      <c r="AB1276">
        <v>6.1</v>
      </c>
      <c r="AC1276">
        <v>8.1999999999999993</v>
      </c>
      <c r="AD1276" t="s">
        <v>37</v>
      </c>
      <c r="AE1276" t="str">
        <f>IF(AND(data[[#This Row],[Age]]&gt;=18,data[[#This Row],[Age]]&lt;=24),"18-24",IF(AND(data[[#This Row],[Age]]&gt;=25,data[[#This Row],[Age]]&lt;=34),"25-34",IF(AND(data[[#This Row],[Age]]&gt;35,data[[#This Row],[Age]]&lt;=44),"35-44",IF(data[[#This Row],[Age]]&gt;44,"45+",IF(data[[#This Row],[Age]]&lt;18,"below 18 ")))))</f>
        <v>35-44</v>
      </c>
    </row>
    <row r="1277" spans="1:31" x14ac:dyDescent="0.25">
      <c r="A1277" t="s">
        <v>1330</v>
      </c>
      <c r="B1277">
        <v>34</v>
      </c>
      <c r="C1277" t="s">
        <v>31</v>
      </c>
      <c r="D1277" t="s">
        <v>32</v>
      </c>
      <c r="E1277" t="s">
        <v>33</v>
      </c>
      <c r="F1277" t="s">
        <v>48</v>
      </c>
      <c r="G1277">
        <v>4.5999999999999996</v>
      </c>
      <c r="H1277">
        <v>5</v>
      </c>
      <c r="I1277">
        <v>4</v>
      </c>
      <c r="J1277" t="s">
        <v>35</v>
      </c>
      <c r="K1277" t="s">
        <v>36</v>
      </c>
      <c r="L1277">
        <v>5</v>
      </c>
      <c r="M1277">
        <v>2.6</v>
      </c>
      <c r="N1277">
        <v>6</v>
      </c>
      <c r="O1277">
        <v>7.3</v>
      </c>
      <c r="P1277">
        <v>6.5</v>
      </c>
      <c r="Q1277" t="s">
        <v>42</v>
      </c>
      <c r="R1277" t="s">
        <v>42</v>
      </c>
      <c r="S1277">
        <v>5.4</v>
      </c>
      <c r="T1277">
        <v>2.8</v>
      </c>
      <c r="U1277">
        <v>4.5</v>
      </c>
      <c r="V1277">
        <v>6.5</v>
      </c>
      <c r="W1277">
        <v>5.5</v>
      </c>
      <c r="X1277">
        <v>5</v>
      </c>
      <c r="Y1277">
        <v>4.4000000000000004</v>
      </c>
      <c r="Z1277">
        <v>4.5</v>
      </c>
      <c r="AB1277">
        <v>2.1</v>
      </c>
      <c r="AC1277">
        <v>5</v>
      </c>
      <c r="AD1277" t="s">
        <v>45</v>
      </c>
      <c r="AE1277" t="str">
        <f>IF(AND(data[[#This Row],[Age]]&gt;=18,data[[#This Row],[Age]]&lt;=24),"18-24",IF(AND(data[[#This Row],[Age]]&gt;=25,data[[#This Row],[Age]]&lt;=34),"25-34",IF(AND(data[[#This Row],[Age]]&gt;35,data[[#This Row],[Age]]&lt;=44),"35-44",IF(data[[#This Row],[Age]]&gt;44,"45+",IF(data[[#This Row],[Age]]&lt;18,"below 18 ")))))</f>
        <v>25-34</v>
      </c>
    </row>
    <row r="1278" spans="1:31" x14ac:dyDescent="0.25">
      <c r="A1278" t="s">
        <v>1331</v>
      </c>
      <c r="B1278">
        <v>21</v>
      </c>
      <c r="C1278" t="s">
        <v>31</v>
      </c>
      <c r="D1278" t="s">
        <v>32</v>
      </c>
      <c r="E1278" t="s">
        <v>58</v>
      </c>
      <c r="F1278" t="s">
        <v>41</v>
      </c>
      <c r="G1278">
        <v>6.3</v>
      </c>
      <c r="H1278">
        <v>5</v>
      </c>
      <c r="I1278">
        <v>6</v>
      </c>
      <c r="J1278" t="s">
        <v>42</v>
      </c>
      <c r="K1278" t="s">
        <v>52</v>
      </c>
      <c r="L1278">
        <v>80</v>
      </c>
      <c r="M1278">
        <v>4.3</v>
      </c>
      <c r="N1278">
        <v>3</v>
      </c>
      <c r="O1278">
        <v>2.1</v>
      </c>
      <c r="P1278">
        <v>6.1</v>
      </c>
      <c r="Q1278" t="s">
        <v>42</v>
      </c>
      <c r="R1278" t="s">
        <v>42</v>
      </c>
      <c r="S1278">
        <v>8.1</v>
      </c>
      <c r="T1278">
        <v>5.5</v>
      </c>
      <c r="U1278">
        <v>7.5</v>
      </c>
      <c r="V1278">
        <v>0</v>
      </c>
      <c r="W1278">
        <v>6.5</v>
      </c>
      <c r="X1278">
        <v>6.2</v>
      </c>
      <c r="Y1278">
        <v>6.9</v>
      </c>
      <c r="Z1278">
        <v>3.4</v>
      </c>
      <c r="AA1278">
        <v>2.6</v>
      </c>
      <c r="AB1278">
        <v>2.9</v>
      </c>
      <c r="AC1278">
        <v>4.5999999999999996</v>
      </c>
      <c r="AD1278" t="s">
        <v>43</v>
      </c>
      <c r="AE1278" t="str">
        <f>IF(AND(data[[#This Row],[Age]]&gt;=18,data[[#This Row],[Age]]&lt;=24),"18-24",IF(AND(data[[#This Row],[Age]]&gt;=25,data[[#This Row],[Age]]&lt;=34),"25-34",IF(AND(data[[#This Row],[Age]]&gt;35,data[[#This Row],[Age]]&lt;=44),"35-44",IF(data[[#This Row],[Age]]&gt;44,"45+",IF(data[[#This Row],[Age]]&lt;18,"below 18 ")))))</f>
        <v>18-24</v>
      </c>
    </row>
    <row r="1279" spans="1:31" x14ac:dyDescent="0.25">
      <c r="A1279" t="s">
        <v>1332</v>
      </c>
      <c r="B1279">
        <v>19</v>
      </c>
      <c r="D1279" t="s">
        <v>32</v>
      </c>
      <c r="E1279" t="s">
        <v>33</v>
      </c>
      <c r="F1279" t="s">
        <v>41</v>
      </c>
      <c r="G1279">
        <v>7</v>
      </c>
      <c r="H1279">
        <v>3</v>
      </c>
      <c r="I1279">
        <v>2</v>
      </c>
      <c r="J1279" t="s">
        <v>42</v>
      </c>
      <c r="K1279" t="s">
        <v>36</v>
      </c>
      <c r="L1279">
        <v>120</v>
      </c>
      <c r="M1279">
        <v>4</v>
      </c>
      <c r="N1279">
        <v>5.6</v>
      </c>
      <c r="O1279">
        <v>3.2</v>
      </c>
      <c r="P1279">
        <v>5.7</v>
      </c>
      <c r="Q1279" t="s">
        <v>35</v>
      </c>
      <c r="R1279" t="s">
        <v>35</v>
      </c>
      <c r="S1279">
        <v>5.4</v>
      </c>
      <c r="T1279">
        <v>2.7</v>
      </c>
      <c r="U1279">
        <v>7</v>
      </c>
      <c r="V1279">
        <v>3.1</v>
      </c>
      <c r="W1279">
        <v>4.2</v>
      </c>
      <c r="X1279">
        <v>4.5999999999999996</v>
      </c>
      <c r="Y1279">
        <v>7.4</v>
      </c>
      <c r="Z1279">
        <v>10</v>
      </c>
      <c r="AA1279">
        <v>3.7</v>
      </c>
      <c r="AB1279">
        <v>6.7</v>
      </c>
      <c r="AC1279">
        <v>6</v>
      </c>
      <c r="AD1279" t="s">
        <v>45</v>
      </c>
      <c r="AE1279" t="str">
        <f>IF(AND(data[[#This Row],[Age]]&gt;=18,data[[#This Row],[Age]]&lt;=24),"18-24",IF(AND(data[[#This Row],[Age]]&gt;=25,data[[#This Row],[Age]]&lt;=34),"25-34",IF(AND(data[[#This Row],[Age]]&gt;35,data[[#This Row],[Age]]&lt;=44),"35-44",IF(data[[#This Row],[Age]]&gt;44,"45+",IF(data[[#This Row],[Age]]&lt;18,"below 18 ")))))</f>
        <v>18-24</v>
      </c>
    </row>
    <row r="1280" spans="1:31" x14ac:dyDescent="0.25">
      <c r="A1280" t="s">
        <v>1333</v>
      </c>
      <c r="B1280">
        <v>40</v>
      </c>
      <c r="C1280" t="s">
        <v>31</v>
      </c>
      <c r="D1280" t="s">
        <v>64</v>
      </c>
      <c r="E1280" t="s">
        <v>33</v>
      </c>
      <c r="F1280" t="s">
        <v>48</v>
      </c>
      <c r="G1280">
        <v>2.2999999999999998</v>
      </c>
      <c r="H1280">
        <v>1</v>
      </c>
      <c r="I1280">
        <v>4</v>
      </c>
      <c r="J1280" t="s">
        <v>42</v>
      </c>
      <c r="K1280" t="s">
        <v>62</v>
      </c>
      <c r="L1280">
        <v>47</v>
      </c>
      <c r="M1280">
        <v>5.0999999999999996</v>
      </c>
      <c r="N1280">
        <v>8.8000000000000007</v>
      </c>
      <c r="O1280">
        <v>4.0999999999999996</v>
      </c>
      <c r="P1280">
        <v>6.3</v>
      </c>
      <c r="Q1280" t="s">
        <v>42</v>
      </c>
      <c r="R1280" t="s">
        <v>35</v>
      </c>
      <c r="S1280">
        <v>4.4000000000000004</v>
      </c>
      <c r="T1280">
        <v>3</v>
      </c>
      <c r="U1280">
        <v>2.2000000000000002</v>
      </c>
      <c r="V1280">
        <v>6.7</v>
      </c>
      <c r="W1280">
        <v>5.6</v>
      </c>
      <c r="X1280">
        <v>7.6</v>
      </c>
      <c r="Y1280">
        <v>7.9</v>
      </c>
      <c r="Z1280">
        <v>4.2</v>
      </c>
      <c r="AB1280">
        <v>4.5</v>
      </c>
      <c r="AC1280">
        <v>7.7</v>
      </c>
      <c r="AD1280" t="s">
        <v>37</v>
      </c>
      <c r="AE1280" t="str">
        <f>IF(AND(data[[#This Row],[Age]]&gt;=18,data[[#This Row],[Age]]&lt;=24),"18-24",IF(AND(data[[#This Row],[Age]]&gt;=25,data[[#This Row],[Age]]&lt;=34),"25-34",IF(AND(data[[#This Row],[Age]]&gt;35,data[[#This Row],[Age]]&lt;=44),"35-44",IF(data[[#This Row],[Age]]&gt;44,"45+",IF(data[[#This Row],[Age]]&lt;18,"below 18 ")))))</f>
        <v>35-44</v>
      </c>
    </row>
    <row r="1281" spans="1:31" x14ac:dyDescent="0.25">
      <c r="A1281" t="s">
        <v>1334</v>
      </c>
      <c r="B1281">
        <v>31</v>
      </c>
      <c r="C1281" t="s">
        <v>50</v>
      </c>
      <c r="D1281" t="s">
        <v>32</v>
      </c>
      <c r="E1281" t="s">
        <v>33</v>
      </c>
      <c r="F1281" t="s">
        <v>41</v>
      </c>
      <c r="G1281">
        <v>8.1</v>
      </c>
      <c r="H1281">
        <v>2</v>
      </c>
      <c r="I1281">
        <v>3</v>
      </c>
      <c r="J1281" t="s">
        <v>42</v>
      </c>
      <c r="K1281" t="s">
        <v>36</v>
      </c>
      <c r="L1281">
        <v>100</v>
      </c>
      <c r="M1281">
        <v>2.7</v>
      </c>
      <c r="N1281">
        <v>2</v>
      </c>
      <c r="O1281">
        <v>4.7</v>
      </c>
      <c r="P1281">
        <v>7.9</v>
      </c>
      <c r="Q1281" t="s">
        <v>42</v>
      </c>
      <c r="R1281" t="s">
        <v>42</v>
      </c>
      <c r="S1281">
        <v>2.2999999999999998</v>
      </c>
      <c r="T1281">
        <v>3.2</v>
      </c>
      <c r="U1281">
        <v>2.1</v>
      </c>
      <c r="V1281">
        <v>7.7</v>
      </c>
      <c r="W1281">
        <v>4.0999999999999996</v>
      </c>
      <c r="X1281">
        <v>10</v>
      </c>
      <c r="Y1281">
        <v>5.2</v>
      </c>
      <c r="Z1281">
        <v>5.5</v>
      </c>
      <c r="AA1281">
        <v>2.5</v>
      </c>
      <c r="AC1281">
        <v>6.6</v>
      </c>
      <c r="AD1281" t="s">
        <v>53</v>
      </c>
      <c r="AE1281" t="str">
        <f>IF(AND(data[[#This Row],[Age]]&gt;=18,data[[#This Row],[Age]]&lt;=24),"18-24",IF(AND(data[[#This Row],[Age]]&gt;=25,data[[#This Row],[Age]]&lt;=34),"25-34",IF(AND(data[[#This Row],[Age]]&gt;35,data[[#This Row],[Age]]&lt;=44),"35-44",IF(data[[#This Row],[Age]]&gt;44,"45+",IF(data[[#This Row],[Age]]&lt;18,"below 18 ")))))</f>
        <v>25-34</v>
      </c>
    </row>
    <row r="1282" spans="1:31" x14ac:dyDescent="0.25">
      <c r="A1282" t="s">
        <v>1335</v>
      </c>
      <c r="B1282">
        <v>19</v>
      </c>
      <c r="C1282" t="s">
        <v>47</v>
      </c>
      <c r="D1282" t="s">
        <v>32</v>
      </c>
      <c r="E1282" t="s">
        <v>58</v>
      </c>
      <c r="F1282" t="s">
        <v>34</v>
      </c>
      <c r="G1282">
        <v>4.2</v>
      </c>
      <c r="H1282">
        <v>1</v>
      </c>
      <c r="I1282">
        <v>3</v>
      </c>
      <c r="J1282" t="s">
        <v>42</v>
      </c>
      <c r="K1282" t="s">
        <v>52</v>
      </c>
      <c r="L1282">
        <v>56</v>
      </c>
      <c r="M1282">
        <v>6.5</v>
      </c>
      <c r="N1282">
        <v>6.7</v>
      </c>
      <c r="O1282">
        <v>5.9</v>
      </c>
      <c r="P1282">
        <v>3.4</v>
      </c>
      <c r="Q1282" t="s">
        <v>35</v>
      </c>
      <c r="R1282" t="s">
        <v>42</v>
      </c>
      <c r="S1282">
        <v>1.6</v>
      </c>
      <c r="T1282">
        <v>4.8</v>
      </c>
      <c r="U1282">
        <v>6.6</v>
      </c>
      <c r="V1282">
        <v>4.8</v>
      </c>
      <c r="W1282">
        <v>4.9000000000000004</v>
      </c>
      <c r="X1282">
        <v>7.2</v>
      </c>
      <c r="Y1282">
        <v>6.9</v>
      </c>
      <c r="AA1282">
        <v>2.4</v>
      </c>
      <c r="AB1282">
        <v>1.9</v>
      </c>
      <c r="AC1282">
        <v>5.8</v>
      </c>
      <c r="AD1282" t="s">
        <v>45</v>
      </c>
      <c r="AE1282" t="str">
        <f>IF(AND(data[[#This Row],[Age]]&gt;=18,data[[#This Row],[Age]]&lt;=24),"18-24",IF(AND(data[[#This Row],[Age]]&gt;=25,data[[#This Row],[Age]]&lt;=34),"25-34",IF(AND(data[[#This Row],[Age]]&gt;35,data[[#This Row],[Age]]&lt;=44),"35-44",IF(data[[#This Row],[Age]]&gt;44,"45+",IF(data[[#This Row],[Age]]&lt;18,"below 18 ")))))</f>
        <v>18-24</v>
      </c>
    </row>
    <row r="1283" spans="1:31" x14ac:dyDescent="0.25">
      <c r="A1283" t="s">
        <v>1336</v>
      </c>
      <c r="B1283">
        <v>26</v>
      </c>
      <c r="C1283" t="s">
        <v>50</v>
      </c>
      <c r="D1283" t="s">
        <v>57</v>
      </c>
      <c r="E1283" t="s">
        <v>33</v>
      </c>
      <c r="F1283" t="s">
        <v>70</v>
      </c>
      <c r="G1283">
        <v>4.5999999999999996</v>
      </c>
      <c r="H1283">
        <v>7</v>
      </c>
      <c r="I1283">
        <v>3</v>
      </c>
      <c r="J1283" t="s">
        <v>42</v>
      </c>
      <c r="K1283" t="s">
        <v>52</v>
      </c>
      <c r="L1283">
        <v>67</v>
      </c>
      <c r="M1283">
        <v>5.3</v>
      </c>
      <c r="N1283">
        <v>6</v>
      </c>
      <c r="O1283">
        <v>2.4</v>
      </c>
      <c r="P1283">
        <v>6.4</v>
      </c>
      <c r="Q1283" t="s">
        <v>42</v>
      </c>
      <c r="R1283" t="s">
        <v>42</v>
      </c>
      <c r="S1283">
        <v>4.7</v>
      </c>
      <c r="T1283">
        <v>2.2999999999999998</v>
      </c>
      <c r="U1283">
        <v>5.3</v>
      </c>
      <c r="V1283">
        <v>3.9</v>
      </c>
      <c r="W1283">
        <v>3.8</v>
      </c>
      <c r="Y1283">
        <v>7.6</v>
      </c>
      <c r="Z1283">
        <v>3.2</v>
      </c>
      <c r="AA1283">
        <v>3.6</v>
      </c>
      <c r="AB1283">
        <v>0.5</v>
      </c>
      <c r="AC1283">
        <v>5</v>
      </c>
      <c r="AD1283" t="s">
        <v>43</v>
      </c>
      <c r="AE1283" t="str">
        <f>IF(AND(data[[#This Row],[Age]]&gt;=18,data[[#This Row],[Age]]&lt;=24),"18-24",IF(AND(data[[#This Row],[Age]]&gt;=25,data[[#This Row],[Age]]&lt;=34),"25-34",IF(AND(data[[#This Row],[Age]]&gt;35,data[[#This Row],[Age]]&lt;=44),"35-44",IF(data[[#This Row],[Age]]&gt;44,"45+",IF(data[[#This Row],[Age]]&lt;18,"below 18 ")))))</f>
        <v>25-34</v>
      </c>
    </row>
    <row r="1284" spans="1:31" x14ac:dyDescent="0.25">
      <c r="A1284" t="s">
        <v>1337</v>
      </c>
      <c r="B1284">
        <v>34</v>
      </c>
      <c r="C1284" t="s">
        <v>50</v>
      </c>
      <c r="D1284" t="s">
        <v>39</v>
      </c>
      <c r="E1284" t="s">
        <v>58</v>
      </c>
      <c r="F1284" t="s">
        <v>34</v>
      </c>
      <c r="G1284">
        <v>4.9000000000000004</v>
      </c>
      <c r="H1284">
        <v>6</v>
      </c>
      <c r="I1284">
        <v>1</v>
      </c>
      <c r="J1284" t="s">
        <v>42</v>
      </c>
      <c r="K1284" t="s">
        <v>36</v>
      </c>
      <c r="L1284">
        <v>18</v>
      </c>
      <c r="M1284">
        <v>7</v>
      </c>
      <c r="N1284">
        <v>5</v>
      </c>
      <c r="O1284">
        <v>2.5</v>
      </c>
      <c r="P1284">
        <v>5.6</v>
      </c>
      <c r="Q1284" t="s">
        <v>42</v>
      </c>
      <c r="R1284" t="s">
        <v>35</v>
      </c>
      <c r="S1284">
        <v>6.1</v>
      </c>
      <c r="U1284">
        <v>5.9</v>
      </c>
      <c r="V1284">
        <v>6.9</v>
      </c>
      <c r="W1284">
        <v>2.8</v>
      </c>
      <c r="X1284">
        <v>7.2</v>
      </c>
      <c r="Y1284">
        <v>7.4</v>
      </c>
      <c r="Z1284">
        <v>3</v>
      </c>
      <c r="AA1284">
        <v>1.4</v>
      </c>
      <c r="AB1284">
        <v>0</v>
      </c>
      <c r="AC1284">
        <v>5.7</v>
      </c>
      <c r="AD1284" t="s">
        <v>45</v>
      </c>
      <c r="AE1284" t="str">
        <f>IF(AND(data[[#This Row],[Age]]&gt;=18,data[[#This Row],[Age]]&lt;=24),"18-24",IF(AND(data[[#This Row],[Age]]&gt;=25,data[[#This Row],[Age]]&lt;=34),"25-34",IF(AND(data[[#This Row],[Age]]&gt;35,data[[#This Row],[Age]]&lt;=44),"35-44",IF(data[[#This Row],[Age]]&gt;44,"45+",IF(data[[#This Row],[Age]]&lt;18,"below 18 ")))))</f>
        <v>25-34</v>
      </c>
    </row>
    <row r="1285" spans="1:31" x14ac:dyDescent="0.25">
      <c r="A1285" t="s">
        <v>1338</v>
      </c>
      <c r="B1285">
        <v>23</v>
      </c>
      <c r="C1285" t="s">
        <v>31</v>
      </c>
      <c r="D1285" t="s">
        <v>64</v>
      </c>
      <c r="E1285" t="s">
        <v>58</v>
      </c>
      <c r="F1285" t="s">
        <v>51</v>
      </c>
      <c r="G1285">
        <v>3.9</v>
      </c>
      <c r="H1285">
        <v>2</v>
      </c>
      <c r="I1285">
        <v>3</v>
      </c>
      <c r="J1285" t="s">
        <v>35</v>
      </c>
      <c r="K1285" t="s">
        <v>36</v>
      </c>
      <c r="L1285">
        <v>17</v>
      </c>
      <c r="M1285">
        <v>2.5</v>
      </c>
      <c r="N1285">
        <v>8.6999999999999993</v>
      </c>
      <c r="O1285">
        <v>0.5</v>
      </c>
      <c r="P1285">
        <v>6</v>
      </c>
      <c r="Q1285" t="s">
        <v>42</v>
      </c>
      <c r="R1285" t="s">
        <v>42</v>
      </c>
      <c r="S1285">
        <v>5.6</v>
      </c>
      <c r="T1285">
        <v>4.4000000000000004</v>
      </c>
      <c r="U1285">
        <v>4</v>
      </c>
      <c r="V1285">
        <v>5.3</v>
      </c>
      <c r="W1285">
        <v>9.8000000000000007</v>
      </c>
      <c r="X1285">
        <v>8.3000000000000007</v>
      </c>
      <c r="Y1285">
        <v>1.2</v>
      </c>
      <c r="AA1285">
        <v>3.5</v>
      </c>
      <c r="AB1285">
        <v>4</v>
      </c>
      <c r="AC1285">
        <v>8.1</v>
      </c>
      <c r="AD1285" t="s">
        <v>37</v>
      </c>
      <c r="AE1285" t="str">
        <f>IF(AND(data[[#This Row],[Age]]&gt;=18,data[[#This Row],[Age]]&lt;=24),"18-24",IF(AND(data[[#This Row],[Age]]&gt;=25,data[[#This Row],[Age]]&lt;=34),"25-34",IF(AND(data[[#This Row],[Age]]&gt;35,data[[#This Row],[Age]]&lt;=44),"35-44",IF(data[[#This Row],[Age]]&gt;44,"45+",IF(data[[#This Row],[Age]]&lt;18,"below 18 ")))))</f>
        <v>18-24</v>
      </c>
    </row>
    <row r="1286" spans="1:31" x14ac:dyDescent="0.25">
      <c r="A1286" t="s">
        <v>1339</v>
      </c>
      <c r="B1286">
        <v>17</v>
      </c>
      <c r="C1286" t="s">
        <v>31</v>
      </c>
      <c r="D1286" t="s">
        <v>32</v>
      </c>
      <c r="E1286" t="s">
        <v>58</v>
      </c>
      <c r="F1286" t="s">
        <v>51</v>
      </c>
      <c r="G1286">
        <v>3.5</v>
      </c>
      <c r="H1286">
        <v>4</v>
      </c>
      <c r="I1286">
        <v>4</v>
      </c>
      <c r="J1286" t="s">
        <v>42</v>
      </c>
      <c r="K1286" t="s">
        <v>36</v>
      </c>
      <c r="L1286">
        <v>121</v>
      </c>
      <c r="M1286">
        <v>6</v>
      </c>
      <c r="N1286">
        <v>4.7</v>
      </c>
      <c r="O1286">
        <v>3.2</v>
      </c>
      <c r="P1286">
        <v>9.1999999999999993</v>
      </c>
      <c r="Q1286" t="s">
        <v>35</v>
      </c>
      <c r="R1286" t="s">
        <v>42</v>
      </c>
      <c r="S1286">
        <v>5.4</v>
      </c>
      <c r="T1286">
        <v>3.1</v>
      </c>
      <c r="U1286">
        <v>3.7</v>
      </c>
      <c r="V1286">
        <v>5.8</v>
      </c>
      <c r="W1286">
        <v>5.3</v>
      </c>
      <c r="X1286">
        <v>10</v>
      </c>
      <c r="Y1286">
        <v>5.2</v>
      </c>
      <c r="Z1286">
        <v>8.6999999999999993</v>
      </c>
      <c r="AA1286">
        <v>4.3</v>
      </c>
      <c r="AB1286">
        <v>1.6</v>
      </c>
      <c r="AC1286">
        <v>3.7</v>
      </c>
      <c r="AD1286" t="s">
        <v>43</v>
      </c>
      <c r="AE1286" t="str">
        <f>IF(AND(data[[#This Row],[Age]]&gt;=18,data[[#This Row],[Age]]&lt;=24),"18-24",IF(AND(data[[#This Row],[Age]]&gt;=25,data[[#This Row],[Age]]&lt;=34),"25-34",IF(AND(data[[#This Row],[Age]]&gt;35,data[[#This Row],[Age]]&lt;=44),"35-44",IF(data[[#This Row],[Age]]&gt;44,"45+",IF(data[[#This Row],[Age]]&lt;18,"below 18 ")))))</f>
        <v xml:space="preserve">below 18 </v>
      </c>
    </row>
    <row r="1287" spans="1:31" x14ac:dyDescent="0.25">
      <c r="A1287" t="s">
        <v>1340</v>
      </c>
      <c r="B1287">
        <v>43</v>
      </c>
      <c r="C1287" t="s">
        <v>50</v>
      </c>
      <c r="D1287" t="s">
        <v>39</v>
      </c>
      <c r="E1287" t="s">
        <v>33</v>
      </c>
      <c r="F1287" t="s">
        <v>48</v>
      </c>
      <c r="G1287">
        <v>5.7</v>
      </c>
      <c r="H1287">
        <v>2</v>
      </c>
      <c r="I1287">
        <v>2</v>
      </c>
      <c r="J1287" t="s">
        <v>35</v>
      </c>
      <c r="K1287" t="s">
        <v>36</v>
      </c>
      <c r="L1287">
        <v>94</v>
      </c>
      <c r="M1287">
        <v>5.7</v>
      </c>
      <c r="N1287">
        <v>1.1000000000000001</v>
      </c>
      <c r="O1287">
        <v>1.5</v>
      </c>
      <c r="P1287">
        <v>3.1</v>
      </c>
      <c r="Q1287" t="s">
        <v>42</v>
      </c>
      <c r="R1287" t="s">
        <v>35</v>
      </c>
      <c r="S1287">
        <v>7.9</v>
      </c>
      <c r="T1287">
        <v>5.9</v>
      </c>
      <c r="U1287">
        <v>2.7</v>
      </c>
      <c r="V1287">
        <v>9.1999999999999993</v>
      </c>
      <c r="W1287">
        <v>3</v>
      </c>
      <c r="X1287">
        <v>5.5</v>
      </c>
      <c r="Y1287">
        <v>6</v>
      </c>
      <c r="Z1287">
        <v>7.6</v>
      </c>
      <c r="AA1287">
        <v>4.0999999999999996</v>
      </c>
      <c r="AB1287">
        <v>2.1</v>
      </c>
      <c r="AC1287">
        <v>8.9</v>
      </c>
      <c r="AD1287" t="s">
        <v>37</v>
      </c>
      <c r="AE1287" t="str">
        <f>IF(AND(data[[#This Row],[Age]]&gt;=18,data[[#This Row],[Age]]&lt;=24),"18-24",IF(AND(data[[#This Row],[Age]]&gt;=25,data[[#This Row],[Age]]&lt;=34),"25-34",IF(AND(data[[#This Row],[Age]]&gt;35,data[[#This Row],[Age]]&lt;=44),"35-44",IF(data[[#This Row],[Age]]&gt;44,"45+",IF(data[[#This Row],[Age]]&lt;18,"below 18 ")))))</f>
        <v>35-44</v>
      </c>
    </row>
    <row r="1288" spans="1:31" x14ac:dyDescent="0.25">
      <c r="A1288" t="s">
        <v>1341</v>
      </c>
      <c r="B1288">
        <v>30</v>
      </c>
      <c r="C1288" t="s">
        <v>47</v>
      </c>
      <c r="D1288" t="s">
        <v>32</v>
      </c>
      <c r="E1288" t="s">
        <v>58</v>
      </c>
      <c r="F1288" t="s">
        <v>41</v>
      </c>
      <c r="G1288">
        <v>3.1</v>
      </c>
      <c r="H1288">
        <v>4</v>
      </c>
      <c r="I1288">
        <v>5</v>
      </c>
      <c r="J1288" t="s">
        <v>35</v>
      </c>
      <c r="K1288" t="s">
        <v>52</v>
      </c>
      <c r="L1288">
        <v>81</v>
      </c>
      <c r="M1288">
        <v>5.0999999999999996</v>
      </c>
      <c r="N1288">
        <v>8.8000000000000007</v>
      </c>
      <c r="O1288">
        <v>9.1999999999999993</v>
      </c>
      <c r="P1288">
        <v>3.9</v>
      </c>
      <c r="Q1288" t="s">
        <v>42</v>
      </c>
      <c r="R1288" t="s">
        <v>35</v>
      </c>
      <c r="S1288">
        <v>5.7</v>
      </c>
      <c r="T1288">
        <v>4.8</v>
      </c>
      <c r="U1288">
        <v>5.6</v>
      </c>
      <c r="V1288">
        <v>2.7</v>
      </c>
      <c r="W1288">
        <v>5.3</v>
      </c>
      <c r="X1288">
        <v>5.7</v>
      </c>
      <c r="Y1288">
        <v>6.9</v>
      </c>
      <c r="Z1288">
        <v>5.2</v>
      </c>
      <c r="AA1288">
        <v>3.3</v>
      </c>
      <c r="AB1288">
        <v>4</v>
      </c>
      <c r="AC1288">
        <v>5.7</v>
      </c>
      <c r="AD1288" t="s">
        <v>45</v>
      </c>
      <c r="AE1288" t="str">
        <f>IF(AND(data[[#This Row],[Age]]&gt;=18,data[[#This Row],[Age]]&lt;=24),"18-24",IF(AND(data[[#This Row],[Age]]&gt;=25,data[[#This Row],[Age]]&lt;=34),"25-34",IF(AND(data[[#This Row],[Age]]&gt;35,data[[#This Row],[Age]]&lt;=44),"35-44",IF(data[[#This Row],[Age]]&gt;44,"45+",IF(data[[#This Row],[Age]]&lt;18,"below 18 ")))))</f>
        <v>25-34</v>
      </c>
    </row>
    <row r="1289" spans="1:31" x14ac:dyDescent="0.25">
      <c r="A1289" t="s">
        <v>1342</v>
      </c>
      <c r="B1289">
        <v>43</v>
      </c>
      <c r="C1289" t="s">
        <v>47</v>
      </c>
      <c r="D1289" t="s">
        <v>39</v>
      </c>
      <c r="E1289" t="s">
        <v>58</v>
      </c>
      <c r="F1289" t="s">
        <v>70</v>
      </c>
      <c r="G1289">
        <v>5.5</v>
      </c>
      <c r="H1289">
        <v>2</v>
      </c>
      <c r="I1289">
        <v>3</v>
      </c>
      <c r="J1289" t="s">
        <v>42</v>
      </c>
      <c r="K1289" t="s">
        <v>62</v>
      </c>
      <c r="L1289">
        <v>41</v>
      </c>
      <c r="M1289">
        <v>6.8</v>
      </c>
      <c r="N1289">
        <v>6.3</v>
      </c>
      <c r="O1289">
        <v>4.5999999999999996</v>
      </c>
      <c r="P1289">
        <v>7.1</v>
      </c>
      <c r="Q1289" t="s">
        <v>42</v>
      </c>
      <c r="R1289" t="s">
        <v>42</v>
      </c>
      <c r="S1289">
        <v>7</v>
      </c>
      <c r="T1289">
        <v>4.5999999999999996</v>
      </c>
      <c r="U1289">
        <v>1.2</v>
      </c>
      <c r="V1289">
        <v>4.8</v>
      </c>
      <c r="W1289">
        <v>6.9</v>
      </c>
      <c r="X1289">
        <v>5.0999999999999996</v>
      </c>
      <c r="Y1289">
        <v>4.5</v>
      </c>
      <c r="Z1289">
        <v>8.6</v>
      </c>
      <c r="AA1289">
        <v>0.8</v>
      </c>
      <c r="AC1289">
        <v>6</v>
      </c>
      <c r="AD1289" t="s">
        <v>45</v>
      </c>
      <c r="AE1289" t="str">
        <f>IF(AND(data[[#This Row],[Age]]&gt;=18,data[[#This Row],[Age]]&lt;=24),"18-24",IF(AND(data[[#This Row],[Age]]&gt;=25,data[[#This Row],[Age]]&lt;=34),"25-34",IF(AND(data[[#This Row],[Age]]&gt;35,data[[#This Row],[Age]]&lt;=44),"35-44",IF(data[[#This Row],[Age]]&gt;44,"45+",IF(data[[#This Row],[Age]]&lt;18,"below 18 ")))))</f>
        <v>35-44</v>
      </c>
    </row>
    <row r="1290" spans="1:31" x14ac:dyDescent="0.25">
      <c r="A1290" t="s">
        <v>1343</v>
      </c>
      <c r="B1290">
        <v>23</v>
      </c>
      <c r="C1290" t="s">
        <v>47</v>
      </c>
      <c r="D1290" t="s">
        <v>39</v>
      </c>
      <c r="E1290" t="s">
        <v>40</v>
      </c>
      <c r="F1290" t="s">
        <v>34</v>
      </c>
      <c r="G1290">
        <v>6.1</v>
      </c>
      <c r="H1290">
        <v>1</v>
      </c>
      <c r="I1290">
        <v>6</v>
      </c>
      <c r="J1290" t="s">
        <v>42</v>
      </c>
      <c r="K1290" t="s">
        <v>52</v>
      </c>
      <c r="L1290">
        <v>11</v>
      </c>
      <c r="M1290">
        <v>8.1</v>
      </c>
      <c r="N1290">
        <v>5.0999999999999996</v>
      </c>
      <c r="O1290">
        <v>5.5</v>
      </c>
      <c r="P1290">
        <v>4.7</v>
      </c>
      <c r="Q1290" t="s">
        <v>35</v>
      </c>
      <c r="R1290" t="s">
        <v>42</v>
      </c>
      <c r="S1290">
        <v>5.7</v>
      </c>
      <c r="T1290">
        <v>1.6</v>
      </c>
      <c r="U1290">
        <v>6.4</v>
      </c>
      <c r="V1290">
        <v>7</v>
      </c>
      <c r="W1290">
        <v>5.6</v>
      </c>
      <c r="X1290">
        <v>7.6</v>
      </c>
      <c r="Y1290">
        <v>3.8</v>
      </c>
      <c r="Z1290">
        <v>2</v>
      </c>
      <c r="AA1290">
        <v>1.9</v>
      </c>
      <c r="AB1290">
        <v>4.5999999999999996</v>
      </c>
      <c r="AC1290">
        <v>5.5</v>
      </c>
      <c r="AD1290" t="s">
        <v>45</v>
      </c>
      <c r="AE1290" t="str">
        <f>IF(AND(data[[#This Row],[Age]]&gt;=18,data[[#This Row],[Age]]&lt;=24),"18-24",IF(AND(data[[#This Row],[Age]]&gt;=25,data[[#This Row],[Age]]&lt;=34),"25-34",IF(AND(data[[#This Row],[Age]]&gt;35,data[[#This Row],[Age]]&lt;=44),"35-44",IF(data[[#This Row],[Age]]&gt;44,"45+",IF(data[[#This Row],[Age]]&lt;18,"below 18 ")))))</f>
        <v>18-24</v>
      </c>
    </row>
    <row r="1291" spans="1:31" x14ac:dyDescent="0.25">
      <c r="A1291" t="s">
        <v>1344</v>
      </c>
      <c r="B1291">
        <v>41</v>
      </c>
      <c r="C1291" t="s">
        <v>31</v>
      </c>
      <c r="D1291" t="s">
        <v>64</v>
      </c>
      <c r="E1291" t="s">
        <v>58</v>
      </c>
      <c r="F1291" t="s">
        <v>48</v>
      </c>
      <c r="G1291">
        <v>3.2</v>
      </c>
      <c r="H1291">
        <v>2</v>
      </c>
      <c r="I1291">
        <v>1</v>
      </c>
      <c r="J1291" t="s">
        <v>35</v>
      </c>
      <c r="K1291" t="s">
        <v>52</v>
      </c>
      <c r="L1291">
        <v>52</v>
      </c>
      <c r="M1291">
        <v>5</v>
      </c>
      <c r="N1291">
        <v>4.5</v>
      </c>
      <c r="O1291">
        <v>6.2</v>
      </c>
      <c r="P1291">
        <v>4.5</v>
      </c>
      <c r="Q1291" t="s">
        <v>42</v>
      </c>
      <c r="R1291" t="s">
        <v>42</v>
      </c>
      <c r="T1291">
        <v>9.6</v>
      </c>
      <c r="U1291">
        <v>2.9</v>
      </c>
      <c r="V1291">
        <v>7.2</v>
      </c>
      <c r="W1291">
        <v>5.0999999999999996</v>
      </c>
      <c r="X1291">
        <v>5.4</v>
      </c>
      <c r="Y1291">
        <v>1.9</v>
      </c>
      <c r="Z1291">
        <v>7.5</v>
      </c>
      <c r="AA1291">
        <v>1.5</v>
      </c>
      <c r="AB1291">
        <v>0.2</v>
      </c>
      <c r="AC1291">
        <v>7.7</v>
      </c>
      <c r="AD1291" t="s">
        <v>37</v>
      </c>
      <c r="AE1291" t="str">
        <f>IF(AND(data[[#This Row],[Age]]&gt;=18,data[[#This Row],[Age]]&lt;=24),"18-24",IF(AND(data[[#This Row],[Age]]&gt;=25,data[[#This Row],[Age]]&lt;=34),"25-34",IF(AND(data[[#This Row],[Age]]&gt;35,data[[#This Row],[Age]]&lt;=44),"35-44",IF(data[[#This Row],[Age]]&gt;44,"45+",IF(data[[#This Row],[Age]]&lt;18,"below 18 ")))))</f>
        <v>35-44</v>
      </c>
    </row>
    <row r="1292" spans="1:31" x14ac:dyDescent="0.25">
      <c r="A1292" t="s">
        <v>1345</v>
      </c>
      <c r="B1292">
        <v>18</v>
      </c>
      <c r="C1292" t="s">
        <v>47</v>
      </c>
      <c r="D1292" t="s">
        <v>57</v>
      </c>
      <c r="E1292" t="s">
        <v>58</v>
      </c>
      <c r="F1292" t="s">
        <v>59</v>
      </c>
      <c r="G1292">
        <v>3.8</v>
      </c>
      <c r="H1292">
        <v>4</v>
      </c>
      <c r="I1292">
        <v>7</v>
      </c>
      <c r="J1292" t="s">
        <v>42</v>
      </c>
      <c r="K1292" t="s">
        <v>52</v>
      </c>
      <c r="L1292">
        <v>33</v>
      </c>
      <c r="M1292">
        <v>10</v>
      </c>
      <c r="N1292">
        <v>8.3000000000000007</v>
      </c>
      <c r="O1292">
        <v>8.9</v>
      </c>
      <c r="P1292">
        <v>9.3000000000000007</v>
      </c>
      <c r="Q1292" t="s">
        <v>35</v>
      </c>
      <c r="R1292" t="s">
        <v>35</v>
      </c>
      <c r="S1292">
        <v>3.1</v>
      </c>
      <c r="T1292">
        <v>1.1000000000000001</v>
      </c>
      <c r="U1292">
        <v>4.8</v>
      </c>
      <c r="V1292">
        <v>5.5</v>
      </c>
      <c r="W1292">
        <v>3.3</v>
      </c>
      <c r="X1292">
        <v>8.6</v>
      </c>
      <c r="Y1292">
        <v>2.6</v>
      </c>
      <c r="Z1292">
        <v>6.7</v>
      </c>
      <c r="AA1292">
        <v>5.5</v>
      </c>
      <c r="AB1292">
        <v>1.9</v>
      </c>
      <c r="AC1292">
        <v>5.4</v>
      </c>
      <c r="AD1292" t="s">
        <v>43</v>
      </c>
      <c r="AE1292" t="str">
        <f>IF(AND(data[[#This Row],[Age]]&gt;=18,data[[#This Row],[Age]]&lt;=24),"18-24",IF(AND(data[[#This Row],[Age]]&gt;=25,data[[#This Row],[Age]]&lt;=34),"25-34",IF(AND(data[[#This Row],[Age]]&gt;35,data[[#This Row],[Age]]&lt;=44),"35-44",IF(data[[#This Row],[Age]]&gt;44,"45+",IF(data[[#This Row],[Age]]&lt;18,"below 18 ")))))</f>
        <v>18-24</v>
      </c>
    </row>
    <row r="1293" spans="1:31" x14ac:dyDescent="0.25">
      <c r="A1293" t="s">
        <v>1346</v>
      </c>
      <c r="B1293">
        <v>44</v>
      </c>
      <c r="C1293" t="s">
        <v>31</v>
      </c>
      <c r="D1293" t="s">
        <v>32</v>
      </c>
      <c r="E1293" t="s">
        <v>33</v>
      </c>
      <c r="F1293" t="s">
        <v>51</v>
      </c>
      <c r="G1293">
        <v>5.6</v>
      </c>
      <c r="H1293">
        <v>4</v>
      </c>
      <c r="I1293">
        <v>3</v>
      </c>
      <c r="J1293" t="s">
        <v>42</v>
      </c>
      <c r="K1293" t="s">
        <v>52</v>
      </c>
      <c r="L1293">
        <v>62</v>
      </c>
      <c r="M1293">
        <v>4.5</v>
      </c>
      <c r="N1293">
        <v>7.5</v>
      </c>
      <c r="O1293">
        <v>6.1</v>
      </c>
      <c r="P1293">
        <v>4.5</v>
      </c>
      <c r="Q1293" t="s">
        <v>35</v>
      </c>
      <c r="R1293" t="s">
        <v>35</v>
      </c>
      <c r="S1293">
        <v>4.7</v>
      </c>
      <c r="T1293">
        <v>2.4</v>
      </c>
      <c r="V1293">
        <v>0.4</v>
      </c>
      <c r="W1293">
        <v>7.5</v>
      </c>
      <c r="X1293">
        <v>5.5</v>
      </c>
      <c r="Y1293">
        <v>5.8</v>
      </c>
      <c r="Z1293">
        <v>5.4</v>
      </c>
      <c r="AA1293">
        <v>1.1000000000000001</v>
      </c>
      <c r="AB1293">
        <v>5</v>
      </c>
      <c r="AC1293">
        <v>5.7</v>
      </c>
      <c r="AD1293" t="s">
        <v>43</v>
      </c>
      <c r="AE1293" t="str">
        <f>IF(AND(data[[#This Row],[Age]]&gt;=18,data[[#This Row],[Age]]&lt;=24),"18-24",IF(AND(data[[#This Row],[Age]]&gt;=25,data[[#This Row],[Age]]&lt;=34),"25-34",IF(AND(data[[#This Row],[Age]]&gt;35,data[[#This Row],[Age]]&lt;=44),"35-44",IF(data[[#This Row],[Age]]&gt;44,"45+",IF(data[[#This Row],[Age]]&lt;18,"below 18 ")))))</f>
        <v>35-44</v>
      </c>
    </row>
    <row r="1294" spans="1:31" x14ac:dyDescent="0.25">
      <c r="A1294" t="s">
        <v>1347</v>
      </c>
      <c r="B1294">
        <v>40</v>
      </c>
      <c r="D1294" t="s">
        <v>39</v>
      </c>
      <c r="E1294" t="s">
        <v>58</v>
      </c>
      <c r="F1294" t="s">
        <v>59</v>
      </c>
      <c r="G1294">
        <v>4.4000000000000004</v>
      </c>
      <c r="H1294">
        <v>1</v>
      </c>
      <c r="I1294">
        <v>2</v>
      </c>
      <c r="J1294" t="s">
        <v>42</v>
      </c>
      <c r="K1294" t="s">
        <v>52</v>
      </c>
      <c r="L1294">
        <v>44</v>
      </c>
      <c r="M1294">
        <v>6.7</v>
      </c>
      <c r="N1294">
        <v>9.6</v>
      </c>
      <c r="O1294">
        <v>4.2</v>
      </c>
      <c r="P1294">
        <v>8.6999999999999993</v>
      </c>
      <c r="Q1294" t="s">
        <v>42</v>
      </c>
      <c r="R1294" t="s">
        <v>42</v>
      </c>
      <c r="S1294">
        <v>9.1999999999999993</v>
      </c>
      <c r="T1294">
        <v>6.6</v>
      </c>
      <c r="U1294">
        <v>4.5</v>
      </c>
      <c r="V1294">
        <v>7.6</v>
      </c>
      <c r="W1294">
        <v>0.9</v>
      </c>
      <c r="X1294">
        <v>7.2</v>
      </c>
      <c r="Y1294">
        <v>4.7</v>
      </c>
      <c r="Z1294">
        <v>4.2</v>
      </c>
      <c r="AB1294">
        <v>1.6</v>
      </c>
      <c r="AC1294">
        <v>4.2</v>
      </c>
      <c r="AD1294" t="s">
        <v>43</v>
      </c>
      <c r="AE1294" t="str">
        <f>IF(AND(data[[#This Row],[Age]]&gt;=18,data[[#This Row],[Age]]&lt;=24),"18-24",IF(AND(data[[#This Row],[Age]]&gt;=25,data[[#This Row],[Age]]&lt;=34),"25-34",IF(AND(data[[#This Row],[Age]]&gt;35,data[[#This Row],[Age]]&lt;=44),"35-44",IF(data[[#This Row],[Age]]&gt;44,"45+",IF(data[[#This Row],[Age]]&lt;18,"below 18 ")))))</f>
        <v>35-44</v>
      </c>
    </row>
    <row r="1295" spans="1:31" x14ac:dyDescent="0.25">
      <c r="A1295" t="s">
        <v>1348</v>
      </c>
      <c r="B1295">
        <v>43</v>
      </c>
      <c r="C1295" t="s">
        <v>31</v>
      </c>
      <c r="D1295" t="s">
        <v>39</v>
      </c>
      <c r="E1295" t="s">
        <v>33</v>
      </c>
      <c r="F1295" t="s">
        <v>59</v>
      </c>
      <c r="G1295">
        <v>5.9</v>
      </c>
      <c r="H1295">
        <v>3</v>
      </c>
      <c r="I1295">
        <v>7</v>
      </c>
      <c r="J1295" t="s">
        <v>35</v>
      </c>
      <c r="K1295" t="s">
        <v>52</v>
      </c>
      <c r="L1295">
        <v>23</v>
      </c>
      <c r="M1295">
        <v>4.8</v>
      </c>
      <c r="N1295">
        <v>5.5</v>
      </c>
      <c r="O1295">
        <v>5.3</v>
      </c>
      <c r="P1295">
        <v>5.5</v>
      </c>
      <c r="Q1295" t="s">
        <v>42</v>
      </c>
      <c r="R1295" t="s">
        <v>35</v>
      </c>
      <c r="S1295">
        <v>8.8000000000000007</v>
      </c>
      <c r="T1295">
        <v>7.5</v>
      </c>
      <c r="U1295">
        <v>6.6</v>
      </c>
      <c r="V1295">
        <v>3.3</v>
      </c>
      <c r="W1295">
        <v>9.9</v>
      </c>
      <c r="X1295">
        <v>10</v>
      </c>
      <c r="Y1295">
        <v>2.7</v>
      </c>
      <c r="Z1295">
        <v>5.6</v>
      </c>
      <c r="AA1295">
        <v>2.2000000000000002</v>
      </c>
      <c r="AB1295">
        <v>3</v>
      </c>
      <c r="AC1295">
        <v>8.3000000000000007</v>
      </c>
      <c r="AD1295" t="s">
        <v>37</v>
      </c>
      <c r="AE1295" t="str">
        <f>IF(AND(data[[#This Row],[Age]]&gt;=18,data[[#This Row],[Age]]&lt;=24),"18-24",IF(AND(data[[#This Row],[Age]]&gt;=25,data[[#This Row],[Age]]&lt;=34),"25-34",IF(AND(data[[#This Row],[Age]]&gt;35,data[[#This Row],[Age]]&lt;=44),"35-44",IF(data[[#This Row],[Age]]&gt;44,"45+",IF(data[[#This Row],[Age]]&lt;18,"below 18 ")))))</f>
        <v>35-44</v>
      </c>
    </row>
    <row r="1296" spans="1:31" x14ac:dyDescent="0.25">
      <c r="A1296" t="s">
        <v>1349</v>
      </c>
      <c r="B1296">
        <v>17</v>
      </c>
      <c r="C1296" t="s">
        <v>31</v>
      </c>
      <c r="D1296" t="s">
        <v>57</v>
      </c>
      <c r="E1296" t="s">
        <v>33</v>
      </c>
      <c r="F1296" t="s">
        <v>41</v>
      </c>
      <c r="G1296">
        <v>4.3</v>
      </c>
      <c r="H1296">
        <v>3</v>
      </c>
      <c r="I1296">
        <v>7</v>
      </c>
      <c r="J1296" t="s">
        <v>35</v>
      </c>
      <c r="K1296" t="s">
        <v>62</v>
      </c>
      <c r="L1296">
        <v>77</v>
      </c>
      <c r="M1296">
        <v>4.2</v>
      </c>
      <c r="N1296">
        <v>7.4</v>
      </c>
      <c r="O1296">
        <v>6.1</v>
      </c>
      <c r="P1296">
        <v>4.3</v>
      </c>
      <c r="Q1296" t="s">
        <v>42</v>
      </c>
      <c r="R1296" t="s">
        <v>42</v>
      </c>
      <c r="S1296">
        <v>8.1</v>
      </c>
      <c r="T1296">
        <v>8.4</v>
      </c>
      <c r="U1296">
        <v>4.3</v>
      </c>
      <c r="V1296">
        <v>4.8</v>
      </c>
      <c r="W1296">
        <v>7.7</v>
      </c>
      <c r="X1296">
        <v>5.7</v>
      </c>
      <c r="Y1296">
        <v>3</v>
      </c>
      <c r="Z1296">
        <v>10</v>
      </c>
      <c r="AA1296">
        <v>0.8</v>
      </c>
      <c r="AB1296">
        <v>3.4</v>
      </c>
      <c r="AC1296">
        <v>7.9</v>
      </c>
      <c r="AD1296" t="s">
        <v>37</v>
      </c>
      <c r="AE1296" t="str">
        <f>IF(AND(data[[#This Row],[Age]]&gt;=18,data[[#This Row],[Age]]&lt;=24),"18-24",IF(AND(data[[#This Row],[Age]]&gt;=25,data[[#This Row],[Age]]&lt;=34),"25-34",IF(AND(data[[#This Row],[Age]]&gt;35,data[[#This Row],[Age]]&lt;=44),"35-44",IF(data[[#This Row],[Age]]&gt;44,"45+",IF(data[[#This Row],[Age]]&lt;18,"below 18 ")))))</f>
        <v xml:space="preserve">below 18 </v>
      </c>
    </row>
    <row r="1297" spans="1:31" x14ac:dyDescent="0.25">
      <c r="A1297" t="s">
        <v>1350</v>
      </c>
      <c r="B1297">
        <v>16</v>
      </c>
      <c r="C1297" t="s">
        <v>31</v>
      </c>
      <c r="D1297" t="s">
        <v>39</v>
      </c>
      <c r="E1297" t="s">
        <v>33</v>
      </c>
      <c r="F1297" t="s">
        <v>51</v>
      </c>
      <c r="G1297">
        <v>3.7</v>
      </c>
      <c r="H1297">
        <v>1</v>
      </c>
      <c r="I1297">
        <v>6</v>
      </c>
      <c r="J1297" t="s">
        <v>35</v>
      </c>
      <c r="K1297" t="s">
        <v>62</v>
      </c>
      <c r="L1297">
        <v>109</v>
      </c>
      <c r="M1297">
        <v>4.7</v>
      </c>
      <c r="N1297">
        <v>2.1</v>
      </c>
      <c r="O1297">
        <v>3.7</v>
      </c>
      <c r="P1297">
        <v>7</v>
      </c>
      <c r="Q1297" t="s">
        <v>42</v>
      </c>
      <c r="R1297" t="s">
        <v>35</v>
      </c>
      <c r="S1297">
        <v>2.1</v>
      </c>
      <c r="T1297">
        <v>3.6</v>
      </c>
      <c r="U1297">
        <v>4</v>
      </c>
      <c r="V1297">
        <v>6.3</v>
      </c>
      <c r="W1297">
        <v>4.0999999999999996</v>
      </c>
      <c r="X1297">
        <v>8.6</v>
      </c>
      <c r="Y1297">
        <v>5.0999999999999996</v>
      </c>
      <c r="Z1297">
        <v>2</v>
      </c>
      <c r="AA1297">
        <v>3</v>
      </c>
      <c r="AB1297">
        <v>4.2</v>
      </c>
      <c r="AC1297">
        <v>8.4</v>
      </c>
      <c r="AD1297" t="s">
        <v>37</v>
      </c>
      <c r="AE1297" t="str">
        <f>IF(AND(data[[#This Row],[Age]]&gt;=18,data[[#This Row],[Age]]&lt;=24),"18-24",IF(AND(data[[#This Row],[Age]]&gt;=25,data[[#This Row],[Age]]&lt;=34),"25-34",IF(AND(data[[#This Row],[Age]]&gt;35,data[[#This Row],[Age]]&lt;=44),"35-44",IF(data[[#This Row],[Age]]&gt;44,"45+",IF(data[[#This Row],[Age]]&lt;18,"below 18 ")))))</f>
        <v xml:space="preserve">below 18 </v>
      </c>
    </row>
    <row r="1298" spans="1:31" x14ac:dyDescent="0.25">
      <c r="A1298" t="s">
        <v>1351</v>
      </c>
      <c r="B1298">
        <v>24</v>
      </c>
      <c r="C1298" t="s">
        <v>47</v>
      </c>
      <c r="D1298" t="s">
        <v>32</v>
      </c>
      <c r="E1298" t="s">
        <v>33</v>
      </c>
      <c r="F1298" t="s">
        <v>48</v>
      </c>
      <c r="G1298">
        <v>4</v>
      </c>
      <c r="H1298">
        <v>6</v>
      </c>
      <c r="I1298">
        <v>7</v>
      </c>
      <c r="J1298" t="s">
        <v>42</v>
      </c>
      <c r="K1298" t="s">
        <v>36</v>
      </c>
      <c r="L1298">
        <v>55</v>
      </c>
      <c r="M1298">
        <v>8.3000000000000007</v>
      </c>
      <c r="N1298">
        <v>3.7</v>
      </c>
      <c r="O1298">
        <v>1.5</v>
      </c>
      <c r="P1298">
        <v>6</v>
      </c>
      <c r="Q1298" t="s">
        <v>35</v>
      </c>
      <c r="R1298" t="s">
        <v>35</v>
      </c>
      <c r="S1298">
        <v>3.3</v>
      </c>
      <c r="T1298">
        <v>2.1</v>
      </c>
      <c r="W1298">
        <v>5.6</v>
      </c>
      <c r="X1298">
        <v>5.2</v>
      </c>
      <c r="Y1298">
        <v>4.5999999999999996</v>
      </c>
      <c r="Z1298">
        <v>5.0999999999999996</v>
      </c>
      <c r="AA1298">
        <v>3.8</v>
      </c>
      <c r="AB1298">
        <v>3</v>
      </c>
      <c r="AC1298">
        <v>6.7</v>
      </c>
      <c r="AD1298" t="s">
        <v>53</v>
      </c>
      <c r="AE1298" t="str">
        <f>IF(AND(data[[#This Row],[Age]]&gt;=18,data[[#This Row],[Age]]&lt;=24),"18-24",IF(AND(data[[#This Row],[Age]]&gt;=25,data[[#This Row],[Age]]&lt;=34),"25-34",IF(AND(data[[#This Row],[Age]]&gt;35,data[[#This Row],[Age]]&lt;=44),"35-44",IF(data[[#This Row],[Age]]&gt;44,"45+",IF(data[[#This Row],[Age]]&lt;18,"below 18 ")))))</f>
        <v>18-24</v>
      </c>
    </row>
    <row r="1299" spans="1:31" x14ac:dyDescent="0.25">
      <c r="A1299" t="s">
        <v>1352</v>
      </c>
      <c r="B1299">
        <v>26</v>
      </c>
      <c r="C1299" t="s">
        <v>47</v>
      </c>
      <c r="D1299" t="s">
        <v>64</v>
      </c>
      <c r="E1299" t="s">
        <v>58</v>
      </c>
      <c r="F1299" t="s">
        <v>59</v>
      </c>
      <c r="G1299">
        <v>5.2</v>
      </c>
      <c r="H1299">
        <v>2</v>
      </c>
      <c r="I1299">
        <v>5</v>
      </c>
      <c r="J1299" t="s">
        <v>42</v>
      </c>
      <c r="K1299" t="s">
        <v>36</v>
      </c>
      <c r="L1299">
        <v>75</v>
      </c>
      <c r="M1299">
        <v>1</v>
      </c>
      <c r="N1299">
        <v>4.8</v>
      </c>
      <c r="O1299">
        <v>8.8000000000000007</v>
      </c>
      <c r="P1299">
        <v>2.4</v>
      </c>
      <c r="Q1299" t="s">
        <v>42</v>
      </c>
      <c r="R1299" t="s">
        <v>35</v>
      </c>
      <c r="S1299">
        <v>4.8</v>
      </c>
      <c r="T1299">
        <v>2.5</v>
      </c>
      <c r="U1299">
        <v>5.2</v>
      </c>
      <c r="V1299">
        <v>3.9</v>
      </c>
      <c r="W1299">
        <v>6.6</v>
      </c>
      <c r="X1299">
        <v>7.8</v>
      </c>
      <c r="Y1299">
        <v>4.2</v>
      </c>
      <c r="Z1299">
        <v>1.5</v>
      </c>
      <c r="AA1299">
        <v>3</v>
      </c>
      <c r="AB1299">
        <v>2.6</v>
      </c>
      <c r="AC1299">
        <v>6.5</v>
      </c>
      <c r="AD1299" t="s">
        <v>53</v>
      </c>
      <c r="AE1299" t="str">
        <f>IF(AND(data[[#This Row],[Age]]&gt;=18,data[[#This Row],[Age]]&lt;=24),"18-24",IF(AND(data[[#This Row],[Age]]&gt;=25,data[[#This Row],[Age]]&lt;=34),"25-34",IF(AND(data[[#This Row],[Age]]&gt;35,data[[#This Row],[Age]]&lt;=44),"35-44",IF(data[[#This Row],[Age]]&gt;44,"45+",IF(data[[#This Row],[Age]]&lt;18,"below 18 ")))))</f>
        <v>25-34</v>
      </c>
    </row>
    <row r="1300" spans="1:31" x14ac:dyDescent="0.25">
      <c r="A1300" t="s">
        <v>1353</v>
      </c>
      <c r="B1300">
        <v>37</v>
      </c>
      <c r="C1300" t="s">
        <v>47</v>
      </c>
      <c r="D1300" t="s">
        <v>32</v>
      </c>
      <c r="E1300" t="s">
        <v>33</v>
      </c>
      <c r="F1300" t="s">
        <v>34</v>
      </c>
      <c r="G1300">
        <v>7</v>
      </c>
      <c r="H1300">
        <v>4</v>
      </c>
      <c r="I1300">
        <v>1</v>
      </c>
      <c r="J1300" t="s">
        <v>35</v>
      </c>
      <c r="K1300" t="s">
        <v>36</v>
      </c>
      <c r="L1300">
        <v>126</v>
      </c>
      <c r="N1300">
        <v>5.4</v>
      </c>
      <c r="O1300">
        <v>2.7</v>
      </c>
      <c r="P1300">
        <v>5.9</v>
      </c>
      <c r="Q1300" t="s">
        <v>35</v>
      </c>
      <c r="R1300" t="s">
        <v>42</v>
      </c>
      <c r="S1300">
        <v>4.9000000000000004</v>
      </c>
      <c r="T1300">
        <v>0</v>
      </c>
      <c r="U1300">
        <v>7.1</v>
      </c>
      <c r="V1300">
        <v>4.8</v>
      </c>
      <c r="W1300">
        <v>3</v>
      </c>
      <c r="X1300">
        <v>7.2</v>
      </c>
      <c r="Y1300">
        <v>5.8</v>
      </c>
      <c r="Z1300">
        <v>3</v>
      </c>
      <c r="AA1300">
        <v>4.2</v>
      </c>
      <c r="AB1300">
        <v>5.6</v>
      </c>
      <c r="AC1300">
        <v>4.8</v>
      </c>
      <c r="AD1300" t="s">
        <v>43</v>
      </c>
      <c r="AE1300" t="str">
        <f>IF(AND(data[[#This Row],[Age]]&gt;=18,data[[#This Row],[Age]]&lt;=24),"18-24",IF(AND(data[[#This Row],[Age]]&gt;=25,data[[#This Row],[Age]]&lt;=34),"25-34",IF(AND(data[[#This Row],[Age]]&gt;35,data[[#This Row],[Age]]&lt;=44),"35-44",IF(data[[#This Row],[Age]]&gt;44,"45+",IF(data[[#This Row],[Age]]&lt;18,"below 18 ")))))</f>
        <v>35-44</v>
      </c>
    </row>
    <row r="1301" spans="1:31" x14ac:dyDescent="0.25">
      <c r="A1301" t="s">
        <v>1354</v>
      </c>
      <c r="B1301">
        <v>40</v>
      </c>
      <c r="C1301" t="s">
        <v>31</v>
      </c>
      <c r="D1301" t="s">
        <v>57</v>
      </c>
      <c r="E1301" t="s">
        <v>58</v>
      </c>
      <c r="F1301" t="s">
        <v>41</v>
      </c>
      <c r="G1301">
        <v>0.8</v>
      </c>
      <c r="H1301">
        <v>2</v>
      </c>
      <c r="I1301">
        <v>7</v>
      </c>
      <c r="J1301" t="s">
        <v>42</v>
      </c>
      <c r="K1301" t="s">
        <v>52</v>
      </c>
      <c r="L1301">
        <v>65</v>
      </c>
      <c r="M1301">
        <v>4.3</v>
      </c>
      <c r="N1301">
        <v>4.2</v>
      </c>
      <c r="O1301">
        <v>1.6</v>
      </c>
      <c r="P1301">
        <v>5</v>
      </c>
      <c r="Q1301" t="s">
        <v>42</v>
      </c>
      <c r="R1301" t="s">
        <v>42</v>
      </c>
      <c r="S1301">
        <v>4.5</v>
      </c>
      <c r="T1301">
        <v>0</v>
      </c>
      <c r="U1301">
        <v>5</v>
      </c>
      <c r="V1301">
        <v>8.5</v>
      </c>
      <c r="W1301">
        <v>8.6</v>
      </c>
      <c r="X1301">
        <v>5.3</v>
      </c>
      <c r="Y1301">
        <v>5.8</v>
      </c>
      <c r="Z1301">
        <v>2.8</v>
      </c>
      <c r="AA1301">
        <v>1.3</v>
      </c>
      <c r="AB1301">
        <v>4.4000000000000004</v>
      </c>
      <c r="AC1301">
        <v>7.9</v>
      </c>
      <c r="AD1301" t="s">
        <v>37</v>
      </c>
      <c r="AE1301" t="str">
        <f>IF(AND(data[[#This Row],[Age]]&gt;=18,data[[#This Row],[Age]]&lt;=24),"18-24",IF(AND(data[[#This Row],[Age]]&gt;=25,data[[#This Row],[Age]]&lt;=34),"25-34",IF(AND(data[[#This Row],[Age]]&gt;35,data[[#This Row],[Age]]&lt;=44),"35-44",IF(data[[#This Row],[Age]]&gt;44,"45+",IF(data[[#This Row],[Age]]&lt;18,"below 18 ")))))</f>
        <v>35-44</v>
      </c>
    </row>
    <row r="1302" spans="1:31" x14ac:dyDescent="0.25">
      <c r="A1302" t="s">
        <v>1355</v>
      </c>
      <c r="B1302">
        <v>35</v>
      </c>
      <c r="C1302" t="s">
        <v>31</v>
      </c>
      <c r="D1302" t="s">
        <v>39</v>
      </c>
      <c r="E1302" t="s">
        <v>33</v>
      </c>
      <c r="F1302" t="s">
        <v>41</v>
      </c>
      <c r="G1302">
        <v>3.4</v>
      </c>
      <c r="H1302">
        <v>2</v>
      </c>
      <c r="I1302">
        <v>7</v>
      </c>
      <c r="J1302" t="s">
        <v>42</v>
      </c>
      <c r="K1302" t="s">
        <v>36</v>
      </c>
      <c r="L1302">
        <v>77</v>
      </c>
      <c r="M1302">
        <v>7.2</v>
      </c>
      <c r="N1302">
        <v>5.7</v>
      </c>
      <c r="O1302">
        <v>6.8</v>
      </c>
      <c r="P1302">
        <v>9.3000000000000007</v>
      </c>
      <c r="Q1302" t="s">
        <v>35</v>
      </c>
      <c r="R1302" t="s">
        <v>35</v>
      </c>
      <c r="S1302">
        <v>1.5</v>
      </c>
      <c r="T1302">
        <v>4.0999999999999996</v>
      </c>
      <c r="U1302">
        <v>7.4</v>
      </c>
      <c r="V1302">
        <v>6.7</v>
      </c>
      <c r="W1302">
        <v>5.5</v>
      </c>
      <c r="X1302">
        <v>4.5</v>
      </c>
      <c r="Y1302">
        <v>6.4</v>
      </c>
      <c r="Z1302">
        <v>5</v>
      </c>
      <c r="AA1302">
        <v>0.7</v>
      </c>
      <c r="AB1302">
        <v>1.4</v>
      </c>
      <c r="AC1302">
        <v>4.0999999999999996</v>
      </c>
      <c r="AD1302" t="s">
        <v>43</v>
      </c>
      <c r="AE1302" t="b">
        <f>IF(AND(data[[#This Row],[Age]]&gt;=18,data[[#This Row],[Age]]&lt;=24),"18-24",IF(AND(data[[#This Row],[Age]]&gt;=25,data[[#This Row],[Age]]&lt;=34),"25-34",IF(AND(data[[#This Row],[Age]]&gt;35,data[[#This Row],[Age]]&lt;=44),"35-44",IF(data[[#This Row],[Age]]&gt;44,"45+",IF(data[[#This Row],[Age]]&lt;18,"below 18 ")))))</f>
        <v>0</v>
      </c>
    </row>
    <row r="1303" spans="1:31" x14ac:dyDescent="0.25">
      <c r="A1303" t="s">
        <v>1356</v>
      </c>
      <c r="B1303">
        <v>24</v>
      </c>
      <c r="C1303" t="s">
        <v>47</v>
      </c>
      <c r="D1303" t="s">
        <v>32</v>
      </c>
      <c r="E1303" t="s">
        <v>33</v>
      </c>
      <c r="F1303" t="s">
        <v>70</v>
      </c>
      <c r="G1303">
        <v>3.6</v>
      </c>
      <c r="H1303">
        <v>3</v>
      </c>
      <c r="I1303">
        <v>2</v>
      </c>
      <c r="J1303" t="s">
        <v>35</v>
      </c>
      <c r="K1303" t="s">
        <v>52</v>
      </c>
      <c r="L1303">
        <v>58</v>
      </c>
      <c r="M1303">
        <v>5.3</v>
      </c>
      <c r="N1303">
        <v>5</v>
      </c>
      <c r="O1303">
        <v>4.9000000000000004</v>
      </c>
      <c r="P1303">
        <v>5.8</v>
      </c>
      <c r="Q1303" t="s">
        <v>35</v>
      </c>
      <c r="R1303" t="s">
        <v>42</v>
      </c>
      <c r="S1303">
        <v>4.3</v>
      </c>
      <c r="T1303">
        <v>10</v>
      </c>
      <c r="V1303">
        <v>5.8</v>
      </c>
      <c r="W1303">
        <v>6</v>
      </c>
      <c r="X1303">
        <v>7.8</v>
      </c>
      <c r="Y1303">
        <v>7.5</v>
      </c>
      <c r="Z1303">
        <v>3.6</v>
      </c>
      <c r="AA1303">
        <v>3</v>
      </c>
      <c r="AB1303">
        <v>2.2000000000000002</v>
      </c>
      <c r="AC1303">
        <v>6.3</v>
      </c>
      <c r="AD1303" t="s">
        <v>53</v>
      </c>
      <c r="AE1303" t="str">
        <f>IF(AND(data[[#This Row],[Age]]&gt;=18,data[[#This Row],[Age]]&lt;=24),"18-24",IF(AND(data[[#This Row],[Age]]&gt;=25,data[[#This Row],[Age]]&lt;=34),"25-34",IF(AND(data[[#This Row],[Age]]&gt;35,data[[#This Row],[Age]]&lt;=44),"35-44",IF(data[[#This Row],[Age]]&gt;44,"45+",IF(data[[#This Row],[Age]]&lt;18,"below 18 ")))))</f>
        <v>18-24</v>
      </c>
    </row>
    <row r="1304" spans="1:31" x14ac:dyDescent="0.25">
      <c r="A1304" t="s">
        <v>1357</v>
      </c>
      <c r="B1304">
        <v>37</v>
      </c>
      <c r="C1304" t="s">
        <v>31</v>
      </c>
      <c r="D1304" t="s">
        <v>39</v>
      </c>
      <c r="E1304" t="s">
        <v>58</v>
      </c>
      <c r="F1304" t="s">
        <v>59</v>
      </c>
      <c r="G1304">
        <v>2.7</v>
      </c>
      <c r="H1304">
        <v>3</v>
      </c>
      <c r="I1304">
        <v>5</v>
      </c>
      <c r="J1304" t="s">
        <v>35</v>
      </c>
      <c r="K1304" t="s">
        <v>52</v>
      </c>
      <c r="L1304">
        <v>40</v>
      </c>
      <c r="M1304">
        <v>2.7</v>
      </c>
      <c r="N1304">
        <v>3.6</v>
      </c>
      <c r="O1304">
        <v>7.1</v>
      </c>
      <c r="P1304">
        <v>3.5</v>
      </c>
      <c r="Q1304" t="s">
        <v>35</v>
      </c>
      <c r="R1304" t="s">
        <v>35</v>
      </c>
      <c r="S1304">
        <v>6.5</v>
      </c>
      <c r="T1304">
        <v>3.7</v>
      </c>
      <c r="U1304">
        <v>1.9</v>
      </c>
      <c r="V1304">
        <v>5.9</v>
      </c>
      <c r="W1304">
        <v>2.9</v>
      </c>
      <c r="X1304">
        <v>5</v>
      </c>
      <c r="Y1304">
        <v>4</v>
      </c>
      <c r="Z1304">
        <v>6.9</v>
      </c>
      <c r="AA1304">
        <v>0</v>
      </c>
      <c r="AB1304">
        <v>5.6</v>
      </c>
      <c r="AC1304">
        <v>9.5</v>
      </c>
      <c r="AD1304" t="s">
        <v>37</v>
      </c>
      <c r="AE1304" t="str">
        <f>IF(AND(data[[#This Row],[Age]]&gt;=18,data[[#This Row],[Age]]&lt;=24),"18-24",IF(AND(data[[#This Row],[Age]]&gt;=25,data[[#This Row],[Age]]&lt;=34),"25-34",IF(AND(data[[#This Row],[Age]]&gt;35,data[[#This Row],[Age]]&lt;=44),"35-44",IF(data[[#This Row],[Age]]&gt;44,"45+",IF(data[[#This Row],[Age]]&lt;18,"below 18 ")))))</f>
        <v>35-44</v>
      </c>
    </row>
    <row r="1305" spans="1:31" x14ac:dyDescent="0.25">
      <c r="A1305" t="s">
        <v>1358</v>
      </c>
      <c r="B1305">
        <v>26</v>
      </c>
      <c r="C1305" t="s">
        <v>47</v>
      </c>
      <c r="E1305" t="s">
        <v>58</v>
      </c>
      <c r="F1305" t="s">
        <v>48</v>
      </c>
      <c r="G1305">
        <v>3.4</v>
      </c>
      <c r="H1305">
        <v>2</v>
      </c>
      <c r="I1305">
        <v>2</v>
      </c>
      <c r="J1305" t="s">
        <v>35</v>
      </c>
      <c r="K1305" t="s">
        <v>52</v>
      </c>
      <c r="L1305">
        <v>91</v>
      </c>
      <c r="M1305">
        <v>3.4</v>
      </c>
      <c r="N1305">
        <v>5.6</v>
      </c>
      <c r="O1305">
        <v>3</v>
      </c>
      <c r="P1305">
        <v>5.6</v>
      </c>
      <c r="Q1305" t="s">
        <v>42</v>
      </c>
      <c r="R1305" t="s">
        <v>42</v>
      </c>
      <c r="S1305">
        <v>2.9</v>
      </c>
      <c r="T1305">
        <v>2.5</v>
      </c>
      <c r="U1305">
        <v>2.8</v>
      </c>
      <c r="V1305">
        <v>6.1</v>
      </c>
      <c r="W1305">
        <v>6.8</v>
      </c>
      <c r="X1305">
        <v>6.4</v>
      </c>
      <c r="Y1305">
        <v>3.9</v>
      </c>
      <c r="Z1305">
        <v>5.7</v>
      </c>
      <c r="AA1305">
        <v>3.4</v>
      </c>
      <c r="AB1305">
        <v>4.2</v>
      </c>
      <c r="AC1305">
        <v>7.2</v>
      </c>
      <c r="AD1305" t="s">
        <v>37</v>
      </c>
      <c r="AE1305" t="str">
        <f>IF(AND(data[[#This Row],[Age]]&gt;=18,data[[#This Row],[Age]]&lt;=24),"18-24",IF(AND(data[[#This Row],[Age]]&gt;=25,data[[#This Row],[Age]]&lt;=34),"25-34",IF(AND(data[[#This Row],[Age]]&gt;35,data[[#This Row],[Age]]&lt;=44),"35-44",IF(data[[#This Row],[Age]]&gt;44,"45+",IF(data[[#This Row],[Age]]&lt;18,"below 18 ")))))</f>
        <v>25-34</v>
      </c>
    </row>
    <row r="1306" spans="1:31" x14ac:dyDescent="0.25">
      <c r="A1306" t="s">
        <v>1359</v>
      </c>
      <c r="B1306">
        <v>22</v>
      </c>
      <c r="C1306" t="s">
        <v>31</v>
      </c>
      <c r="D1306" t="s">
        <v>32</v>
      </c>
      <c r="E1306" t="s">
        <v>58</v>
      </c>
      <c r="F1306" t="s">
        <v>70</v>
      </c>
      <c r="G1306">
        <v>7</v>
      </c>
      <c r="H1306">
        <v>2</v>
      </c>
      <c r="I1306">
        <v>5</v>
      </c>
      <c r="J1306" t="s">
        <v>35</v>
      </c>
      <c r="K1306" t="s">
        <v>36</v>
      </c>
      <c r="L1306">
        <v>82</v>
      </c>
      <c r="M1306">
        <v>5.9</v>
      </c>
      <c r="N1306">
        <v>5.6</v>
      </c>
      <c r="O1306">
        <v>3.4</v>
      </c>
      <c r="P1306">
        <v>4.8</v>
      </c>
      <c r="Q1306" t="s">
        <v>42</v>
      </c>
      <c r="R1306" t="s">
        <v>42</v>
      </c>
      <c r="S1306">
        <v>8.6</v>
      </c>
      <c r="T1306">
        <v>6.9</v>
      </c>
      <c r="U1306">
        <v>4.2</v>
      </c>
      <c r="V1306">
        <v>4.2</v>
      </c>
      <c r="W1306">
        <v>9</v>
      </c>
      <c r="X1306">
        <v>7.3</v>
      </c>
      <c r="Y1306">
        <v>2.4</v>
      </c>
      <c r="Z1306">
        <v>2.1</v>
      </c>
      <c r="AA1306">
        <v>2.9</v>
      </c>
      <c r="AB1306">
        <v>2.1</v>
      </c>
      <c r="AC1306">
        <v>6.2</v>
      </c>
      <c r="AD1306" t="s">
        <v>45</v>
      </c>
      <c r="AE1306" t="str">
        <f>IF(AND(data[[#This Row],[Age]]&gt;=18,data[[#This Row],[Age]]&lt;=24),"18-24",IF(AND(data[[#This Row],[Age]]&gt;=25,data[[#This Row],[Age]]&lt;=34),"25-34",IF(AND(data[[#This Row],[Age]]&gt;35,data[[#This Row],[Age]]&lt;=44),"35-44",IF(data[[#This Row],[Age]]&gt;44,"45+",IF(data[[#This Row],[Age]]&lt;18,"below 18 ")))))</f>
        <v>18-24</v>
      </c>
    </row>
    <row r="1307" spans="1:31" x14ac:dyDescent="0.25">
      <c r="A1307" t="s">
        <v>1360</v>
      </c>
      <c r="B1307">
        <v>39</v>
      </c>
      <c r="C1307" t="s">
        <v>31</v>
      </c>
      <c r="D1307" t="s">
        <v>39</v>
      </c>
      <c r="E1307" t="s">
        <v>58</v>
      </c>
      <c r="F1307" t="s">
        <v>41</v>
      </c>
      <c r="H1307">
        <v>4</v>
      </c>
      <c r="I1307">
        <v>5</v>
      </c>
      <c r="J1307" t="s">
        <v>35</v>
      </c>
      <c r="K1307" t="s">
        <v>36</v>
      </c>
      <c r="L1307">
        <v>105</v>
      </c>
      <c r="M1307">
        <v>7.3</v>
      </c>
      <c r="N1307">
        <v>6.9</v>
      </c>
      <c r="O1307">
        <v>4.7</v>
      </c>
      <c r="P1307">
        <v>4.5999999999999996</v>
      </c>
      <c r="Q1307" t="s">
        <v>42</v>
      </c>
      <c r="R1307" t="s">
        <v>35</v>
      </c>
      <c r="S1307">
        <v>3.8</v>
      </c>
      <c r="T1307">
        <v>7.3</v>
      </c>
      <c r="U1307">
        <v>5.6</v>
      </c>
      <c r="V1307">
        <v>7.1</v>
      </c>
      <c r="W1307">
        <v>6</v>
      </c>
      <c r="X1307">
        <v>3.8</v>
      </c>
      <c r="Y1307">
        <v>4.0999999999999996</v>
      </c>
      <c r="Z1307">
        <v>4.5999999999999996</v>
      </c>
      <c r="AA1307">
        <v>2.2999999999999998</v>
      </c>
      <c r="AB1307">
        <v>4.7</v>
      </c>
      <c r="AC1307">
        <v>6.7</v>
      </c>
      <c r="AD1307" t="s">
        <v>45</v>
      </c>
      <c r="AE1307" t="str">
        <f>IF(AND(data[[#This Row],[Age]]&gt;=18,data[[#This Row],[Age]]&lt;=24),"18-24",IF(AND(data[[#This Row],[Age]]&gt;=25,data[[#This Row],[Age]]&lt;=34),"25-34",IF(AND(data[[#This Row],[Age]]&gt;35,data[[#This Row],[Age]]&lt;=44),"35-44",IF(data[[#This Row],[Age]]&gt;44,"45+",IF(data[[#This Row],[Age]]&lt;18,"below 18 ")))))</f>
        <v>35-44</v>
      </c>
    </row>
    <row r="1308" spans="1:31" x14ac:dyDescent="0.25">
      <c r="A1308" t="s">
        <v>1361</v>
      </c>
      <c r="B1308">
        <v>44</v>
      </c>
      <c r="C1308" t="s">
        <v>47</v>
      </c>
      <c r="D1308" t="s">
        <v>64</v>
      </c>
      <c r="E1308" t="s">
        <v>33</v>
      </c>
      <c r="F1308" t="s">
        <v>51</v>
      </c>
      <c r="G1308">
        <v>3.1</v>
      </c>
      <c r="H1308">
        <v>4</v>
      </c>
      <c r="I1308">
        <v>4</v>
      </c>
      <c r="J1308" t="s">
        <v>35</v>
      </c>
      <c r="K1308" t="s">
        <v>36</v>
      </c>
      <c r="L1308">
        <v>40</v>
      </c>
      <c r="M1308">
        <v>5.2</v>
      </c>
      <c r="N1308">
        <v>6.9</v>
      </c>
      <c r="O1308">
        <v>4.7</v>
      </c>
      <c r="P1308">
        <v>6.9</v>
      </c>
      <c r="Q1308" t="s">
        <v>35</v>
      </c>
      <c r="R1308" t="s">
        <v>35</v>
      </c>
      <c r="S1308">
        <v>5.0999999999999996</v>
      </c>
      <c r="T1308">
        <v>2.6</v>
      </c>
      <c r="U1308">
        <v>3.5</v>
      </c>
      <c r="V1308">
        <v>6.8</v>
      </c>
      <c r="W1308">
        <v>5</v>
      </c>
      <c r="X1308">
        <v>5.7</v>
      </c>
      <c r="Y1308">
        <v>2.4</v>
      </c>
      <c r="Z1308">
        <v>5.8</v>
      </c>
      <c r="AA1308">
        <v>8.9</v>
      </c>
      <c r="AB1308">
        <v>0.2</v>
      </c>
      <c r="AC1308">
        <v>6.2</v>
      </c>
      <c r="AD1308" t="s">
        <v>53</v>
      </c>
      <c r="AE1308" t="str">
        <f>IF(AND(data[[#This Row],[Age]]&gt;=18,data[[#This Row],[Age]]&lt;=24),"18-24",IF(AND(data[[#This Row],[Age]]&gt;=25,data[[#This Row],[Age]]&lt;=34),"25-34",IF(AND(data[[#This Row],[Age]]&gt;35,data[[#This Row],[Age]]&lt;=44),"35-44",IF(data[[#This Row],[Age]]&gt;44,"45+",IF(data[[#This Row],[Age]]&lt;18,"below 18 ")))))</f>
        <v>35-44</v>
      </c>
    </row>
    <row r="1309" spans="1:31" x14ac:dyDescent="0.25">
      <c r="A1309" t="s">
        <v>1362</v>
      </c>
      <c r="B1309">
        <v>25</v>
      </c>
      <c r="C1309" t="s">
        <v>31</v>
      </c>
      <c r="D1309" t="s">
        <v>57</v>
      </c>
      <c r="E1309" t="s">
        <v>58</v>
      </c>
      <c r="F1309" t="s">
        <v>41</v>
      </c>
      <c r="G1309">
        <v>1.3</v>
      </c>
      <c r="H1309">
        <v>5</v>
      </c>
      <c r="I1309">
        <v>4</v>
      </c>
      <c r="J1309" t="s">
        <v>42</v>
      </c>
      <c r="K1309" t="s">
        <v>36</v>
      </c>
      <c r="L1309">
        <v>67</v>
      </c>
      <c r="M1309">
        <v>4.8</v>
      </c>
      <c r="N1309">
        <v>3.2</v>
      </c>
      <c r="O1309">
        <v>8.6999999999999993</v>
      </c>
      <c r="P1309">
        <v>5.9</v>
      </c>
      <c r="Q1309" t="s">
        <v>42</v>
      </c>
      <c r="R1309" t="s">
        <v>35</v>
      </c>
      <c r="S1309">
        <v>6.9</v>
      </c>
      <c r="T1309">
        <v>4</v>
      </c>
      <c r="U1309">
        <v>0.7</v>
      </c>
      <c r="V1309">
        <v>2.9</v>
      </c>
      <c r="W1309">
        <v>9.1</v>
      </c>
      <c r="X1309">
        <v>6.2</v>
      </c>
      <c r="Y1309">
        <v>8.4</v>
      </c>
      <c r="Z1309">
        <v>5.7</v>
      </c>
      <c r="AA1309">
        <v>3.3</v>
      </c>
      <c r="AB1309">
        <v>5.0999999999999996</v>
      </c>
      <c r="AC1309">
        <v>6.4</v>
      </c>
      <c r="AD1309" t="s">
        <v>45</v>
      </c>
      <c r="AE1309" t="str">
        <f>IF(AND(data[[#This Row],[Age]]&gt;=18,data[[#This Row],[Age]]&lt;=24),"18-24",IF(AND(data[[#This Row],[Age]]&gt;=25,data[[#This Row],[Age]]&lt;=34),"25-34",IF(AND(data[[#This Row],[Age]]&gt;35,data[[#This Row],[Age]]&lt;=44),"35-44",IF(data[[#This Row],[Age]]&gt;44,"45+",IF(data[[#This Row],[Age]]&lt;18,"below 18 ")))))</f>
        <v>25-34</v>
      </c>
    </row>
    <row r="1310" spans="1:31" x14ac:dyDescent="0.25">
      <c r="A1310" t="s">
        <v>1363</v>
      </c>
      <c r="B1310">
        <v>30</v>
      </c>
      <c r="C1310" t="s">
        <v>47</v>
      </c>
      <c r="D1310" t="s">
        <v>39</v>
      </c>
      <c r="E1310" t="s">
        <v>33</v>
      </c>
      <c r="F1310" t="s">
        <v>34</v>
      </c>
      <c r="G1310">
        <v>5.4</v>
      </c>
      <c r="H1310">
        <v>5</v>
      </c>
      <c r="I1310">
        <v>3</v>
      </c>
      <c r="J1310" t="s">
        <v>42</v>
      </c>
      <c r="K1310" t="s">
        <v>62</v>
      </c>
      <c r="L1310">
        <v>39</v>
      </c>
      <c r="M1310">
        <v>2.8</v>
      </c>
      <c r="N1310">
        <v>4.5999999999999996</v>
      </c>
      <c r="O1310">
        <v>4.8</v>
      </c>
      <c r="P1310">
        <v>8.1999999999999993</v>
      </c>
      <c r="Q1310" t="s">
        <v>42</v>
      </c>
      <c r="R1310" t="s">
        <v>35</v>
      </c>
      <c r="S1310">
        <v>6.2</v>
      </c>
      <c r="T1310">
        <v>3.9</v>
      </c>
      <c r="U1310">
        <v>4.5999999999999996</v>
      </c>
      <c r="W1310">
        <v>4.4000000000000004</v>
      </c>
      <c r="X1310">
        <v>5.5</v>
      </c>
      <c r="Y1310">
        <v>5.5</v>
      </c>
      <c r="Z1310">
        <v>7.7</v>
      </c>
      <c r="AA1310">
        <v>2.5</v>
      </c>
      <c r="AB1310">
        <v>2.1</v>
      </c>
      <c r="AC1310">
        <v>6.9</v>
      </c>
      <c r="AD1310" t="s">
        <v>37</v>
      </c>
      <c r="AE1310" t="str">
        <f>IF(AND(data[[#This Row],[Age]]&gt;=18,data[[#This Row],[Age]]&lt;=24),"18-24",IF(AND(data[[#This Row],[Age]]&gt;=25,data[[#This Row],[Age]]&lt;=34),"25-34",IF(AND(data[[#This Row],[Age]]&gt;35,data[[#This Row],[Age]]&lt;=44),"35-44",IF(data[[#This Row],[Age]]&gt;44,"45+",IF(data[[#This Row],[Age]]&lt;18,"below 18 ")))))</f>
        <v>25-34</v>
      </c>
    </row>
    <row r="1311" spans="1:31" x14ac:dyDescent="0.25">
      <c r="A1311" t="s">
        <v>1364</v>
      </c>
      <c r="B1311">
        <v>41</v>
      </c>
      <c r="C1311" t="s">
        <v>31</v>
      </c>
      <c r="D1311" t="s">
        <v>32</v>
      </c>
      <c r="E1311" t="s">
        <v>40</v>
      </c>
      <c r="F1311" t="s">
        <v>34</v>
      </c>
      <c r="H1311">
        <v>3</v>
      </c>
      <c r="I1311">
        <v>7</v>
      </c>
      <c r="J1311" t="s">
        <v>42</v>
      </c>
      <c r="K1311" t="s">
        <v>36</v>
      </c>
      <c r="L1311">
        <v>97</v>
      </c>
      <c r="M1311">
        <v>5.9</v>
      </c>
      <c r="N1311">
        <v>7.4</v>
      </c>
      <c r="O1311">
        <v>5.5</v>
      </c>
      <c r="P1311">
        <v>8</v>
      </c>
      <c r="Q1311" t="s">
        <v>35</v>
      </c>
      <c r="R1311" t="s">
        <v>42</v>
      </c>
      <c r="S1311">
        <v>5</v>
      </c>
      <c r="T1311">
        <v>3.6</v>
      </c>
      <c r="U1311">
        <v>5.2</v>
      </c>
      <c r="V1311">
        <v>8.3000000000000007</v>
      </c>
      <c r="W1311">
        <v>4.0999999999999996</v>
      </c>
      <c r="X1311">
        <v>8.6</v>
      </c>
      <c r="Y1311">
        <v>3.8</v>
      </c>
      <c r="Z1311">
        <v>4.8</v>
      </c>
      <c r="AA1311">
        <v>2.6</v>
      </c>
      <c r="AB1311">
        <v>2.4</v>
      </c>
      <c r="AC1311">
        <v>5</v>
      </c>
      <c r="AD1311" t="s">
        <v>43</v>
      </c>
      <c r="AE1311" t="str">
        <f>IF(AND(data[[#This Row],[Age]]&gt;=18,data[[#This Row],[Age]]&lt;=24),"18-24",IF(AND(data[[#This Row],[Age]]&gt;=25,data[[#This Row],[Age]]&lt;=34),"25-34",IF(AND(data[[#This Row],[Age]]&gt;35,data[[#This Row],[Age]]&lt;=44),"35-44",IF(data[[#This Row],[Age]]&gt;44,"45+",IF(data[[#This Row],[Age]]&lt;18,"below 18 ")))))</f>
        <v>35-44</v>
      </c>
    </row>
    <row r="1312" spans="1:31" x14ac:dyDescent="0.25">
      <c r="A1312" t="s">
        <v>1365</v>
      </c>
      <c r="B1312">
        <v>30</v>
      </c>
      <c r="C1312" t="s">
        <v>31</v>
      </c>
      <c r="D1312" t="s">
        <v>39</v>
      </c>
      <c r="E1312" t="s">
        <v>40</v>
      </c>
      <c r="F1312" t="s">
        <v>41</v>
      </c>
      <c r="G1312">
        <v>1.9</v>
      </c>
      <c r="H1312">
        <v>2</v>
      </c>
      <c r="I1312">
        <v>7</v>
      </c>
      <c r="J1312" t="s">
        <v>35</v>
      </c>
      <c r="K1312" t="s">
        <v>52</v>
      </c>
      <c r="L1312">
        <v>54</v>
      </c>
      <c r="M1312">
        <v>2.2000000000000002</v>
      </c>
      <c r="N1312">
        <v>5.4</v>
      </c>
      <c r="O1312">
        <v>1.8</v>
      </c>
      <c r="P1312">
        <v>5.9</v>
      </c>
      <c r="Q1312" t="s">
        <v>42</v>
      </c>
      <c r="R1312" t="s">
        <v>42</v>
      </c>
      <c r="S1312">
        <v>3.7</v>
      </c>
      <c r="T1312">
        <v>5.6</v>
      </c>
      <c r="U1312">
        <v>6</v>
      </c>
      <c r="V1312">
        <v>5.7</v>
      </c>
      <c r="W1312">
        <v>5.0999999999999996</v>
      </c>
      <c r="X1312">
        <v>5.7</v>
      </c>
      <c r="Y1312">
        <v>2.2999999999999998</v>
      </c>
      <c r="Z1312">
        <v>6</v>
      </c>
      <c r="AA1312">
        <v>3.9</v>
      </c>
      <c r="AB1312">
        <v>4.7</v>
      </c>
      <c r="AC1312">
        <v>8.5</v>
      </c>
      <c r="AD1312" t="s">
        <v>37</v>
      </c>
      <c r="AE1312" t="str">
        <f>IF(AND(data[[#This Row],[Age]]&gt;=18,data[[#This Row],[Age]]&lt;=24),"18-24",IF(AND(data[[#This Row],[Age]]&gt;=25,data[[#This Row],[Age]]&lt;=34),"25-34",IF(AND(data[[#This Row],[Age]]&gt;35,data[[#This Row],[Age]]&lt;=44),"35-44",IF(data[[#This Row],[Age]]&gt;44,"45+",IF(data[[#This Row],[Age]]&lt;18,"below 18 ")))))</f>
        <v>25-34</v>
      </c>
    </row>
    <row r="1313" spans="1:31" x14ac:dyDescent="0.25">
      <c r="A1313" t="s">
        <v>1366</v>
      </c>
      <c r="B1313">
        <v>40</v>
      </c>
      <c r="C1313" t="s">
        <v>47</v>
      </c>
      <c r="D1313" t="s">
        <v>32</v>
      </c>
      <c r="E1313" t="s">
        <v>33</v>
      </c>
      <c r="F1313" t="s">
        <v>70</v>
      </c>
      <c r="G1313">
        <v>4.9000000000000004</v>
      </c>
      <c r="H1313">
        <v>3</v>
      </c>
      <c r="I1313">
        <v>6</v>
      </c>
      <c r="J1313" t="s">
        <v>42</v>
      </c>
      <c r="K1313" t="s">
        <v>62</v>
      </c>
      <c r="L1313">
        <v>72</v>
      </c>
      <c r="M1313">
        <v>5.5</v>
      </c>
      <c r="N1313">
        <v>8.5</v>
      </c>
      <c r="O1313">
        <v>7.3</v>
      </c>
      <c r="P1313">
        <v>4.9000000000000004</v>
      </c>
      <c r="Q1313" t="s">
        <v>35</v>
      </c>
      <c r="R1313" t="s">
        <v>42</v>
      </c>
      <c r="S1313">
        <v>10</v>
      </c>
      <c r="T1313">
        <v>4.5999999999999996</v>
      </c>
      <c r="U1313">
        <v>7.4</v>
      </c>
      <c r="V1313">
        <v>5.8</v>
      </c>
      <c r="W1313">
        <v>4.9000000000000004</v>
      </c>
      <c r="X1313">
        <v>7.8</v>
      </c>
      <c r="Y1313">
        <v>4.2</v>
      </c>
      <c r="Z1313">
        <v>6.9</v>
      </c>
      <c r="AA1313">
        <v>2.2000000000000002</v>
      </c>
      <c r="AB1313">
        <v>1.1000000000000001</v>
      </c>
      <c r="AC1313">
        <v>4.0999999999999996</v>
      </c>
      <c r="AD1313" t="s">
        <v>43</v>
      </c>
      <c r="AE1313" t="str">
        <f>IF(AND(data[[#This Row],[Age]]&gt;=18,data[[#This Row],[Age]]&lt;=24),"18-24",IF(AND(data[[#This Row],[Age]]&gt;=25,data[[#This Row],[Age]]&lt;=34),"25-34",IF(AND(data[[#This Row],[Age]]&gt;35,data[[#This Row],[Age]]&lt;=44),"35-44",IF(data[[#This Row],[Age]]&gt;44,"45+",IF(data[[#This Row],[Age]]&lt;18,"below 18 ")))))</f>
        <v>35-44</v>
      </c>
    </row>
    <row r="1314" spans="1:31" x14ac:dyDescent="0.25">
      <c r="A1314" t="s">
        <v>1367</v>
      </c>
      <c r="B1314">
        <v>37</v>
      </c>
      <c r="C1314" t="s">
        <v>47</v>
      </c>
      <c r="D1314" t="s">
        <v>32</v>
      </c>
      <c r="E1314" t="s">
        <v>58</v>
      </c>
      <c r="F1314" t="s">
        <v>41</v>
      </c>
      <c r="G1314">
        <v>5.4</v>
      </c>
      <c r="H1314">
        <v>2</v>
      </c>
      <c r="I1314">
        <v>3</v>
      </c>
      <c r="K1314" t="s">
        <v>36</v>
      </c>
      <c r="L1314">
        <v>63</v>
      </c>
      <c r="M1314">
        <v>10</v>
      </c>
      <c r="N1314">
        <v>1.3</v>
      </c>
      <c r="O1314">
        <v>2.2999999999999998</v>
      </c>
      <c r="P1314">
        <v>5.4</v>
      </c>
      <c r="Q1314" t="s">
        <v>35</v>
      </c>
      <c r="R1314" t="s">
        <v>42</v>
      </c>
      <c r="S1314">
        <v>5.4</v>
      </c>
      <c r="T1314">
        <v>2.2999999999999998</v>
      </c>
      <c r="U1314">
        <v>3.2</v>
      </c>
      <c r="W1314">
        <v>6.2</v>
      </c>
      <c r="X1314">
        <v>8.1999999999999993</v>
      </c>
      <c r="Y1314">
        <v>6.1</v>
      </c>
      <c r="Z1314">
        <v>3.6</v>
      </c>
      <c r="AB1314">
        <v>2.2000000000000002</v>
      </c>
      <c r="AC1314">
        <v>4.4000000000000004</v>
      </c>
      <c r="AD1314" t="s">
        <v>43</v>
      </c>
      <c r="AE1314" t="str">
        <f>IF(AND(data[[#This Row],[Age]]&gt;=18,data[[#This Row],[Age]]&lt;=24),"18-24",IF(AND(data[[#This Row],[Age]]&gt;=25,data[[#This Row],[Age]]&lt;=34),"25-34",IF(AND(data[[#This Row],[Age]]&gt;35,data[[#This Row],[Age]]&lt;=44),"35-44",IF(data[[#This Row],[Age]]&gt;44,"45+",IF(data[[#This Row],[Age]]&lt;18,"below 18 ")))))</f>
        <v>35-44</v>
      </c>
    </row>
    <row r="1315" spans="1:31" x14ac:dyDescent="0.25">
      <c r="A1315" t="s">
        <v>1368</v>
      </c>
      <c r="B1315">
        <v>19</v>
      </c>
      <c r="C1315" t="s">
        <v>31</v>
      </c>
      <c r="D1315" t="s">
        <v>39</v>
      </c>
      <c r="E1315" t="s">
        <v>58</v>
      </c>
      <c r="F1315" t="s">
        <v>34</v>
      </c>
      <c r="G1315">
        <v>5.9</v>
      </c>
      <c r="H1315">
        <v>4</v>
      </c>
      <c r="I1315">
        <v>3</v>
      </c>
      <c r="J1315" t="s">
        <v>35</v>
      </c>
      <c r="K1315" t="s">
        <v>36</v>
      </c>
      <c r="L1315">
        <v>10</v>
      </c>
      <c r="M1315">
        <v>1.7</v>
      </c>
      <c r="N1315">
        <v>7.7</v>
      </c>
      <c r="O1315">
        <v>5.5</v>
      </c>
      <c r="P1315">
        <v>6</v>
      </c>
      <c r="Q1315" t="s">
        <v>42</v>
      </c>
      <c r="R1315" t="s">
        <v>42</v>
      </c>
      <c r="S1315">
        <v>6</v>
      </c>
      <c r="T1315">
        <v>2.2999999999999998</v>
      </c>
      <c r="U1315">
        <v>8.1999999999999993</v>
      </c>
      <c r="V1315">
        <v>7.6</v>
      </c>
      <c r="W1315">
        <v>3.8</v>
      </c>
      <c r="X1315">
        <v>6.9</v>
      </c>
      <c r="Z1315">
        <v>7</v>
      </c>
      <c r="AA1315">
        <v>7.1</v>
      </c>
      <c r="AB1315">
        <v>5</v>
      </c>
      <c r="AC1315">
        <v>6.1</v>
      </c>
      <c r="AD1315" t="s">
        <v>45</v>
      </c>
      <c r="AE1315" t="str">
        <f>IF(AND(data[[#This Row],[Age]]&gt;=18,data[[#This Row],[Age]]&lt;=24),"18-24",IF(AND(data[[#This Row],[Age]]&gt;=25,data[[#This Row],[Age]]&lt;=34),"25-34",IF(AND(data[[#This Row],[Age]]&gt;35,data[[#This Row],[Age]]&lt;=44),"35-44",IF(data[[#This Row],[Age]]&gt;44,"45+",IF(data[[#This Row],[Age]]&lt;18,"below 18 ")))))</f>
        <v>18-24</v>
      </c>
    </row>
    <row r="1316" spans="1:31" x14ac:dyDescent="0.25">
      <c r="A1316" t="s">
        <v>1369</v>
      </c>
      <c r="B1316">
        <v>37</v>
      </c>
      <c r="C1316" t="s">
        <v>47</v>
      </c>
      <c r="D1316" t="s">
        <v>57</v>
      </c>
      <c r="E1316" t="s">
        <v>58</v>
      </c>
      <c r="F1316" t="s">
        <v>51</v>
      </c>
      <c r="G1316">
        <v>3.4</v>
      </c>
      <c r="H1316">
        <v>5</v>
      </c>
      <c r="I1316">
        <v>3</v>
      </c>
      <c r="J1316" t="s">
        <v>35</v>
      </c>
      <c r="K1316" t="s">
        <v>36</v>
      </c>
      <c r="L1316">
        <v>41</v>
      </c>
      <c r="M1316">
        <v>5.4</v>
      </c>
      <c r="N1316">
        <v>3.5</v>
      </c>
      <c r="O1316">
        <v>8.8000000000000007</v>
      </c>
      <c r="P1316">
        <v>7.6</v>
      </c>
      <c r="Q1316" t="s">
        <v>42</v>
      </c>
      <c r="R1316" t="s">
        <v>35</v>
      </c>
      <c r="S1316">
        <v>7</v>
      </c>
      <c r="T1316">
        <v>5.7</v>
      </c>
      <c r="U1316">
        <v>5.8</v>
      </c>
      <c r="V1316">
        <v>7</v>
      </c>
      <c r="W1316">
        <v>5.4</v>
      </c>
      <c r="X1316">
        <v>6.1</v>
      </c>
      <c r="Y1316">
        <v>4.5</v>
      </c>
      <c r="Z1316">
        <v>6.4</v>
      </c>
      <c r="AA1316">
        <v>0</v>
      </c>
      <c r="AB1316">
        <v>2.7</v>
      </c>
      <c r="AC1316">
        <v>6</v>
      </c>
      <c r="AD1316" t="s">
        <v>45</v>
      </c>
      <c r="AE1316" t="str">
        <f>IF(AND(data[[#This Row],[Age]]&gt;=18,data[[#This Row],[Age]]&lt;=24),"18-24",IF(AND(data[[#This Row],[Age]]&gt;=25,data[[#This Row],[Age]]&lt;=34),"25-34",IF(AND(data[[#This Row],[Age]]&gt;35,data[[#This Row],[Age]]&lt;=44),"35-44",IF(data[[#This Row],[Age]]&gt;44,"45+",IF(data[[#This Row],[Age]]&lt;18,"below 18 ")))))</f>
        <v>35-44</v>
      </c>
    </row>
    <row r="1317" spans="1:31" x14ac:dyDescent="0.25">
      <c r="A1317" t="s">
        <v>1370</v>
      </c>
      <c r="B1317">
        <v>19</v>
      </c>
      <c r="C1317" t="s">
        <v>47</v>
      </c>
      <c r="D1317" t="s">
        <v>39</v>
      </c>
      <c r="E1317" t="s">
        <v>58</v>
      </c>
      <c r="F1317" t="s">
        <v>59</v>
      </c>
      <c r="G1317">
        <v>5.6</v>
      </c>
      <c r="H1317">
        <v>4</v>
      </c>
      <c r="I1317">
        <v>3</v>
      </c>
      <c r="J1317" t="s">
        <v>42</v>
      </c>
      <c r="K1317" t="s">
        <v>52</v>
      </c>
      <c r="L1317">
        <v>78</v>
      </c>
      <c r="M1317">
        <v>7.5</v>
      </c>
      <c r="N1317">
        <v>8.6</v>
      </c>
      <c r="O1317">
        <v>1.5</v>
      </c>
      <c r="P1317">
        <v>6.2</v>
      </c>
      <c r="Q1317" t="s">
        <v>35</v>
      </c>
      <c r="R1317" t="s">
        <v>35</v>
      </c>
      <c r="S1317">
        <v>6.5</v>
      </c>
      <c r="T1317">
        <v>3.7</v>
      </c>
      <c r="U1317">
        <v>4.5999999999999996</v>
      </c>
      <c r="V1317">
        <v>2.2999999999999998</v>
      </c>
      <c r="W1317">
        <v>8.4</v>
      </c>
      <c r="X1317">
        <v>6.7</v>
      </c>
      <c r="Y1317">
        <v>2.5</v>
      </c>
      <c r="Z1317">
        <v>4.7</v>
      </c>
      <c r="AA1317">
        <v>3.8</v>
      </c>
      <c r="AB1317">
        <v>3.4</v>
      </c>
      <c r="AC1317">
        <v>6.2</v>
      </c>
      <c r="AD1317" t="s">
        <v>45</v>
      </c>
      <c r="AE1317" t="str">
        <f>IF(AND(data[[#This Row],[Age]]&gt;=18,data[[#This Row],[Age]]&lt;=24),"18-24",IF(AND(data[[#This Row],[Age]]&gt;=25,data[[#This Row],[Age]]&lt;=34),"25-34",IF(AND(data[[#This Row],[Age]]&gt;35,data[[#This Row],[Age]]&lt;=44),"35-44",IF(data[[#This Row],[Age]]&gt;44,"45+",IF(data[[#This Row],[Age]]&lt;18,"below 18 ")))))</f>
        <v>18-24</v>
      </c>
    </row>
    <row r="1318" spans="1:31" x14ac:dyDescent="0.25">
      <c r="A1318" t="s">
        <v>1371</v>
      </c>
      <c r="B1318">
        <v>20</v>
      </c>
      <c r="C1318" t="s">
        <v>47</v>
      </c>
      <c r="D1318" t="s">
        <v>32</v>
      </c>
      <c r="E1318" t="s">
        <v>40</v>
      </c>
      <c r="F1318" t="s">
        <v>51</v>
      </c>
      <c r="H1318">
        <v>3</v>
      </c>
      <c r="I1318">
        <v>3</v>
      </c>
      <c r="J1318" t="s">
        <v>35</v>
      </c>
      <c r="K1318" t="s">
        <v>52</v>
      </c>
      <c r="L1318">
        <v>73</v>
      </c>
      <c r="M1318">
        <v>5.8</v>
      </c>
      <c r="N1318">
        <v>6.5</v>
      </c>
      <c r="O1318">
        <v>6.7</v>
      </c>
      <c r="P1318">
        <v>3.4</v>
      </c>
      <c r="Q1318" t="s">
        <v>35</v>
      </c>
      <c r="R1318" t="s">
        <v>35</v>
      </c>
      <c r="S1318">
        <v>3.6</v>
      </c>
      <c r="T1318">
        <v>6.6</v>
      </c>
      <c r="U1318">
        <v>6.2</v>
      </c>
      <c r="V1318">
        <v>7.6</v>
      </c>
      <c r="W1318">
        <v>4.5999999999999996</v>
      </c>
      <c r="X1318">
        <v>5.0999999999999996</v>
      </c>
      <c r="Y1318">
        <v>4.4000000000000004</v>
      </c>
      <c r="Z1318">
        <v>5.7</v>
      </c>
      <c r="AA1318">
        <v>2.5</v>
      </c>
      <c r="AB1318">
        <v>1.8</v>
      </c>
      <c r="AC1318">
        <v>7.1</v>
      </c>
      <c r="AD1318" t="s">
        <v>37</v>
      </c>
      <c r="AE1318" t="str">
        <f>IF(AND(data[[#This Row],[Age]]&gt;=18,data[[#This Row],[Age]]&lt;=24),"18-24",IF(AND(data[[#This Row],[Age]]&gt;=25,data[[#This Row],[Age]]&lt;=34),"25-34",IF(AND(data[[#This Row],[Age]]&gt;35,data[[#This Row],[Age]]&lt;=44),"35-44",IF(data[[#This Row],[Age]]&gt;44,"45+",IF(data[[#This Row],[Age]]&lt;18,"below 18 ")))))</f>
        <v>18-24</v>
      </c>
    </row>
    <row r="1319" spans="1:31" x14ac:dyDescent="0.25">
      <c r="A1319" t="s">
        <v>1372</v>
      </c>
      <c r="B1319">
        <v>38</v>
      </c>
      <c r="C1319" t="s">
        <v>31</v>
      </c>
      <c r="D1319" t="s">
        <v>39</v>
      </c>
      <c r="E1319" t="s">
        <v>58</v>
      </c>
      <c r="F1319" t="s">
        <v>51</v>
      </c>
      <c r="G1319">
        <v>6.3</v>
      </c>
      <c r="H1319">
        <v>3</v>
      </c>
      <c r="I1319">
        <v>4</v>
      </c>
      <c r="K1319" t="s">
        <v>36</v>
      </c>
      <c r="L1319">
        <v>110</v>
      </c>
      <c r="M1319">
        <v>8.4</v>
      </c>
      <c r="N1319">
        <v>5.4</v>
      </c>
      <c r="O1319">
        <v>6.4</v>
      </c>
      <c r="P1319">
        <v>3.8</v>
      </c>
      <c r="Q1319" t="s">
        <v>35</v>
      </c>
      <c r="R1319" t="s">
        <v>35</v>
      </c>
      <c r="S1319">
        <v>7.2</v>
      </c>
      <c r="T1319">
        <v>2.7</v>
      </c>
      <c r="U1319">
        <v>2.9</v>
      </c>
      <c r="V1319">
        <v>3.5</v>
      </c>
      <c r="X1319">
        <v>6.7</v>
      </c>
      <c r="Y1319">
        <v>7.6</v>
      </c>
      <c r="Z1319">
        <v>5.8</v>
      </c>
      <c r="AA1319">
        <v>3.5</v>
      </c>
      <c r="AB1319">
        <v>1.9</v>
      </c>
      <c r="AC1319">
        <v>4.5999999999999996</v>
      </c>
      <c r="AD1319" t="s">
        <v>43</v>
      </c>
      <c r="AE1319" t="str">
        <f>IF(AND(data[[#This Row],[Age]]&gt;=18,data[[#This Row],[Age]]&lt;=24),"18-24",IF(AND(data[[#This Row],[Age]]&gt;=25,data[[#This Row],[Age]]&lt;=34),"25-34",IF(AND(data[[#This Row],[Age]]&gt;35,data[[#This Row],[Age]]&lt;=44),"35-44",IF(data[[#This Row],[Age]]&gt;44,"45+",IF(data[[#This Row],[Age]]&lt;18,"below 18 ")))))</f>
        <v>35-44</v>
      </c>
    </row>
    <row r="1320" spans="1:31" x14ac:dyDescent="0.25">
      <c r="A1320" t="s">
        <v>1373</v>
      </c>
      <c r="B1320">
        <v>43</v>
      </c>
      <c r="C1320" t="s">
        <v>47</v>
      </c>
      <c r="D1320" t="s">
        <v>39</v>
      </c>
      <c r="E1320" t="s">
        <v>58</v>
      </c>
      <c r="F1320" t="s">
        <v>34</v>
      </c>
      <c r="G1320">
        <v>5</v>
      </c>
      <c r="H1320">
        <v>6</v>
      </c>
      <c r="I1320">
        <v>5</v>
      </c>
      <c r="J1320" t="s">
        <v>42</v>
      </c>
      <c r="K1320" t="s">
        <v>62</v>
      </c>
      <c r="L1320">
        <v>113</v>
      </c>
      <c r="M1320">
        <v>4.5</v>
      </c>
      <c r="N1320">
        <v>5.8</v>
      </c>
      <c r="O1320">
        <v>7.9</v>
      </c>
      <c r="P1320">
        <v>5.9</v>
      </c>
      <c r="Q1320" t="s">
        <v>42</v>
      </c>
      <c r="R1320" t="s">
        <v>35</v>
      </c>
      <c r="S1320">
        <v>8</v>
      </c>
      <c r="T1320">
        <v>7</v>
      </c>
      <c r="U1320">
        <v>3.3</v>
      </c>
      <c r="V1320">
        <v>5.7</v>
      </c>
      <c r="W1320">
        <v>6.7</v>
      </c>
      <c r="X1320">
        <v>5.4</v>
      </c>
      <c r="Y1320">
        <v>2.7</v>
      </c>
      <c r="Z1320">
        <v>6.3</v>
      </c>
      <c r="AA1320">
        <v>3</v>
      </c>
      <c r="AB1320">
        <v>1.1000000000000001</v>
      </c>
      <c r="AC1320">
        <v>6.2</v>
      </c>
      <c r="AD1320" t="s">
        <v>53</v>
      </c>
      <c r="AE1320" t="str">
        <f>IF(AND(data[[#This Row],[Age]]&gt;=18,data[[#This Row],[Age]]&lt;=24),"18-24",IF(AND(data[[#This Row],[Age]]&gt;=25,data[[#This Row],[Age]]&lt;=34),"25-34",IF(AND(data[[#This Row],[Age]]&gt;35,data[[#This Row],[Age]]&lt;=44),"35-44",IF(data[[#This Row],[Age]]&gt;44,"45+",IF(data[[#This Row],[Age]]&lt;18,"below 18 ")))))</f>
        <v>35-44</v>
      </c>
    </row>
    <row r="1321" spans="1:31" x14ac:dyDescent="0.25">
      <c r="A1321" t="s">
        <v>1374</v>
      </c>
      <c r="B1321">
        <v>19</v>
      </c>
      <c r="C1321" t="s">
        <v>50</v>
      </c>
      <c r="D1321" t="s">
        <v>64</v>
      </c>
      <c r="E1321" t="s">
        <v>33</v>
      </c>
      <c r="F1321" t="s">
        <v>51</v>
      </c>
      <c r="G1321">
        <v>5.8</v>
      </c>
      <c r="H1321">
        <v>2</v>
      </c>
      <c r="I1321">
        <v>2</v>
      </c>
      <c r="J1321" t="s">
        <v>42</v>
      </c>
      <c r="K1321" t="s">
        <v>52</v>
      </c>
      <c r="L1321">
        <v>109</v>
      </c>
      <c r="M1321">
        <v>3.6</v>
      </c>
      <c r="N1321">
        <v>9.1999999999999993</v>
      </c>
      <c r="O1321">
        <v>3.8</v>
      </c>
      <c r="P1321">
        <v>2.2999999999999998</v>
      </c>
      <c r="Q1321" t="s">
        <v>42</v>
      </c>
      <c r="R1321" t="s">
        <v>35</v>
      </c>
      <c r="S1321">
        <v>5.9</v>
      </c>
      <c r="T1321">
        <v>7.1</v>
      </c>
      <c r="U1321">
        <v>7.9</v>
      </c>
      <c r="V1321">
        <v>3.6</v>
      </c>
      <c r="W1321">
        <v>2</v>
      </c>
      <c r="X1321">
        <v>6.7</v>
      </c>
      <c r="Y1321">
        <v>5.7</v>
      </c>
      <c r="Z1321">
        <v>8.8000000000000007</v>
      </c>
      <c r="AB1321">
        <v>1.8</v>
      </c>
      <c r="AC1321">
        <v>5.2</v>
      </c>
      <c r="AD1321" t="s">
        <v>43</v>
      </c>
      <c r="AE1321" t="str">
        <f>IF(AND(data[[#This Row],[Age]]&gt;=18,data[[#This Row],[Age]]&lt;=24),"18-24",IF(AND(data[[#This Row],[Age]]&gt;=25,data[[#This Row],[Age]]&lt;=34),"25-34",IF(AND(data[[#This Row],[Age]]&gt;35,data[[#This Row],[Age]]&lt;=44),"35-44",IF(data[[#This Row],[Age]]&gt;44,"45+",IF(data[[#This Row],[Age]]&lt;18,"below 18 ")))))</f>
        <v>18-24</v>
      </c>
    </row>
    <row r="1322" spans="1:31" x14ac:dyDescent="0.25">
      <c r="A1322" t="s">
        <v>1375</v>
      </c>
      <c r="B1322">
        <v>30</v>
      </c>
      <c r="C1322" t="s">
        <v>31</v>
      </c>
      <c r="E1322" t="s">
        <v>58</v>
      </c>
      <c r="F1322" t="s">
        <v>51</v>
      </c>
      <c r="G1322">
        <v>4.5</v>
      </c>
      <c r="H1322">
        <v>6</v>
      </c>
      <c r="I1322">
        <v>1</v>
      </c>
      <c r="J1322" t="s">
        <v>42</v>
      </c>
      <c r="K1322" t="s">
        <v>52</v>
      </c>
      <c r="L1322">
        <v>5</v>
      </c>
      <c r="N1322">
        <v>10</v>
      </c>
      <c r="O1322">
        <v>2.6</v>
      </c>
      <c r="P1322">
        <v>5.3</v>
      </c>
      <c r="Q1322" t="s">
        <v>42</v>
      </c>
      <c r="R1322" t="s">
        <v>35</v>
      </c>
      <c r="S1322">
        <v>7</v>
      </c>
      <c r="T1322">
        <v>4</v>
      </c>
      <c r="U1322">
        <v>2.1</v>
      </c>
      <c r="V1322">
        <v>4.7</v>
      </c>
      <c r="W1322">
        <v>8.6999999999999993</v>
      </c>
      <c r="X1322">
        <v>7.6</v>
      </c>
      <c r="Y1322">
        <v>3.4</v>
      </c>
      <c r="Z1322">
        <v>6.2</v>
      </c>
      <c r="AA1322">
        <v>6.5</v>
      </c>
      <c r="AB1322">
        <v>4.3</v>
      </c>
      <c r="AC1322">
        <v>6.4</v>
      </c>
      <c r="AD1322" t="s">
        <v>53</v>
      </c>
      <c r="AE1322" t="str">
        <f>IF(AND(data[[#This Row],[Age]]&gt;=18,data[[#This Row],[Age]]&lt;=24),"18-24",IF(AND(data[[#This Row],[Age]]&gt;=25,data[[#This Row],[Age]]&lt;=34),"25-34",IF(AND(data[[#This Row],[Age]]&gt;35,data[[#This Row],[Age]]&lt;=44),"35-44",IF(data[[#This Row],[Age]]&gt;44,"45+",IF(data[[#This Row],[Age]]&lt;18,"below 18 ")))))</f>
        <v>25-34</v>
      </c>
    </row>
    <row r="1323" spans="1:31" x14ac:dyDescent="0.25">
      <c r="A1323" t="s">
        <v>1376</v>
      </c>
      <c r="B1323">
        <v>31</v>
      </c>
      <c r="C1323" t="s">
        <v>47</v>
      </c>
      <c r="D1323" t="s">
        <v>64</v>
      </c>
      <c r="E1323" t="s">
        <v>33</v>
      </c>
      <c r="F1323" t="s">
        <v>34</v>
      </c>
      <c r="G1323">
        <v>3.9</v>
      </c>
      <c r="H1323">
        <v>4</v>
      </c>
      <c r="I1323">
        <v>1</v>
      </c>
      <c r="J1323" t="s">
        <v>42</v>
      </c>
      <c r="K1323" t="s">
        <v>52</v>
      </c>
      <c r="L1323">
        <v>53</v>
      </c>
      <c r="M1323">
        <v>3.6</v>
      </c>
      <c r="N1323">
        <v>2.2000000000000002</v>
      </c>
      <c r="O1323">
        <v>1.4</v>
      </c>
      <c r="P1323">
        <v>6.6</v>
      </c>
      <c r="Q1323" t="s">
        <v>35</v>
      </c>
      <c r="R1323" t="s">
        <v>42</v>
      </c>
      <c r="S1323">
        <v>4</v>
      </c>
      <c r="T1323">
        <v>5.2</v>
      </c>
      <c r="U1323">
        <v>7.2</v>
      </c>
      <c r="V1323">
        <v>4.0999999999999996</v>
      </c>
      <c r="W1323">
        <v>8.6</v>
      </c>
      <c r="X1323">
        <v>4.2</v>
      </c>
      <c r="Y1323">
        <v>0</v>
      </c>
      <c r="Z1323">
        <v>5.5</v>
      </c>
      <c r="AA1323">
        <v>0</v>
      </c>
      <c r="AB1323">
        <v>1.9</v>
      </c>
      <c r="AC1323">
        <v>7.7</v>
      </c>
      <c r="AD1323" t="s">
        <v>37</v>
      </c>
      <c r="AE1323" t="str">
        <f>IF(AND(data[[#This Row],[Age]]&gt;=18,data[[#This Row],[Age]]&lt;=24),"18-24",IF(AND(data[[#This Row],[Age]]&gt;=25,data[[#This Row],[Age]]&lt;=34),"25-34",IF(AND(data[[#This Row],[Age]]&gt;35,data[[#This Row],[Age]]&lt;=44),"35-44",IF(data[[#This Row],[Age]]&gt;44,"45+",IF(data[[#This Row],[Age]]&lt;18,"below 18 ")))))</f>
        <v>25-34</v>
      </c>
    </row>
    <row r="1324" spans="1:31" x14ac:dyDescent="0.25">
      <c r="A1324" t="s">
        <v>1377</v>
      </c>
      <c r="B1324">
        <v>28</v>
      </c>
      <c r="C1324" t="s">
        <v>31</v>
      </c>
      <c r="D1324" t="s">
        <v>64</v>
      </c>
      <c r="E1324" t="s">
        <v>58</v>
      </c>
      <c r="F1324" t="s">
        <v>41</v>
      </c>
      <c r="H1324">
        <v>3</v>
      </c>
      <c r="I1324">
        <v>11</v>
      </c>
      <c r="J1324" t="s">
        <v>35</v>
      </c>
      <c r="K1324" t="s">
        <v>36</v>
      </c>
      <c r="L1324">
        <v>129</v>
      </c>
      <c r="M1324">
        <v>5.4</v>
      </c>
      <c r="N1324">
        <v>7.1</v>
      </c>
      <c r="O1324">
        <v>6.2</v>
      </c>
      <c r="P1324">
        <v>4.9000000000000004</v>
      </c>
      <c r="Q1324" t="s">
        <v>35</v>
      </c>
      <c r="R1324" t="s">
        <v>42</v>
      </c>
      <c r="S1324">
        <v>5.3</v>
      </c>
      <c r="T1324">
        <v>4.3</v>
      </c>
      <c r="U1324">
        <v>6.3</v>
      </c>
      <c r="V1324">
        <v>4.4000000000000004</v>
      </c>
      <c r="X1324">
        <v>8.6</v>
      </c>
      <c r="Y1324">
        <v>2.2999999999999998</v>
      </c>
      <c r="Z1324">
        <v>8.5</v>
      </c>
      <c r="AA1324">
        <v>1.4</v>
      </c>
      <c r="AB1324">
        <v>0.4</v>
      </c>
      <c r="AC1324">
        <v>5.0999999999999996</v>
      </c>
      <c r="AD1324" t="s">
        <v>45</v>
      </c>
      <c r="AE1324" t="str">
        <f>IF(AND(data[[#This Row],[Age]]&gt;=18,data[[#This Row],[Age]]&lt;=24),"18-24",IF(AND(data[[#This Row],[Age]]&gt;=25,data[[#This Row],[Age]]&lt;=34),"25-34",IF(AND(data[[#This Row],[Age]]&gt;35,data[[#This Row],[Age]]&lt;=44),"35-44",IF(data[[#This Row],[Age]]&gt;44,"45+",IF(data[[#This Row],[Age]]&lt;18,"below 18 ")))))</f>
        <v>25-34</v>
      </c>
    </row>
    <row r="1325" spans="1:31" x14ac:dyDescent="0.25">
      <c r="A1325" t="s">
        <v>1378</v>
      </c>
      <c r="B1325">
        <v>36</v>
      </c>
      <c r="C1325" t="s">
        <v>47</v>
      </c>
      <c r="D1325" t="s">
        <v>32</v>
      </c>
      <c r="E1325" t="s">
        <v>33</v>
      </c>
      <c r="F1325" t="s">
        <v>70</v>
      </c>
      <c r="G1325">
        <v>6.4</v>
      </c>
      <c r="H1325">
        <v>1</v>
      </c>
      <c r="I1325">
        <v>4</v>
      </c>
      <c r="J1325" t="s">
        <v>42</v>
      </c>
      <c r="K1325" t="s">
        <v>52</v>
      </c>
      <c r="L1325">
        <v>10</v>
      </c>
      <c r="M1325">
        <v>9.6999999999999993</v>
      </c>
      <c r="N1325">
        <v>7.7</v>
      </c>
      <c r="O1325">
        <v>6</v>
      </c>
      <c r="P1325">
        <v>4.8</v>
      </c>
      <c r="Q1325" t="s">
        <v>42</v>
      </c>
      <c r="R1325" t="s">
        <v>35</v>
      </c>
      <c r="S1325">
        <v>4.9000000000000004</v>
      </c>
      <c r="T1325">
        <v>8.6999999999999993</v>
      </c>
      <c r="U1325">
        <v>4.8</v>
      </c>
      <c r="V1325">
        <v>5.8</v>
      </c>
      <c r="W1325">
        <v>1.2</v>
      </c>
      <c r="X1325">
        <v>6.1</v>
      </c>
      <c r="Y1325">
        <v>1.3</v>
      </c>
      <c r="Z1325">
        <v>6.3</v>
      </c>
      <c r="AA1325">
        <v>4.2</v>
      </c>
      <c r="AB1325">
        <v>1.6</v>
      </c>
      <c r="AC1325">
        <v>5.7</v>
      </c>
      <c r="AD1325" t="s">
        <v>45</v>
      </c>
      <c r="AE1325" t="str">
        <f>IF(AND(data[[#This Row],[Age]]&gt;=18,data[[#This Row],[Age]]&lt;=24),"18-24",IF(AND(data[[#This Row],[Age]]&gt;=25,data[[#This Row],[Age]]&lt;=34),"25-34",IF(AND(data[[#This Row],[Age]]&gt;35,data[[#This Row],[Age]]&lt;=44),"35-44",IF(data[[#This Row],[Age]]&gt;44,"45+",IF(data[[#This Row],[Age]]&lt;18,"below 18 ")))))</f>
        <v>35-44</v>
      </c>
    </row>
    <row r="1326" spans="1:31" x14ac:dyDescent="0.25">
      <c r="A1326" t="s">
        <v>1379</v>
      </c>
      <c r="B1326">
        <v>17</v>
      </c>
      <c r="C1326" t="s">
        <v>31</v>
      </c>
      <c r="D1326" t="s">
        <v>39</v>
      </c>
      <c r="E1326" t="s">
        <v>58</v>
      </c>
      <c r="F1326" t="s">
        <v>51</v>
      </c>
      <c r="G1326">
        <v>3.7</v>
      </c>
      <c r="H1326">
        <v>7</v>
      </c>
      <c r="I1326">
        <v>5</v>
      </c>
      <c r="K1326" t="s">
        <v>52</v>
      </c>
      <c r="L1326">
        <v>55</v>
      </c>
      <c r="M1326">
        <v>6.8</v>
      </c>
      <c r="N1326">
        <v>7.3</v>
      </c>
      <c r="O1326">
        <v>8.1</v>
      </c>
      <c r="P1326">
        <v>1.9</v>
      </c>
      <c r="Q1326" t="s">
        <v>42</v>
      </c>
      <c r="R1326" t="s">
        <v>35</v>
      </c>
      <c r="S1326">
        <v>3.5</v>
      </c>
      <c r="T1326">
        <v>0</v>
      </c>
      <c r="U1326">
        <v>5.9</v>
      </c>
      <c r="V1326">
        <v>7.9</v>
      </c>
      <c r="W1326">
        <v>7.9</v>
      </c>
      <c r="X1326">
        <v>5.8</v>
      </c>
      <c r="Y1326">
        <v>4.0999999999999996</v>
      </c>
      <c r="Z1326">
        <v>3.5</v>
      </c>
      <c r="AA1326">
        <v>0.8</v>
      </c>
      <c r="AB1326">
        <v>3.6</v>
      </c>
      <c r="AC1326">
        <v>6.4</v>
      </c>
      <c r="AD1326" t="s">
        <v>45</v>
      </c>
      <c r="AE1326" t="str">
        <f>IF(AND(data[[#This Row],[Age]]&gt;=18,data[[#This Row],[Age]]&lt;=24),"18-24",IF(AND(data[[#This Row],[Age]]&gt;=25,data[[#This Row],[Age]]&lt;=34),"25-34",IF(AND(data[[#This Row],[Age]]&gt;35,data[[#This Row],[Age]]&lt;=44),"35-44",IF(data[[#This Row],[Age]]&gt;44,"45+",IF(data[[#This Row],[Age]]&lt;18,"below 18 ")))))</f>
        <v xml:space="preserve">below 18 </v>
      </c>
    </row>
    <row r="1327" spans="1:31" x14ac:dyDescent="0.25">
      <c r="A1327" t="s">
        <v>1380</v>
      </c>
      <c r="B1327">
        <v>36</v>
      </c>
      <c r="C1327" t="s">
        <v>47</v>
      </c>
      <c r="E1327" t="s">
        <v>40</v>
      </c>
      <c r="F1327" t="s">
        <v>51</v>
      </c>
      <c r="G1327">
        <v>5.3</v>
      </c>
      <c r="H1327">
        <v>3</v>
      </c>
      <c r="I1327">
        <v>4</v>
      </c>
      <c r="J1327" t="s">
        <v>35</v>
      </c>
      <c r="K1327" t="s">
        <v>62</v>
      </c>
      <c r="L1327">
        <v>63</v>
      </c>
      <c r="M1327">
        <v>2</v>
      </c>
      <c r="N1327">
        <v>5.4</v>
      </c>
      <c r="O1327">
        <v>6.1</v>
      </c>
      <c r="P1327">
        <v>7.8</v>
      </c>
      <c r="Q1327" t="s">
        <v>35</v>
      </c>
      <c r="R1327" t="s">
        <v>35</v>
      </c>
      <c r="S1327">
        <v>6.2</v>
      </c>
      <c r="T1327">
        <v>6.7</v>
      </c>
      <c r="U1327">
        <v>10</v>
      </c>
      <c r="V1327">
        <v>4.2</v>
      </c>
      <c r="W1327">
        <v>2.5</v>
      </c>
      <c r="X1327">
        <v>8.4</v>
      </c>
      <c r="Z1327">
        <v>7.1</v>
      </c>
      <c r="AB1327">
        <v>5.3</v>
      </c>
      <c r="AC1327">
        <v>6.2</v>
      </c>
      <c r="AD1327" t="s">
        <v>53</v>
      </c>
      <c r="AE1327" t="str">
        <f>IF(AND(data[[#This Row],[Age]]&gt;=18,data[[#This Row],[Age]]&lt;=24),"18-24",IF(AND(data[[#This Row],[Age]]&gt;=25,data[[#This Row],[Age]]&lt;=34),"25-34",IF(AND(data[[#This Row],[Age]]&gt;35,data[[#This Row],[Age]]&lt;=44),"35-44",IF(data[[#This Row],[Age]]&gt;44,"45+",IF(data[[#This Row],[Age]]&lt;18,"below 18 ")))))</f>
        <v>35-44</v>
      </c>
    </row>
    <row r="1328" spans="1:31" x14ac:dyDescent="0.25">
      <c r="A1328" t="s">
        <v>1381</v>
      </c>
      <c r="B1328">
        <v>44</v>
      </c>
      <c r="C1328" t="s">
        <v>47</v>
      </c>
      <c r="D1328" t="s">
        <v>57</v>
      </c>
      <c r="E1328" t="s">
        <v>58</v>
      </c>
      <c r="F1328" t="s">
        <v>41</v>
      </c>
      <c r="G1328">
        <v>9.8000000000000007</v>
      </c>
      <c r="H1328">
        <v>1</v>
      </c>
      <c r="I1328">
        <v>4</v>
      </c>
      <c r="J1328" t="s">
        <v>42</v>
      </c>
      <c r="K1328" t="s">
        <v>52</v>
      </c>
      <c r="L1328">
        <v>29</v>
      </c>
      <c r="M1328">
        <v>3.4</v>
      </c>
      <c r="N1328">
        <v>6.3</v>
      </c>
      <c r="O1328">
        <v>4.9000000000000004</v>
      </c>
      <c r="P1328">
        <v>4.9000000000000004</v>
      </c>
      <c r="Q1328" t="s">
        <v>42</v>
      </c>
      <c r="R1328" t="s">
        <v>35</v>
      </c>
      <c r="S1328">
        <v>5</v>
      </c>
      <c r="T1328">
        <v>0.7</v>
      </c>
      <c r="U1328">
        <v>6.2</v>
      </c>
      <c r="V1328">
        <v>5.4</v>
      </c>
      <c r="W1328">
        <v>5.7</v>
      </c>
      <c r="X1328">
        <v>7.1</v>
      </c>
      <c r="Y1328">
        <v>2.8</v>
      </c>
      <c r="Z1328">
        <v>5.2</v>
      </c>
      <c r="AA1328">
        <v>4.5</v>
      </c>
      <c r="AB1328">
        <v>3.6</v>
      </c>
      <c r="AC1328">
        <v>6.5</v>
      </c>
      <c r="AD1328" t="s">
        <v>53</v>
      </c>
      <c r="AE1328" t="str">
        <f>IF(AND(data[[#This Row],[Age]]&gt;=18,data[[#This Row],[Age]]&lt;=24),"18-24",IF(AND(data[[#This Row],[Age]]&gt;=25,data[[#This Row],[Age]]&lt;=34),"25-34",IF(AND(data[[#This Row],[Age]]&gt;35,data[[#This Row],[Age]]&lt;=44),"35-44",IF(data[[#This Row],[Age]]&gt;44,"45+",IF(data[[#This Row],[Age]]&lt;18,"below 18 ")))))</f>
        <v>35-44</v>
      </c>
    </row>
    <row r="1329" spans="1:31" x14ac:dyDescent="0.25">
      <c r="A1329" t="s">
        <v>1382</v>
      </c>
      <c r="B1329">
        <v>19</v>
      </c>
      <c r="C1329" t="s">
        <v>50</v>
      </c>
      <c r="D1329" t="s">
        <v>39</v>
      </c>
      <c r="E1329" t="s">
        <v>40</v>
      </c>
      <c r="F1329" t="s">
        <v>59</v>
      </c>
      <c r="G1329">
        <v>3.1</v>
      </c>
      <c r="H1329">
        <v>3</v>
      </c>
      <c r="I1329">
        <v>4</v>
      </c>
      <c r="J1329" t="s">
        <v>42</v>
      </c>
      <c r="K1329" t="s">
        <v>36</v>
      </c>
      <c r="L1329">
        <v>65</v>
      </c>
      <c r="M1329">
        <v>5.2</v>
      </c>
      <c r="N1329">
        <v>5.4</v>
      </c>
      <c r="O1329">
        <v>4.7</v>
      </c>
      <c r="P1329">
        <v>5.8</v>
      </c>
      <c r="Q1329" t="s">
        <v>42</v>
      </c>
      <c r="R1329" t="s">
        <v>35</v>
      </c>
      <c r="S1329">
        <v>6.8</v>
      </c>
      <c r="T1329">
        <v>7.5</v>
      </c>
      <c r="U1329">
        <v>2.1</v>
      </c>
      <c r="W1329">
        <v>2.6</v>
      </c>
      <c r="X1329">
        <v>6.2</v>
      </c>
      <c r="Y1329">
        <v>4.3</v>
      </c>
      <c r="Z1329">
        <v>4.0999999999999996</v>
      </c>
      <c r="AA1329">
        <v>4.9000000000000004</v>
      </c>
      <c r="AB1329">
        <v>1.8</v>
      </c>
      <c r="AC1329">
        <v>7.6</v>
      </c>
      <c r="AD1329" t="s">
        <v>53</v>
      </c>
      <c r="AE1329" t="str">
        <f>IF(AND(data[[#This Row],[Age]]&gt;=18,data[[#This Row],[Age]]&lt;=24),"18-24",IF(AND(data[[#This Row],[Age]]&gt;=25,data[[#This Row],[Age]]&lt;=34),"25-34",IF(AND(data[[#This Row],[Age]]&gt;35,data[[#This Row],[Age]]&lt;=44),"35-44",IF(data[[#This Row],[Age]]&gt;44,"45+",IF(data[[#This Row],[Age]]&lt;18,"below 18 ")))))</f>
        <v>18-24</v>
      </c>
    </row>
    <row r="1330" spans="1:31" x14ac:dyDescent="0.25">
      <c r="A1330" t="s">
        <v>1383</v>
      </c>
      <c r="B1330">
        <v>29</v>
      </c>
      <c r="C1330" t="s">
        <v>47</v>
      </c>
      <c r="D1330" t="s">
        <v>39</v>
      </c>
      <c r="E1330" t="s">
        <v>58</v>
      </c>
      <c r="F1330" t="s">
        <v>59</v>
      </c>
      <c r="G1330">
        <v>1.6</v>
      </c>
      <c r="H1330">
        <v>2</v>
      </c>
      <c r="I1330">
        <v>2</v>
      </c>
      <c r="J1330" t="s">
        <v>35</v>
      </c>
      <c r="K1330" t="s">
        <v>36</v>
      </c>
      <c r="L1330">
        <v>44</v>
      </c>
      <c r="M1330">
        <v>5.7</v>
      </c>
      <c r="N1330">
        <v>5.4</v>
      </c>
      <c r="O1330">
        <v>4.0999999999999996</v>
      </c>
      <c r="P1330">
        <v>6.8</v>
      </c>
      <c r="Q1330" t="s">
        <v>35</v>
      </c>
      <c r="R1330" t="s">
        <v>42</v>
      </c>
      <c r="S1330">
        <v>6.4</v>
      </c>
      <c r="T1330">
        <v>5</v>
      </c>
      <c r="U1330">
        <v>2.6</v>
      </c>
      <c r="V1330">
        <v>9.1999999999999993</v>
      </c>
      <c r="W1330">
        <v>7.8</v>
      </c>
      <c r="X1330">
        <v>5.5</v>
      </c>
      <c r="Y1330">
        <v>7.3</v>
      </c>
      <c r="Z1330">
        <v>6.6</v>
      </c>
      <c r="AA1330">
        <v>4.7</v>
      </c>
      <c r="AB1330">
        <v>1.2</v>
      </c>
      <c r="AC1330">
        <v>6.9</v>
      </c>
      <c r="AD1330" t="s">
        <v>53</v>
      </c>
      <c r="AE1330" t="str">
        <f>IF(AND(data[[#This Row],[Age]]&gt;=18,data[[#This Row],[Age]]&lt;=24),"18-24",IF(AND(data[[#This Row],[Age]]&gt;=25,data[[#This Row],[Age]]&lt;=34),"25-34",IF(AND(data[[#This Row],[Age]]&gt;35,data[[#This Row],[Age]]&lt;=44),"35-44",IF(data[[#This Row],[Age]]&gt;44,"45+",IF(data[[#This Row],[Age]]&lt;18,"below 18 ")))))</f>
        <v>25-34</v>
      </c>
    </row>
    <row r="1331" spans="1:31" x14ac:dyDescent="0.25">
      <c r="A1331" t="s">
        <v>1384</v>
      </c>
      <c r="B1331">
        <v>36</v>
      </c>
      <c r="C1331" t="s">
        <v>50</v>
      </c>
      <c r="D1331" t="s">
        <v>64</v>
      </c>
      <c r="E1331" t="s">
        <v>58</v>
      </c>
      <c r="F1331" t="s">
        <v>41</v>
      </c>
      <c r="G1331">
        <v>2.4</v>
      </c>
      <c r="H1331">
        <v>4</v>
      </c>
      <c r="I1331">
        <v>3</v>
      </c>
      <c r="J1331" t="s">
        <v>42</v>
      </c>
      <c r="K1331" t="s">
        <v>52</v>
      </c>
      <c r="L1331">
        <v>47</v>
      </c>
      <c r="M1331">
        <v>10</v>
      </c>
      <c r="N1331">
        <v>7.9</v>
      </c>
      <c r="O1331">
        <v>4.5</v>
      </c>
      <c r="P1331">
        <v>7.1</v>
      </c>
      <c r="Q1331" t="s">
        <v>42</v>
      </c>
      <c r="R1331" t="s">
        <v>35</v>
      </c>
      <c r="S1331">
        <v>7</v>
      </c>
      <c r="T1331">
        <v>5.7</v>
      </c>
      <c r="U1331">
        <v>6.4</v>
      </c>
      <c r="V1331">
        <v>6.8</v>
      </c>
      <c r="X1331">
        <v>6.1</v>
      </c>
      <c r="Y1331">
        <v>5.3</v>
      </c>
      <c r="Z1331">
        <v>2.4</v>
      </c>
      <c r="AA1331">
        <v>0.9</v>
      </c>
      <c r="AB1331">
        <v>0</v>
      </c>
      <c r="AC1331">
        <v>4</v>
      </c>
      <c r="AD1331" t="s">
        <v>43</v>
      </c>
      <c r="AE1331" t="str">
        <f>IF(AND(data[[#This Row],[Age]]&gt;=18,data[[#This Row],[Age]]&lt;=24),"18-24",IF(AND(data[[#This Row],[Age]]&gt;=25,data[[#This Row],[Age]]&lt;=34),"25-34",IF(AND(data[[#This Row],[Age]]&gt;35,data[[#This Row],[Age]]&lt;=44),"35-44",IF(data[[#This Row],[Age]]&gt;44,"45+",IF(data[[#This Row],[Age]]&lt;18,"below 18 ")))))</f>
        <v>35-44</v>
      </c>
    </row>
    <row r="1332" spans="1:31" x14ac:dyDescent="0.25">
      <c r="A1332" t="s">
        <v>1385</v>
      </c>
      <c r="B1332">
        <v>43</v>
      </c>
      <c r="C1332" t="s">
        <v>50</v>
      </c>
      <c r="D1332" t="s">
        <v>32</v>
      </c>
      <c r="E1332" t="s">
        <v>40</v>
      </c>
      <c r="F1332" t="s">
        <v>51</v>
      </c>
      <c r="G1332">
        <v>3.8</v>
      </c>
      <c r="H1332">
        <v>1</v>
      </c>
      <c r="I1332">
        <v>8</v>
      </c>
      <c r="J1332" t="s">
        <v>42</v>
      </c>
      <c r="K1332" t="s">
        <v>36</v>
      </c>
      <c r="L1332">
        <v>5</v>
      </c>
      <c r="M1332">
        <v>10</v>
      </c>
      <c r="N1332">
        <v>4.7</v>
      </c>
      <c r="O1332">
        <v>4.2</v>
      </c>
      <c r="P1332">
        <v>3.2</v>
      </c>
      <c r="Q1332" t="s">
        <v>35</v>
      </c>
      <c r="R1332" t="s">
        <v>42</v>
      </c>
      <c r="S1332">
        <v>3.1</v>
      </c>
      <c r="T1332">
        <v>7.9</v>
      </c>
      <c r="U1332">
        <v>7.2</v>
      </c>
      <c r="V1332">
        <v>5.4</v>
      </c>
      <c r="W1332">
        <v>6.1</v>
      </c>
      <c r="X1332">
        <v>7.7</v>
      </c>
      <c r="Y1332">
        <v>2.5</v>
      </c>
      <c r="Z1332">
        <v>2.5</v>
      </c>
      <c r="AA1332">
        <v>4.0999999999999996</v>
      </c>
      <c r="AB1332">
        <v>4.5999999999999996</v>
      </c>
      <c r="AC1332">
        <v>5</v>
      </c>
      <c r="AD1332" t="s">
        <v>45</v>
      </c>
      <c r="AE1332" t="str">
        <f>IF(AND(data[[#This Row],[Age]]&gt;=18,data[[#This Row],[Age]]&lt;=24),"18-24",IF(AND(data[[#This Row],[Age]]&gt;=25,data[[#This Row],[Age]]&lt;=34),"25-34",IF(AND(data[[#This Row],[Age]]&gt;35,data[[#This Row],[Age]]&lt;=44),"35-44",IF(data[[#This Row],[Age]]&gt;44,"45+",IF(data[[#This Row],[Age]]&lt;18,"below 18 ")))))</f>
        <v>35-44</v>
      </c>
    </row>
    <row r="1333" spans="1:31" x14ac:dyDescent="0.25">
      <c r="A1333" t="s">
        <v>1386</v>
      </c>
      <c r="B1333">
        <v>28</v>
      </c>
      <c r="C1333" t="s">
        <v>31</v>
      </c>
      <c r="D1333" t="s">
        <v>39</v>
      </c>
      <c r="E1333" t="s">
        <v>58</v>
      </c>
      <c r="F1333" t="s">
        <v>59</v>
      </c>
      <c r="G1333">
        <v>4.5</v>
      </c>
      <c r="H1333">
        <v>5</v>
      </c>
      <c r="I1333">
        <v>3</v>
      </c>
      <c r="J1333" t="s">
        <v>42</v>
      </c>
      <c r="K1333" t="s">
        <v>52</v>
      </c>
      <c r="L1333">
        <v>41</v>
      </c>
      <c r="M1333">
        <v>6.2</v>
      </c>
      <c r="N1333">
        <v>6.4</v>
      </c>
      <c r="O1333">
        <v>6.2</v>
      </c>
      <c r="P1333">
        <v>7.4</v>
      </c>
      <c r="Q1333" t="s">
        <v>42</v>
      </c>
      <c r="R1333" t="s">
        <v>35</v>
      </c>
      <c r="S1333">
        <v>6.5</v>
      </c>
      <c r="T1333">
        <v>5.4</v>
      </c>
      <c r="V1333">
        <v>3.3</v>
      </c>
      <c r="W1333">
        <v>6.6</v>
      </c>
      <c r="X1333">
        <v>7.2</v>
      </c>
      <c r="Y1333">
        <v>6.3</v>
      </c>
      <c r="Z1333">
        <v>1.1000000000000001</v>
      </c>
      <c r="AA1333">
        <v>4.5</v>
      </c>
      <c r="AB1333">
        <v>2</v>
      </c>
      <c r="AC1333">
        <v>5.7</v>
      </c>
      <c r="AD1333" t="s">
        <v>43</v>
      </c>
      <c r="AE1333" t="str">
        <f>IF(AND(data[[#This Row],[Age]]&gt;=18,data[[#This Row],[Age]]&lt;=24),"18-24",IF(AND(data[[#This Row],[Age]]&gt;=25,data[[#This Row],[Age]]&lt;=34),"25-34",IF(AND(data[[#This Row],[Age]]&gt;35,data[[#This Row],[Age]]&lt;=44),"35-44",IF(data[[#This Row],[Age]]&gt;44,"45+",IF(data[[#This Row],[Age]]&lt;18,"below 18 ")))))</f>
        <v>25-34</v>
      </c>
    </row>
    <row r="1334" spans="1:31" x14ac:dyDescent="0.25">
      <c r="A1334" t="s">
        <v>1387</v>
      </c>
      <c r="B1334">
        <v>32</v>
      </c>
      <c r="C1334" t="s">
        <v>47</v>
      </c>
      <c r="D1334" t="s">
        <v>39</v>
      </c>
      <c r="E1334" t="s">
        <v>33</v>
      </c>
      <c r="F1334" t="s">
        <v>41</v>
      </c>
      <c r="G1334">
        <v>0.5</v>
      </c>
      <c r="H1334">
        <v>1</v>
      </c>
      <c r="I1334">
        <v>0</v>
      </c>
      <c r="J1334" t="s">
        <v>35</v>
      </c>
      <c r="K1334" t="s">
        <v>52</v>
      </c>
      <c r="L1334">
        <v>50</v>
      </c>
      <c r="M1334">
        <v>4.8</v>
      </c>
      <c r="N1334">
        <v>1.6</v>
      </c>
      <c r="O1334">
        <v>8.4</v>
      </c>
      <c r="P1334">
        <v>5.7</v>
      </c>
      <c r="Q1334" t="s">
        <v>42</v>
      </c>
      <c r="R1334" t="s">
        <v>35</v>
      </c>
      <c r="S1334">
        <v>7.7</v>
      </c>
      <c r="T1334">
        <v>4.8</v>
      </c>
      <c r="U1334">
        <v>2.7</v>
      </c>
      <c r="V1334">
        <v>6.4</v>
      </c>
      <c r="W1334">
        <v>4.2</v>
      </c>
      <c r="X1334">
        <v>7</v>
      </c>
      <c r="Y1334">
        <v>4.4000000000000004</v>
      </c>
      <c r="Z1334">
        <v>5.6</v>
      </c>
      <c r="AA1334">
        <v>1.4</v>
      </c>
      <c r="AB1334">
        <v>1.9</v>
      </c>
      <c r="AC1334">
        <v>7.3</v>
      </c>
      <c r="AD1334" t="s">
        <v>37</v>
      </c>
      <c r="AE1334" t="str">
        <f>IF(AND(data[[#This Row],[Age]]&gt;=18,data[[#This Row],[Age]]&lt;=24),"18-24",IF(AND(data[[#This Row],[Age]]&gt;=25,data[[#This Row],[Age]]&lt;=34),"25-34",IF(AND(data[[#This Row],[Age]]&gt;35,data[[#This Row],[Age]]&lt;=44),"35-44",IF(data[[#This Row],[Age]]&gt;44,"45+",IF(data[[#This Row],[Age]]&lt;18,"below 18 ")))))</f>
        <v>25-34</v>
      </c>
    </row>
    <row r="1335" spans="1:31" x14ac:dyDescent="0.25">
      <c r="A1335" t="s">
        <v>1388</v>
      </c>
      <c r="B1335">
        <v>22</v>
      </c>
      <c r="C1335" t="s">
        <v>50</v>
      </c>
      <c r="D1335" t="s">
        <v>32</v>
      </c>
      <c r="E1335" t="s">
        <v>58</v>
      </c>
      <c r="F1335" t="s">
        <v>41</v>
      </c>
      <c r="G1335">
        <v>0.5</v>
      </c>
      <c r="H1335">
        <v>4</v>
      </c>
      <c r="I1335">
        <v>4</v>
      </c>
      <c r="J1335" t="s">
        <v>35</v>
      </c>
      <c r="K1335" t="s">
        <v>36</v>
      </c>
      <c r="L1335">
        <v>26</v>
      </c>
      <c r="M1335">
        <v>4.8</v>
      </c>
      <c r="N1335">
        <v>4.5999999999999996</v>
      </c>
      <c r="O1335">
        <v>6.7</v>
      </c>
      <c r="P1335">
        <v>5.2</v>
      </c>
      <c r="Q1335" t="s">
        <v>35</v>
      </c>
      <c r="R1335" t="s">
        <v>35</v>
      </c>
      <c r="S1335">
        <v>4.3</v>
      </c>
      <c r="T1335">
        <v>5.2</v>
      </c>
      <c r="U1335">
        <v>4.8</v>
      </c>
      <c r="V1335">
        <v>2.8</v>
      </c>
      <c r="W1335">
        <v>8.3000000000000007</v>
      </c>
      <c r="X1335">
        <v>6.2</v>
      </c>
      <c r="Y1335">
        <v>6.5</v>
      </c>
      <c r="Z1335">
        <v>5.3</v>
      </c>
      <c r="AA1335">
        <v>1.2</v>
      </c>
      <c r="AB1335">
        <v>5.0999999999999996</v>
      </c>
      <c r="AC1335">
        <v>7.3</v>
      </c>
      <c r="AD1335" t="s">
        <v>37</v>
      </c>
      <c r="AE1335" t="str">
        <f>IF(AND(data[[#This Row],[Age]]&gt;=18,data[[#This Row],[Age]]&lt;=24),"18-24",IF(AND(data[[#This Row],[Age]]&gt;=25,data[[#This Row],[Age]]&lt;=34),"25-34",IF(AND(data[[#This Row],[Age]]&gt;35,data[[#This Row],[Age]]&lt;=44),"35-44",IF(data[[#This Row],[Age]]&gt;44,"45+",IF(data[[#This Row],[Age]]&lt;18,"below 18 ")))))</f>
        <v>18-24</v>
      </c>
    </row>
    <row r="1336" spans="1:31" x14ac:dyDescent="0.25">
      <c r="A1336" t="s">
        <v>1389</v>
      </c>
      <c r="B1336">
        <v>35</v>
      </c>
      <c r="C1336" t="s">
        <v>31</v>
      </c>
      <c r="D1336" t="s">
        <v>57</v>
      </c>
      <c r="E1336" t="s">
        <v>40</v>
      </c>
      <c r="F1336" t="s">
        <v>41</v>
      </c>
      <c r="H1336">
        <v>3</v>
      </c>
      <c r="I1336">
        <v>4</v>
      </c>
      <c r="J1336" t="s">
        <v>42</v>
      </c>
      <c r="K1336" t="s">
        <v>36</v>
      </c>
      <c r="L1336">
        <v>36</v>
      </c>
      <c r="M1336">
        <v>6.7</v>
      </c>
      <c r="N1336">
        <v>3.3</v>
      </c>
      <c r="O1336">
        <v>2.2999999999999998</v>
      </c>
      <c r="P1336">
        <v>3.2</v>
      </c>
      <c r="Q1336" t="s">
        <v>35</v>
      </c>
      <c r="R1336" t="s">
        <v>35</v>
      </c>
      <c r="S1336">
        <v>4.4000000000000004</v>
      </c>
      <c r="T1336">
        <v>1.8</v>
      </c>
      <c r="U1336">
        <v>3.5</v>
      </c>
      <c r="V1336">
        <v>4.9000000000000004</v>
      </c>
      <c r="W1336">
        <v>4.4000000000000004</v>
      </c>
      <c r="X1336">
        <v>6.5</v>
      </c>
      <c r="Y1336">
        <v>5.8</v>
      </c>
      <c r="Z1336">
        <v>8.3000000000000007</v>
      </c>
      <c r="AA1336">
        <v>2.2000000000000002</v>
      </c>
      <c r="AC1336">
        <v>6.5</v>
      </c>
      <c r="AD1336" t="s">
        <v>53</v>
      </c>
      <c r="AE1336" t="b">
        <f>IF(AND(data[[#This Row],[Age]]&gt;=18,data[[#This Row],[Age]]&lt;=24),"18-24",IF(AND(data[[#This Row],[Age]]&gt;=25,data[[#This Row],[Age]]&lt;=34),"25-34",IF(AND(data[[#This Row],[Age]]&gt;35,data[[#This Row],[Age]]&lt;=44),"35-44",IF(data[[#This Row],[Age]]&gt;44,"45+",IF(data[[#This Row],[Age]]&lt;18,"below 18 ")))))</f>
        <v>0</v>
      </c>
    </row>
    <row r="1337" spans="1:31" x14ac:dyDescent="0.25">
      <c r="A1337" t="s">
        <v>1390</v>
      </c>
      <c r="B1337">
        <v>35</v>
      </c>
      <c r="C1337" t="s">
        <v>47</v>
      </c>
      <c r="D1337" t="s">
        <v>39</v>
      </c>
      <c r="E1337" t="s">
        <v>33</v>
      </c>
      <c r="F1337" t="s">
        <v>51</v>
      </c>
      <c r="G1337">
        <v>1.4</v>
      </c>
      <c r="H1337">
        <v>3</v>
      </c>
      <c r="I1337">
        <v>2</v>
      </c>
      <c r="J1337" t="s">
        <v>42</v>
      </c>
      <c r="K1337" t="s">
        <v>36</v>
      </c>
      <c r="L1337">
        <v>34</v>
      </c>
      <c r="M1337">
        <v>2.6</v>
      </c>
      <c r="N1337">
        <v>5.4</v>
      </c>
      <c r="O1337">
        <v>6.5</v>
      </c>
      <c r="P1337">
        <v>7.4</v>
      </c>
      <c r="Q1337" t="s">
        <v>42</v>
      </c>
      <c r="R1337" t="s">
        <v>35</v>
      </c>
      <c r="S1337">
        <v>6.6</v>
      </c>
      <c r="T1337">
        <v>9.3000000000000007</v>
      </c>
      <c r="U1337">
        <v>1.3</v>
      </c>
      <c r="V1337">
        <v>5.4</v>
      </c>
      <c r="X1337">
        <v>8.3000000000000007</v>
      </c>
      <c r="Y1337">
        <v>2.2000000000000002</v>
      </c>
      <c r="Z1337">
        <v>4.5999999999999996</v>
      </c>
      <c r="AA1337">
        <v>6.3</v>
      </c>
      <c r="AB1337">
        <v>6.2</v>
      </c>
      <c r="AC1337">
        <v>6.5</v>
      </c>
      <c r="AD1337" t="s">
        <v>53</v>
      </c>
      <c r="AE1337" t="b">
        <f>IF(AND(data[[#This Row],[Age]]&gt;=18,data[[#This Row],[Age]]&lt;=24),"18-24",IF(AND(data[[#This Row],[Age]]&gt;=25,data[[#This Row],[Age]]&lt;=34),"25-34",IF(AND(data[[#This Row],[Age]]&gt;35,data[[#This Row],[Age]]&lt;=44),"35-44",IF(data[[#This Row],[Age]]&gt;44,"45+",IF(data[[#This Row],[Age]]&lt;18,"below 18 ")))))</f>
        <v>0</v>
      </c>
    </row>
    <row r="1338" spans="1:31" x14ac:dyDescent="0.25">
      <c r="A1338" t="s">
        <v>1391</v>
      </c>
      <c r="B1338">
        <v>35</v>
      </c>
      <c r="C1338" t="s">
        <v>47</v>
      </c>
      <c r="D1338" t="s">
        <v>32</v>
      </c>
      <c r="E1338" t="s">
        <v>40</v>
      </c>
      <c r="F1338" t="s">
        <v>34</v>
      </c>
      <c r="G1338">
        <v>6</v>
      </c>
      <c r="H1338">
        <v>2</v>
      </c>
      <c r="I1338">
        <v>2</v>
      </c>
      <c r="J1338" t="s">
        <v>35</v>
      </c>
      <c r="K1338" t="s">
        <v>36</v>
      </c>
      <c r="L1338">
        <v>103</v>
      </c>
      <c r="N1338">
        <v>6.1</v>
      </c>
      <c r="O1338">
        <v>0</v>
      </c>
      <c r="P1338">
        <v>8.3000000000000007</v>
      </c>
      <c r="Q1338" t="s">
        <v>42</v>
      </c>
      <c r="R1338" t="s">
        <v>42</v>
      </c>
      <c r="S1338">
        <v>8.1</v>
      </c>
      <c r="T1338">
        <v>7</v>
      </c>
      <c r="U1338">
        <v>7.2</v>
      </c>
      <c r="V1338">
        <v>3.1</v>
      </c>
      <c r="W1338">
        <v>8.1</v>
      </c>
      <c r="X1338">
        <v>5.3</v>
      </c>
      <c r="Y1338">
        <v>6.3</v>
      </c>
      <c r="Z1338">
        <v>3.7</v>
      </c>
      <c r="AA1338">
        <v>4.4000000000000004</v>
      </c>
      <c r="AB1338">
        <v>3.3</v>
      </c>
      <c r="AC1338">
        <v>5</v>
      </c>
      <c r="AD1338" t="s">
        <v>43</v>
      </c>
      <c r="AE1338" t="b">
        <f>IF(AND(data[[#This Row],[Age]]&gt;=18,data[[#This Row],[Age]]&lt;=24),"18-24",IF(AND(data[[#This Row],[Age]]&gt;=25,data[[#This Row],[Age]]&lt;=34),"25-34",IF(AND(data[[#This Row],[Age]]&gt;35,data[[#This Row],[Age]]&lt;=44),"35-44",IF(data[[#This Row],[Age]]&gt;44,"45+",IF(data[[#This Row],[Age]]&lt;18,"below 18 ")))))</f>
        <v>0</v>
      </c>
    </row>
    <row r="1339" spans="1:31" x14ac:dyDescent="0.25">
      <c r="A1339" t="s">
        <v>1392</v>
      </c>
      <c r="B1339">
        <v>29</v>
      </c>
      <c r="C1339" t="s">
        <v>31</v>
      </c>
      <c r="D1339" t="s">
        <v>39</v>
      </c>
      <c r="E1339" t="s">
        <v>33</v>
      </c>
      <c r="F1339" t="s">
        <v>48</v>
      </c>
      <c r="H1339">
        <v>2</v>
      </c>
      <c r="I1339">
        <v>8</v>
      </c>
      <c r="J1339" t="s">
        <v>42</v>
      </c>
      <c r="K1339" t="s">
        <v>52</v>
      </c>
      <c r="L1339">
        <v>113</v>
      </c>
      <c r="M1339">
        <v>4.7</v>
      </c>
      <c r="N1339">
        <v>5.9</v>
      </c>
      <c r="O1339">
        <v>2.4</v>
      </c>
      <c r="P1339">
        <v>5.9</v>
      </c>
      <c r="Q1339" t="s">
        <v>35</v>
      </c>
      <c r="R1339" t="s">
        <v>35</v>
      </c>
      <c r="S1339">
        <v>4.7</v>
      </c>
      <c r="T1339">
        <v>4.5999999999999996</v>
      </c>
      <c r="U1339">
        <v>6.7</v>
      </c>
      <c r="V1339">
        <v>4.9000000000000004</v>
      </c>
      <c r="W1339">
        <v>5.2</v>
      </c>
      <c r="X1339">
        <v>7.5</v>
      </c>
      <c r="Y1339">
        <v>3.2</v>
      </c>
      <c r="Z1339">
        <v>2.2000000000000002</v>
      </c>
      <c r="AA1339">
        <v>0</v>
      </c>
      <c r="AB1339">
        <v>3.4</v>
      </c>
      <c r="AC1339">
        <v>6.1</v>
      </c>
      <c r="AD1339" t="s">
        <v>53</v>
      </c>
      <c r="AE1339" t="str">
        <f>IF(AND(data[[#This Row],[Age]]&gt;=18,data[[#This Row],[Age]]&lt;=24),"18-24",IF(AND(data[[#This Row],[Age]]&gt;=25,data[[#This Row],[Age]]&lt;=34),"25-34",IF(AND(data[[#This Row],[Age]]&gt;35,data[[#This Row],[Age]]&lt;=44),"35-44",IF(data[[#This Row],[Age]]&gt;44,"45+",IF(data[[#This Row],[Age]]&lt;18,"below 18 ")))))</f>
        <v>25-34</v>
      </c>
    </row>
    <row r="1340" spans="1:31" x14ac:dyDescent="0.25">
      <c r="A1340" t="s">
        <v>1393</v>
      </c>
      <c r="B1340">
        <v>29</v>
      </c>
      <c r="C1340" t="s">
        <v>47</v>
      </c>
      <c r="D1340" t="s">
        <v>32</v>
      </c>
      <c r="E1340" t="s">
        <v>58</v>
      </c>
      <c r="F1340" t="s">
        <v>70</v>
      </c>
      <c r="G1340">
        <v>0.5</v>
      </c>
      <c r="H1340">
        <v>6</v>
      </c>
      <c r="I1340">
        <v>4</v>
      </c>
      <c r="J1340" t="s">
        <v>35</v>
      </c>
      <c r="K1340" t="s">
        <v>62</v>
      </c>
      <c r="L1340">
        <v>63</v>
      </c>
      <c r="M1340">
        <v>3.1</v>
      </c>
      <c r="N1340">
        <v>10</v>
      </c>
      <c r="O1340">
        <v>10</v>
      </c>
      <c r="P1340">
        <v>2.9</v>
      </c>
      <c r="Q1340" t="s">
        <v>42</v>
      </c>
      <c r="R1340" t="s">
        <v>35</v>
      </c>
      <c r="S1340">
        <v>5.3</v>
      </c>
      <c r="T1340">
        <v>4.5999999999999996</v>
      </c>
      <c r="U1340">
        <v>4.5999999999999996</v>
      </c>
      <c r="V1340">
        <v>5.0999999999999996</v>
      </c>
      <c r="W1340">
        <v>4.0999999999999996</v>
      </c>
      <c r="X1340">
        <v>7.3</v>
      </c>
      <c r="Y1340">
        <v>2.2999999999999998</v>
      </c>
      <c r="Z1340">
        <v>2</v>
      </c>
      <c r="AA1340">
        <v>0</v>
      </c>
      <c r="AB1340">
        <v>2.2000000000000002</v>
      </c>
      <c r="AC1340">
        <v>7.3</v>
      </c>
      <c r="AD1340" t="s">
        <v>53</v>
      </c>
      <c r="AE1340" t="str">
        <f>IF(AND(data[[#This Row],[Age]]&gt;=18,data[[#This Row],[Age]]&lt;=24),"18-24",IF(AND(data[[#This Row],[Age]]&gt;=25,data[[#This Row],[Age]]&lt;=34),"25-34",IF(AND(data[[#This Row],[Age]]&gt;35,data[[#This Row],[Age]]&lt;=44),"35-44",IF(data[[#This Row],[Age]]&gt;44,"45+",IF(data[[#This Row],[Age]]&lt;18,"below 18 ")))))</f>
        <v>25-34</v>
      </c>
    </row>
    <row r="1341" spans="1:31" x14ac:dyDescent="0.25">
      <c r="A1341" t="s">
        <v>1394</v>
      </c>
      <c r="B1341">
        <v>17</v>
      </c>
      <c r="C1341" t="s">
        <v>47</v>
      </c>
      <c r="D1341" t="s">
        <v>32</v>
      </c>
      <c r="E1341" t="s">
        <v>33</v>
      </c>
      <c r="F1341" t="s">
        <v>70</v>
      </c>
      <c r="G1341">
        <v>5.7</v>
      </c>
      <c r="H1341">
        <v>3</v>
      </c>
      <c r="I1341">
        <v>3</v>
      </c>
      <c r="J1341" t="s">
        <v>42</v>
      </c>
      <c r="K1341" t="s">
        <v>36</v>
      </c>
      <c r="L1341">
        <v>49</v>
      </c>
      <c r="M1341">
        <v>5.6</v>
      </c>
      <c r="N1341">
        <v>10</v>
      </c>
      <c r="P1341">
        <v>2.2000000000000002</v>
      </c>
      <c r="Q1341" t="s">
        <v>35</v>
      </c>
      <c r="R1341" t="s">
        <v>42</v>
      </c>
      <c r="S1341">
        <v>5.6</v>
      </c>
      <c r="T1341">
        <v>2.5</v>
      </c>
      <c r="U1341">
        <v>2.5</v>
      </c>
      <c r="V1341">
        <v>2.6</v>
      </c>
      <c r="W1341">
        <v>3.4</v>
      </c>
      <c r="X1341">
        <v>5.8</v>
      </c>
      <c r="Y1341">
        <v>6.7</v>
      </c>
      <c r="Z1341">
        <v>6.7</v>
      </c>
      <c r="AA1341">
        <v>4</v>
      </c>
      <c r="AB1341">
        <v>2.1</v>
      </c>
      <c r="AC1341">
        <v>3.8</v>
      </c>
      <c r="AD1341" t="s">
        <v>43</v>
      </c>
      <c r="AE1341" t="str">
        <f>IF(AND(data[[#This Row],[Age]]&gt;=18,data[[#This Row],[Age]]&lt;=24),"18-24",IF(AND(data[[#This Row],[Age]]&gt;=25,data[[#This Row],[Age]]&lt;=34),"25-34",IF(AND(data[[#This Row],[Age]]&gt;35,data[[#This Row],[Age]]&lt;=44),"35-44",IF(data[[#This Row],[Age]]&gt;44,"45+",IF(data[[#This Row],[Age]]&lt;18,"below 18 ")))))</f>
        <v xml:space="preserve">below 18 </v>
      </c>
    </row>
    <row r="1342" spans="1:31" x14ac:dyDescent="0.25">
      <c r="A1342" t="s">
        <v>1395</v>
      </c>
      <c r="B1342">
        <v>30</v>
      </c>
      <c r="C1342" t="s">
        <v>47</v>
      </c>
      <c r="D1342" t="s">
        <v>32</v>
      </c>
      <c r="E1342" t="s">
        <v>58</v>
      </c>
      <c r="F1342" t="s">
        <v>41</v>
      </c>
      <c r="G1342">
        <v>4.5999999999999996</v>
      </c>
      <c r="H1342">
        <v>3</v>
      </c>
      <c r="I1342">
        <v>6</v>
      </c>
      <c r="J1342" t="s">
        <v>42</v>
      </c>
      <c r="K1342" t="s">
        <v>36</v>
      </c>
      <c r="L1342">
        <v>85</v>
      </c>
      <c r="M1342">
        <v>9</v>
      </c>
      <c r="N1342">
        <v>4.8</v>
      </c>
      <c r="O1342">
        <v>4.5999999999999996</v>
      </c>
      <c r="P1342">
        <v>3.3</v>
      </c>
      <c r="Q1342" t="s">
        <v>35</v>
      </c>
      <c r="R1342" t="s">
        <v>42</v>
      </c>
      <c r="S1342">
        <v>5</v>
      </c>
      <c r="T1342">
        <v>5.6</v>
      </c>
      <c r="U1342">
        <v>3.8</v>
      </c>
      <c r="V1342">
        <v>9.1</v>
      </c>
      <c r="W1342">
        <v>6.9</v>
      </c>
      <c r="X1342">
        <v>4.3</v>
      </c>
      <c r="Y1342">
        <v>3.7</v>
      </c>
      <c r="Z1342">
        <v>6.3</v>
      </c>
      <c r="AA1342">
        <v>1.9</v>
      </c>
      <c r="AB1342">
        <v>1.9</v>
      </c>
      <c r="AC1342">
        <v>5.8</v>
      </c>
      <c r="AD1342" t="s">
        <v>43</v>
      </c>
      <c r="AE1342" t="str">
        <f>IF(AND(data[[#This Row],[Age]]&gt;=18,data[[#This Row],[Age]]&lt;=24),"18-24",IF(AND(data[[#This Row],[Age]]&gt;=25,data[[#This Row],[Age]]&lt;=34),"25-34",IF(AND(data[[#This Row],[Age]]&gt;35,data[[#This Row],[Age]]&lt;=44),"35-44",IF(data[[#This Row],[Age]]&gt;44,"45+",IF(data[[#This Row],[Age]]&lt;18,"below 18 ")))))</f>
        <v>25-34</v>
      </c>
    </row>
    <row r="1343" spans="1:31" x14ac:dyDescent="0.25">
      <c r="A1343" t="s">
        <v>1396</v>
      </c>
      <c r="B1343">
        <v>23</v>
      </c>
      <c r="C1343" t="s">
        <v>31</v>
      </c>
      <c r="D1343" t="s">
        <v>39</v>
      </c>
      <c r="E1343" t="s">
        <v>33</v>
      </c>
      <c r="F1343" t="s">
        <v>41</v>
      </c>
      <c r="G1343">
        <v>3.7</v>
      </c>
      <c r="H1343">
        <v>4</v>
      </c>
      <c r="I1343">
        <v>3</v>
      </c>
      <c r="J1343" t="s">
        <v>35</v>
      </c>
      <c r="K1343" t="s">
        <v>62</v>
      </c>
      <c r="L1343">
        <v>139</v>
      </c>
      <c r="M1343">
        <v>6.1</v>
      </c>
      <c r="N1343">
        <v>8</v>
      </c>
      <c r="O1343">
        <v>5.9</v>
      </c>
      <c r="P1343">
        <v>4.5</v>
      </c>
      <c r="Q1343" t="s">
        <v>35</v>
      </c>
      <c r="R1343" t="s">
        <v>42</v>
      </c>
      <c r="S1343">
        <v>9</v>
      </c>
      <c r="T1343">
        <v>6</v>
      </c>
      <c r="U1343">
        <v>4.2</v>
      </c>
      <c r="V1343">
        <v>2.5</v>
      </c>
      <c r="W1343">
        <v>7.3</v>
      </c>
      <c r="X1343">
        <v>7.4</v>
      </c>
      <c r="Y1343">
        <v>8.1</v>
      </c>
      <c r="Z1343">
        <v>5.5</v>
      </c>
      <c r="AA1343">
        <v>4</v>
      </c>
      <c r="AB1343">
        <v>1.4</v>
      </c>
      <c r="AC1343">
        <v>5.9</v>
      </c>
      <c r="AD1343" t="s">
        <v>45</v>
      </c>
      <c r="AE1343" t="str">
        <f>IF(AND(data[[#This Row],[Age]]&gt;=18,data[[#This Row],[Age]]&lt;=24),"18-24",IF(AND(data[[#This Row],[Age]]&gt;=25,data[[#This Row],[Age]]&lt;=34),"25-34",IF(AND(data[[#This Row],[Age]]&gt;35,data[[#This Row],[Age]]&lt;=44),"35-44",IF(data[[#This Row],[Age]]&gt;44,"45+",IF(data[[#This Row],[Age]]&lt;18,"below 18 ")))))</f>
        <v>18-24</v>
      </c>
    </row>
    <row r="1344" spans="1:31" x14ac:dyDescent="0.25">
      <c r="A1344" t="s">
        <v>1397</v>
      </c>
      <c r="B1344">
        <v>22</v>
      </c>
      <c r="C1344" t="s">
        <v>50</v>
      </c>
      <c r="D1344" t="s">
        <v>64</v>
      </c>
      <c r="E1344" t="s">
        <v>33</v>
      </c>
      <c r="F1344" t="s">
        <v>51</v>
      </c>
      <c r="G1344">
        <v>5.3</v>
      </c>
      <c r="H1344">
        <v>2</v>
      </c>
      <c r="I1344">
        <v>1</v>
      </c>
      <c r="J1344" t="s">
        <v>42</v>
      </c>
      <c r="K1344" t="s">
        <v>52</v>
      </c>
      <c r="L1344">
        <v>43</v>
      </c>
      <c r="M1344">
        <v>4.5999999999999996</v>
      </c>
      <c r="N1344">
        <v>5.2</v>
      </c>
      <c r="O1344">
        <v>3.4</v>
      </c>
      <c r="P1344">
        <v>4</v>
      </c>
      <c r="Q1344" t="s">
        <v>42</v>
      </c>
      <c r="R1344" t="s">
        <v>35</v>
      </c>
      <c r="S1344">
        <v>7.8</v>
      </c>
      <c r="T1344">
        <v>5.2</v>
      </c>
      <c r="U1344">
        <v>2.2999999999999998</v>
      </c>
      <c r="V1344">
        <v>6.2</v>
      </c>
      <c r="W1344">
        <v>7.3</v>
      </c>
      <c r="Y1344">
        <v>4.8</v>
      </c>
      <c r="Z1344">
        <v>9.5</v>
      </c>
      <c r="AA1344">
        <v>3.7</v>
      </c>
      <c r="AB1344">
        <v>3.8</v>
      </c>
      <c r="AC1344">
        <v>7</v>
      </c>
      <c r="AD1344" t="s">
        <v>37</v>
      </c>
      <c r="AE1344" t="str">
        <f>IF(AND(data[[#This Row],[Age]]&gt;=18,data[[#This Row],[Age]]&lt;=24),"18-24",IF(AND(data[[#This Row],[Age]]&gt;=25,data[[#This Row],[Age]]&lt;=34),"25-34",IF(AND(data[[#This Row],[Age]]&gt;35,data[[#This Row],[Age]]&lt;=44),"35-44",IF(data[[#This Row],[Age]]&gt;44,"45+",IF(data[[#This Row],[Age]]&lt;18,"below 18 ")))))</f>
        <v>18-24</v>
      </c>
    </row>
    <row r="1345" spans="1:31" x14ac:dyDescent="0.25">
      <c r="A1345" t="s">
        <v>1398</v>
      </c>
      <c r="B1345">
        <v>37</v>
      </c>
      <c r="C1345" t="s">
        <v>31</v>
      </c>
      <c r="D1345" t="s">
        <v>57</v>
      </c>
      <c r="E1345" t="s">
        <v>58</v>
      </c>
      <c r="F1345" t="s">
        <v>59</v>
      </c>
      <c r="G1345">
        <v>4.3</v>
      </c>
      <c r="H1345">
        <v>5</v>
      </c>
      <c r="I1345">
        <v>5</v>
      </c>
      <c r="J1345" t="s">
        <v>35</v>
      </c>
      <c r="K1345" t="s">
        <v>36</v>
      </c>
      <c r="L1345">
        <v>64</v>
      </c>
      <c r="M1345">
        <v>4.4000000000000004</v>
      </c>
      <c r="N1345">
        <v>6.7</v>
      </c>
      <c r="O1345">
        <v>4.2</v>
      </c>
      <c r="P1345">
        <v>6.7</v>
      </c>
      <c r="Q1345" t="s">
        <v>42</v>
      </c>
      <c r="R1345" t="s">
        <v>35</v>
      </c>
      <c r="S1345">
        <v>6.6</v>
      </c>
      <c r="T1345">
        <v>5.3</v>
      </c>
      <c r="U1345">
        <v>2.2000000000000002</v>
      </c>
      <c r="V1345">
        <v>5.6</v>
      </c>
      <c r="W1345">
        <v>6.2</v>
      </c>
      <c r="X1345">
        <v>8.5</v>
      </c>
      <c r="Y1345">
        <v>7.3</v>
      </c>
      <c r="Z1345">
        <v>7.8</v>
      </c>
      <c r="AA1345">
        <v>2.2999999999999998</v>
      </c>
      <c r="AB1345">
        <v>3.1</v>
      </c>
      <c r="AC1345">
        <v>7.1</v>
      </c>
      <c r="AD1345" t="s">
        <v>53</v>
      </c>
      <c r="AE1345" t="str">
        <f>IF(AND(data[[#This Row],[Age]]&gt;=18,data[[#This Row],[Age]]&lt;=24),"18-24",IF(AND(data[[#This Row],[Age]]&gt;=25,data[[#This Row],[Age]]&lt;=34),"25-34",IF(AND(data[[#This Row],[Age]]&gt;35,data[[#This Row],[Age]]&lt;=44),"35-44",IF(data[[#This Row],[Age]]&gt;44,"45+",IF(data[[#This Row],[Age]]&lt;18,"below 18 ")))))</f>
        <v>35-44</v>
      </c>
    </row>
    <row r="1346" spans="1:31" x14ac:dyDescent="0.25">
      <c r="A1346" t="s">
        <v>1399</v>
      </c>
      <c r="B1346">
        <v>21</v>
      </c>
      <c r="C1346" t="s">
        <v>47</v>
      </c>
      <c r="D1346" t="s">
        <v>32</v>
      </c>
      <c r="E1346" t="s">
        <v>58</v>
      </c>
      <c r="F1346" t="s">
        <v>70</v>
      </c>
      <c r="G1346">
        <v>5.7</v>
      </c>
      <c r="H1346">
        <v>5</v>
      </c>
      <c r="I1346">
        <v>2</v>
      </c>
      <c r="J1346" t="s">
        <v>42</v>
      </c>
      <c r="K1346" t="s">
        <v>52</v>
      </c>
      <c r="L1346">
        <v>41</v>
      </c>
      <c r="M1346">
        <v>4.5999999999999996</v>
      </c>
      <c r="N1346">
        <v>9.1</v>
      </c>
      <c r="O1346">
        <v>1.5</v>
      </c>
      <c r="P1346">
        <v>4.8</v>
      </c>
      <c r="Q1346" t="s">
        <v>42</v>
      </c>
      <c r="R1346" t="s">
        <v>42</v>
      </c>
      <c r="S1346">
        <v>8.4</v>
      </c>
      <c r="T1346">
        <v>3.7</v>
      </c>
      <c r="U1346">
        <v>3.6</v>
      </c>
      <c r="V1346">
        <v>7</v>
      </c>
      <c r="W1346">
        <v>4</v>
      </c>
      <c r="X1346">
        <v>4.5999999999999996</v>
      </c>
      <c r="Y1346">
        <v>6.2</v>
      </c>
      <c r="Z1346">
        <v>5.8</v>
      </c>
      <c r="AA1346">
        <v>2.8</v>
      </c>
      <c r="AB1346">
        <v>3</v>
      </c>
      <c r="AC1346">
        <v>5.4</v>
      </c>
      <c r="AD1346" t="s">
        <v>45</v>
      </c>
      <c r="AE1346" t="str">
        <f>IF(AND(data[[#This Row],[Age]]&gt;=18,data[[#This Row],[Age]]&lt;=24),"18-24",IF(AND(data[[#This Row],[Age]]&gt;=25,data[[#This Row],[Age]]&lt;=34),"25-34",IF(AND(data[[#This Row],[Age]]&gt;35,data[[#This Row],[Age]]&lt;=44),"35-44",IF(data[[#This Row],[Age]]&gt;44,"45+",IF(data[[#This Row],[Age]]&lt;18,"below 18 ")))))</f>
        <v>18-24</v>
      </c>
    </row>
    <row r="1347" spans="1:31" x14ac:dyDescent="0.25">
      <c r="A1347" t="s">
        <v>1400</v>
      </c>
      <c r="B1347">
        <v>28</v>
      </c>
      <c r="C1347" t="s">
        <v>31</v>
      </c>
      <c r="D1347" t="s">
        <v>32</v>
      </c>
      <c r="E1347" t="s">
        <v>58</v>
      </c>
      <c r="F1347" t="s">
        <v>48</v>
      </c>
      <c r="G1347">
        <v>8.5</v>
      </c>
      <c r="H1347">
        <v>4</v>
      </c>
      <c r="I1347">
        <v>4</v>
      </c>
      <c r="J1347" t="s">
        <v>42</v>
      </c>
      <c r="K1347" t="s">
        <v>36</v>
      </c>
      <c r="L1347">
        <v>16</v>
      </c>
      <c r="M1347">
        <v>8.1</v>
      </c>
      <c r="N1347">
        <v>2.5</v>
      </c>
      <c r="O1347">
        <v>2.2999999999999998</v>
      </c>
      <c r="P1347">
        <v>3.5</v>
      </c>
      <c r="Q1347" t="s">
        <v>42</v>
      </c>
      <c r="R1347" t="s">
        <v>42</v>
      </c>
      <c r="S1347">
        <v>3.5</v>
      </c>
      <c r="T1347">
        <v>4.3</v>
      </c>
      <c r="U1347">
        <v>6</v>
      </c>
      <c r="V1347">
        <v>3.5</v>
      </c>
      <c r="W1347">
        <v>3.4</v>
      </c>
      <c r="X1347">
        <v>6.4</v>
      </c>
      <c r="Y1347">
        <v>3.5</v>
      </c>
      <c r="Z1347">
        <v>5.4</v>
      </c>
      <c r="AA1347">
        <v>4</v>
      </c>
      <c r="AB1347">
        <v>3.9</v>
      </c>
      <c r="AC1347">
        <v>6</v>
      </c>
      <c r="AD1347" t="s">
        <v>45</v>
      </c>
      <c r="AE1347" t="str">
        <f>IF(AND(data[[#This Row],[Age]]&gt;=18,data[[#This Row],[Age]]&lt;=24),"18-24",IF(AND(data[[#This Row],[Age]]&gt;=25,data[[#This Row],[Age]]&lt;=34),"25-34",IF(AND(data[[#This Row],[Age]]&gt;35,data[[#This Row],[Age]]&lt;=44),"35-44",IF(data[[#This Row],[Age]]&gt;44,"45+",IF(data[[#This Row],[Age]]&lt;18,"below 18 ")))))</f>
        <v>25-34</v>
      </c>
    </row>
    <row r="1348" spans="1:31" x14ac:dyDescent="0.25">
      <c r="A1348" t="s">
        <v>1401</v>
      </c>
      <c r="B1348">
        <v>28</v>
      </c>
      <c r="C1348" t="s">
        <v>47</v>
      </c>
      <c r="D1348" t="s">
        <v>64</v>
      </c>
      <c r="E1348" t="s">
        <v>58</v>
      </c>
      <c r="F1348" t="s">
        <v>34</v>
      </c>
      <c r="G1348">
        <v>5.0999999999999996</v>
      </c>
      <c r="H1348">
        <v>5</v>
      </c>
      <c r="I1348">
        <v>3</v>
      </c>
      <c r="J1348" t="s">
        <v>35</v>
      </c>
      <c r="K1348" t="s">
        <v>36</v>
      </c>
      <c r="L1348">
        <v>42</v>
      </c>
      <c r="M1348">
        <v>10</v>
      </c>
      <c r="N1348">
        <v>5.4</v>
      </c>
      <c r="O1348">
        <v>2.8</v>
      </c>
      <c r="P1348">
        <v>4.8</v>
      </c>
      <c r="Q1348" t="s">
        <v>35</v>
      </c>
      <c r="R1348" t="s">
        <v>35</v>
      </c>
      <c r="S1348">
        <v>5.0999999999999996</v>
      </c>
      <c r="T1348">
        <v>4.4000000000000004</v>
      </c>
      <c r="U1348">
        <v>2.1</v>
      </c>
      <c r="V1348">
        <v>4.7</v>
      </c>
      <c r="W1348">
        <v>4.4000000000000004</v>
      </c>
      <c r="X1348">
        <v>7.3</v>
      </c>
      <c r="Y1348">
        <v>9</v>
      </c>
      <c r="Z1348">
        <v>3.6</v>
      </c>
      <c r="AA1348">
        <v>5.8</v>
      </c>
      <c r="AB1348">
        <v>2.2000000000000002</v>
      </c>
      <c r="AC1348">
        <v>6.5</v>
      </c>
      <c r="AD1348" t="s">
        <v>45</v>
      </c>
      <c r="AE1348" t="str">
        <f>IF(AND(data[[#This Row],[Age]]&gt;=18,data[[#This Row],[Age]]&lt;=24),"18-24",IF(AND(data[[#This Row],[Age]]&gt;=25,data[[#This Row],[Age]]&lt;=34),"25-34",IF(AND(data[[#This Row],[Age]]&gt;35,data[[#This Row],[Age]]&lt;=44),"35-44",IF(data[[#This Row],[Age]]&gt;44,"45+",IF(data[[#This Row],[Age]]&lt;18,"below 18 ")))))</f>
        <v>25-34</v>
      </c>
    </row>
    <row r="1349" spans="1:31" x14ac:dyDescent="0.25">
      <c r="A1349" t="s">
        <v>1402</v>
      </c>
      <c r="B1349">
        <v>39</v>
      </c>
      <c r="C1349" t="s">
        <v>31</v>
      </c>
      <c r="E1349" t="s">
        <v>40</v>
      </c>
      <c r="F1349" t="s">
        <v>34</v>
      </c>
      <c r="G1349">
        <v>1.8</v>
      </c>
      <c r="H1349">
        <v>1</v>
      </c>
      <c r="I1349">
        <v>5</v>
      </c>
      <c r="J1349" t="s">
        <v>42</v>
      </c>
      <c r="K1349" t="s">
        <v>36</v>
      </c>
      <c r="L1349">
        <v>89</v>
      </c>
      <c r="M1349">
        <v>2.2999999999999998</v>
      </c>
      <c r="N1349">
        <v>2.1</v>
      </c>
      <c r="O1349">
        <v>2.9</v>
      </c>
      <c r="P1349">
        <v>5.8</v>
      </c>
      <c r="Q1349" t="s">
        <v>35</v>
      </c>
      <c r="R1349" t="s">
        <v>42</v>
      </c>
      <c r="S1349">
        <v>5.2</v>
      </c>
      <c r="T1349">
        <v>2</v>
      </c>
      <c r="U1349">
        <v>3.1</v>
      </c>
      <c r="V1349">
        <v>6.9</v>
      </c>
      <c r="W1349">
        <v>8.1</v>
      </c>
      <c r="X1349">
        <v>5.7</v>
      </c>
      <c r="Y1349">
        <v>6</v>
      </c>
      <c r="Z1349">
        <v>4.5999999999999996</v>
      </c>
      <c r="AA1349">
        <v>3.4</v>
      </c>
      <c r="AB1349">
        <v>4.5</v>
      </c>
      <c r="AC1349">
        <v>7.4</v>
      </c>
      <c r="AD1349" t="s">
        <v>53</v>
      </c>
      <c r="AE1349" t="str">
        <f>IF(AND(data[[#This Row],[Age]]&gt;=18,data[[#This Row],[Age]]&lt;=24),"18-24",IF(AND(data[[#This Row],[Age]]&gt;=25,data[[#This Row],[Age]]&lt;=34),"25-34",IF(AND(data[[#This Row],[Age]]&gt;35,data[[#This Row],[Age]]&lt;=44),"35-44",IF(data[[#This Row],[Age]]&gt;44,"45+",IF(data[[#This Row],[Age]]&lt;18,"below 18 ")))))</f>
        <v>35-44</v>
      </c>
    </row>
    <row r="1350" spans="1:31" x14ac:dyDescent="0.25">
      <c r="A1350" t="s">
        <v>1403</v>
      </c>
      <c r="B1350">
        <v>29</v>
      </c>
      <c r="C1350" t="s">
        <v>47</v>
      </c>
      <c r="E1350" t="s">
        <v>58</v>
      </c>
      <c r="F1350" t="s">
        <v>51</v>
      </c>
      <c r="G1350">
        <v>7.5</v>
      </c>
      <c r="H1350">
        <v>3</v>
      </c>
      <c r="I1350">
        <v>3</v>
      </c>
      <c r="J1350" t="s">
        <v>35</v>
      </c>
      <c r="K1350" t="s">
        <v>36</v>
      </c>
      <c r="L1350">
        <v>53</v>
      </c>
      <c r="M1350">
        <v>1.2</v>
      </c>
      <c r="N1350">
        <v>10</v>
      </c>
      <c r="O1350">
        <v>6.5</v>
      </c>
      <c r="P1350">
        <v>0.6</v>
      </c>
      <c r="Q1350" t="s">
        <v>42</v>
      </c>
      <c r="R1350" t="s">
        <v>35</v>
      </c>
      <c r="S1350">
        <v>5.2</v>
      </c>
      <c r="T1350">
        <v>2.8</v>
      </c>
      <c r="U1350">
        <v>4.5</v>
      </c>
      <c r="V1350">
        <v>8</v>
      </c>
      <c r="W1350">
        <v>4.5999999999999996</v>
      </c>
      <c r="Y1350">
        <v>4.9000000000000004</v>
      </c>
      <c r="Z1350">
        <v>6.7</v>
      </c>
      <c r="AA1350">
        <v>2.6</v>
      </c>
      <c r="AB1350">
        <v>0.1</v>
      </c>
      <c r="AC1350">
        <v>6.4</v>
      </c>
      <c r="AD1350" t="s">
        <v>53</v>
      </c>
      <c r="AE1350" t="str">
        <f>IF(AND(data[[#This Row],[Age]]&gt;=18,data[[#This Row],[Age]]&lt;=24),"18-24",IF(AND(data[[#This Row],[Age]]&gt;=25,data[[#This Row],[Age]]&lt;=34),"25-34",IF(AND(data[[#This Row],[Age]]&gt;35,data[[#This Row],[Age]]&lt;=44),"35-44",IF(data[[#This Row],[Age]]&gt;44,"45+",IF(data[[#This Row],[Age]]&lt;18,"below 18 ")))))</f>
        <v>25-34</v>
      </c>
    </row>
    <row r="1351" spans="1:31" x14ac:dyDescent="0.25">
      <c r="A1351" t="s">
        <v>1404</v>
      </c>
      <c r="B1351">
        <v>31</v>
      </c>
      <c r="C1351" t="s">
        <v>47</v>
      </c>
      <c r="D1351" t="s">
        <v>32</v>
      </c>
      <c r="E1351" t="s">
        <v>58</v>
      </c>
      <c r="F1351" t="s">
        <v>41</v>
      </c>
      <c r="G1351">
        <v>6.9</v>
      </c>
      <c r="H1351">
        <v>1</v>
      </c>
      <c r="I1351">
        <v>3</v>
      </c>
      <c r="J1351" t="s">
        <v>42</v>
      </c>
      <c r="K1351" t="s">
        <v>62</v>
      </c>
      <c r="L1351">
        <v>36</v>
      </c>
      <c r="M1351">
        <v>6.7</v>
      </c>
      <c r="N1351">
        <v>5.5</v>
      </c>
      <c r="O1351">
        <v>3.9</v>
      </c>
      <c r="P1351">
        <v>7.2</v>
      </c>
      <c r="Q1351" t="s">
        <v>35</v>
      </c>
      <c r="R1351" t="s">
        <v>35</v>
      </c>
      <c r="S1351">
        <v>4.9000000000000004</v>
      </c>
      <c r="T1351">
        <v>3.6</v>
      </c>
      <c r="U1351">
        <v>3.9</v>
      </c>
      <c r="V1351">
        <v>6.9</v>
      </c>
      <c r="W1351">
        <v>7.8</v>
      </c>
      <c r="X1351">
        <v>8.5</v>
      </c>
      <c r="Y1351">
        <v>8.1</v>
      </c>
      <c r="Z1351">
        <v>6.7</v>
      </c>
      <c r="AA1351">
        <v>3.8</v>
      </c>
      <c r="AB1351">
        <v>2.8</v>
      </c>
      <c r="AC1351">
        <v>6.9</v>
      </c>
      <c r="AD1351" t="s">
        <v>53</v>
      </c>
      <c r="AE1351" t="str">
        <f>IF(AND(data[[#This Row],[Age]]&gt;=18,data[[#This Row],[Age]]&lt;=24),"18-24",IF(AND(data[[#This Row],[Age]]&gt;=25,data[[#This Row],[Age]]&lt;=34),"25-34",IF(AND(data[[#This Row],[Age]]&gt;35,data[[#This Row],[Age]]&lt;=44),"35-44",IF(data[[#This Row],[Age]]&gt;44,"45+",IF(data[[#This Row],[Age]]&lt;18,"below 18 ")))))</f>
        <v>25-34</v>
      </c>
    </row>
    <row r="1352" spans="1:31" x14ac:dyDescent="0.25">
      <c r="A1352" t="s">
        <v>1405</v>
      </c>
      <c r="B1352">
        <v>21</v>
      </c>
      <c r="C1352" t="s">
        <v>31</v>
      </c>
      <c r="D1352" t="s">
        <v>32</v>
      </c>
      <c r="E1352" t="s">
        <v>40</v>
      </c>
      <c r="F1352" t="s">
        <v>70</v>
      </c>
      <c r="G1352">
        <v>7.6</v>
      </c>
      <c r="H1352">
        <v>1</v>
      </c>
      <c r="I1352">
        <v>5</v>
      </c>
      <c r="K1352" t="s">
        <v>36</v>
      </c>
      <c r="L1352">
        <v>87</v>
      </c>
      <c r="N1352">
        <v>4.3</v>
      </c>
      <c r="O1352">
        <v>5.4</v>
      </c>
      <c r="P1352">
        <v>5.6</v>
      </c>
      <c r="Q1352" t="s">
        <v>42</v>
      </c>
      <c r="R1352" t="s">
        <v>35</v>
      </c>
      <c r="S1352">
        <v>5.2</v>
      </c>
      <c r="T1352">
        <v>5.8</v>
      </c>
      <c r="U1352">
        <v>5.9</v>
      </c>
      <c r="V1352">
        <v>8.1</v>
      </c>
      <c r="W1352">
        <v>4.3</v>
      </c>
      <c r="X1352">
        <v>9.6</v>
      </c>
      <c r="Y1352">
        <v>1.6</v>
      </c>
      <c r="Z1352">
        <v>2.6</v>
      </c>
      <c r="AA1352">
        <v>5.6</v>
      </c>
      <c r="AB1352">
        <v>4</v>
      </c>
      <c r="AC1352">
        <v>6</v>
      </c>
      <c r="AD1352" t="s">
        <v>45</v>
      </c>
      <c r="AE1352" t="str">
        <f>IF(AND(data[[#This Row],[Age]]&gt;=18,data[[#This Row],[Age]]&lt;=24),"18-24",IF(AND(data[[#This Row],[Age]]&gt;=25,data[[#This Row],[Age]]&lt;=34),"25-34",IF(AND(data[[#This Row],[Age]]&gt;35,data[[#This Row],[Age]]&lt;=44),"35-44",IF(data[[#This Row],[Age]]&gt;44,"45+",IF(data[[#This Row],[Age]]&lt;18,"below 18 ")))))</f>
        <v>18-24</v>
      </c>
    </row>
    <row r="1353" spans="1:31" x14ac:dyDescent="0.25">
      <c r="A1353" t="s">
        <v>1406</v>
      </c>
      <c r="B1353">
        <v>43</v>
      </c>
      <c r="C1353" t="s">
        <v>47</v>
      </c>
      <c r="D1353" t="s">
        <v>32</v>
      </c>
      <c r="E1353" t="s">
        <v>58</v>
      </c>
      <c r="F1353" t="s">
        <v>41</v>
      </c>
      <c r="G1353">
        <v>5.3</v>
      </c>
      <c r="H1353">
        <v>2</v>
      </c>
      <c r="I1353">
        <v>3</v>
      </c>
      <c r="J1353" t="s">
        <v>35</v>
      </c>
      <c r="K1353" t="s">
        <v>36</v>
      </c>
      <c r="L1353">
        <v>143</v>
      </c>
      <c r="M1353">
        <v>6.7</v>
      </c>
      <c r="N1353">
        <v>8</v>
      </c>
      <c r="O1353">
        <v>8.1</v>
      </c>
      <c r="P1353">
        <v>7.4</v>
      </c>
      <c r="Q1353" t="s">
        <v>42</v>
      </c>
      <c r="R1353" t="s">
        <v>35</v>
      </c>
      <c r="S1353">
        <v>6</v>
      </c>
      <c r="T1353">
        <v>10</v>
      </c>
      <c r="V1353">
        <v>6.8</v>
      </c>
      <c r="W1353">
        <v>6</v>
      </c>
      <c r="X1353">
        <v>6.3</v>
      </c>
      <c r="Y1353">
        <v>4.9000000000000004</v>
      </c>
      <c r="Z1353">
        <v>6.7</v>
      </c>
      <c r="AA1353">
        <v>3.9</v>
      </c>
      <c r="AB1353">
        <v>0.9</v>
      </c>
      <c r="AC1353">
        <v>5.3</v>
      </c>
      <c r="AD1353" t="s">
        <v>43</v>
      </c>
      <c r="AE1353" t="str">
        <f>IF(AND(data[[#This Row],[Age]]&gt;=18,data[[#This Row],[Age]]&lt;=24),"18-24",IF(AND(data[[#This Row],[Age]]&gt;=25,data[[#This Row],[Age]]&lt;=34),"25-34",IF(AND(data[[#This Row],[Age]]&gt;35,data[[#This Row],[Age]]&lt;=44),"35-44",IF(data[[#This Row],[Age]]&gt;44,"45+",IF(data[[#This Row],[Age]]&lt;18,"below 18 ")))))</f>
        <v>35-44</v>
      </c>
    </row>
    <row r="1354" spans="1:31" x14ac:dyDescent="0.25">
      <c r="A1354" t="s">
        <v>1407</v>
      </c>
      <c r="B1354">
        <v>33</v>
      </c>
      <c r="C1354" t="s">
        <v>47</v>
      </c>
      <c r="D1354" t="s">
        <v>39</v>
      </c>
      <c r="F1354" t="s">
        <v>51</v>
      </c>
      <c r="G1354">
        <v>6.4</v>
      </c>
      <c r="H1354">
        <v>1</v>
      </c>
      <c r="I1354">
        <v>3</v>
      </c>
      <c r="J1354" t="s">
        <v>42</v>
      </c>
      <c r="K1354" t="s">
        <v>62</v>
      </c>
      <c r="L1354">
        <v>102</v>
      </c>
      <c r="M1354">
        <v>1.6</v>
      </c>
      <c r="N1354">
        <v>2.8</v>
      </c>
      <c r="O1354">
        <v>7.7</v>
      </c>
      <c r="P1354">
        <v>8.4</v>
      </c>
      <c r="Q1354" t="s">
        <v>42</v>
      </c>
      <c r="R1354" t="s">
        <v>35</v>
      </c>
      <c r="S1354">
        <v>5</v>
      </c>
      <c r="T1354">
        <v>5.8</v>
      </c>
      <c r="U1354">
        <v>0</v>
      </c>
      <c r="V1354">
        <v>7</v>
      </c>
      <c r="W1354">
        <v>4.5999999999999996</v>
      </c>
      <c r="X1354">
        <v>6.5</v>
      </c>
      <c r="Y1354">
        <v>3.7</v>
      </c>
      <c r="Z1354">
        <v>5.4</v>
      </c>
      <c r="AA1354">
        <v>2.7</v>
      </c>
      <c r="AB1354">
        <v>2.8</v>
      </c>
      <c r="AC1354">
        <v>7.9</v>
      </c>
      <c r="AD1354" t="s">
        <v>37</v>
      </c>
      <c r="AE1354" t="str">
        <f>IF(AND(data[[#This Row],[Age]]&gt;=18,data[[#This Row],[Age]]&lt;=24),"18-24",IF(AND(data[[#This Row],[Age]]&gt;=25,data[[#This Row],[Age]]&lt;=34),"25-34",IF(AND(data[[#This Row],[Age]]&gt;35,data[[#This Row],[Age]]&lt;=44),"35-44",IF(data[[#This Row],[Age]]&gt;44,"45+",IF(data[[#This Row],[Age]]&lt;18,"below 18 ")))))</f>
        <v>25-34</v>
      </c>
    </row>
    <row r="1355" spans="1:31" x14ac:dyDescent="0.25">
      <c r="A1355" t="s">
        <v>1408</v>
      </c>
      <c r="B1355">
        <v>21</v>
      </c>
      <c r="C1355" t="s">
        <v>31</v>
      </c>
      <c r="D1355" t="s">
        <v>64</v>
      </c>
      <c r="F1355" t="s">
        <v>70</v>
      </c>
      <c r="G1355">
        <v>8.8000000000000007</v>
      </c>
      <c r="H1355">
        <v>2</v>
      </c>
      <c r="I1355">
        <v>1</v>
      </c>
      <c r="J1355" t="s">
        <v>42</v>
      </c>
      <c r="K1355" t="s">
        <v>36</v>
      </c>
      <c r="L1355">
        <v>93</v>
      </c>
      <c r="M1355">
        <v>8.3000000000000007</v>
      </c>
      <c r="N1355">
        <v>3.9</v>
      </c>
      <c r="O1355">
        <v>2.8</v>
      </c>
      <c r="P1355">
        <v>6.4</v>
      </c>
      <c r="Q1355" t="s">
        <v>42</v>
      </c>
      <c r="R1355" t="s">
        <v>35</v>
      </c>
      <c r="S1355">
        <v>4.4000000000000004</v>
      </c>
      <c r="T1355">
        <v>2.2000000000000002</v>
      </c>
      <c r="U1355">
        <v>4.3</v>
      </c>
      <c r="V1355">
        <v>4.0999999999999996</v>
      </c>
      <c r="W1355">
        <v>5.8</v>
      </c>
      <c r="X1355">
        <v>9.4</v>
      </c>
      <c r="Y1355">
        <v>4.3</v>
      </c>
      <c r="Z1355">
        <v>6.8</v>
      </c>
      <c r="AA1355">
        <v>0</v>
      </c>
      <c r="AB1355">
        <v>3</v>
      </c>
      <c r="AC1355">
        <v>6.6</v>
      </c>
      <c r="AD1355" t="s">
        <v>45</v>
      </c>
      <c r="AE1355" t="str">
        <f>IF(AND(data[[#This Row],[Age]]&gt;=18,data[[#This Row],[Age]]&lt;=24),"18-24",IF(AND(data[[#This Row],[Age]]&gt;=25,data[[#This Row],[Age]]&lt;=34),"25-34",IF(AND(data[[#This Row],[Age]]&gt;35,data[[#This Row],[Age]]&lt;=44),"35-44",IF(data[[#This Row],[Age]]&gt;44,"45+",IF(data[[#This Row],[Age]]&lt;18,"below 18 ")))))</f>
        <v>18-24</v>
      </c>
    </row>
    <row r="1356" spans="1:31" x14ac:dyDescent="0.25">
      <c r="A1356" t="s">
        <v>1409</v>
      </c>
      <c r="B1356">
        <v>39</v>
      </c>
      <c r="C1356" t="s">
        <v>31</v>
      </c>
      <c r="D1356" t="s">
        <v>32</v>
      </c>
      <c r="E1356" t="s">
        <v>33</v>
      </c>
      <c r="F1356" t="s">
        <v>41</v>
      </c>
      <c r="G1356">
        <v>4.3</v>
      </c>
      <c r="H1356">
        <v>8</v>
      </c>
      <c r="I1356">
        <v>1</v>
      </c>
      <c r="J1356" t="s">
        <v>42</v>
      </c>
      <c r="K1356" t="s">
        <v>62</v>
      </c>
      <c r="L1356">
        <v>100</v>
      </c>
      <c r="M1356">
        <v>3.7</v>
      </c>
      <c r="N1356">
        <v>5.8</v>
      </c>
      <c r="O1356">
        <v>4.5999999999999996</v>
      </c>
      <c r="P1356">
        <v>3.9</v>
      </c>
      <c r="Q1356" t="s">
        <v>35</v>
      </c>
      <c r="R1356" t="s">
        <v>42</v>
      </c>
      <c r="T1356">
        <v>2.4</v>
      </c>
      <c r="U1356">
        <v>3.5</v>
      </c>
      <c r="V1356">
        <v>0</v>
      </c>
      <c r="W1356">
        <v>3.5</v>
      </c>
      <c r="X1356">
        <v>7.5</v>
      </c>
      <c r="Y1356">
        <v>1.2</v>
      </c>
      <c r="Z1356">
        <v>7.3</v>
      </c>
      <c r="AA1356">
        <v>3.6</v>
      </c>
      <c r="AC1356">
        <v>6.2</v>
      </c>
      <c r="AD1356" t="s">
        <v>53</v>
      </c>
      <c r="AE1356" t="str">
        <f>IF(AND(data[[#This Row],[Age]]&gt;=18,data[[#This Row],[Age]]&lt;=24),"18-24",IF(AND(data[[#This Row],[Age]]&gt;=25,data[[#This Row],[Age]]&lt;=34),"25-34",IF(AND(data[[#This Row],[Age]]&gt;35,data[[#This Row],[Age]]&lt;=44),"35-44",IF(data[[#This Row],[Age]]&gt;44,"45+",IF(data[[#This Row],[Age]]&lt;18,"below 18 ")))))</f>
        <v>35-44</v>
      </c>
    </row>
    <row r="1357" spans="1:31" x14ac:dyDescent="0.25">
      <c r="A1357" t="s">
        <v>1410</v>
      </c>
      <c r="B1357">
        <v>19</v>
      </c>
      <c r="C1357" t="s">
        <v>31</v>
      </c>
      <c r="D1357" t="s">
        <v>39</v>
      </c>
      <c r="E1357" t="s">
        <v>40</v>
      </c>
      <c r="F1357" t="s">
        <v>34</v>
      </c>
      <c r="G1357">
        <v>3.1</v>
      </c>
      <c r="H1357">
        <v>3</v>
      </c>
      <c r="I1357">
        <v>3</v>
      </c>
      <c r="J1357" t="s">
        <v>35</v>
      </c>
      <c r="K1357" t="s">
        <v>36</v>
      </c>
      <c r="L1357">
        <v>34</v>
      </c>
      <c r="M1357">
        <v>2.9</v>
      </c>
      <c r="N1357">
        <v>6</v>
      </c>
      <c r="P1357">
        <v>5.7</v>
      </c>
      <c r="Q1357" t="s">
        <v>35</v>
      </c>
      <c r="R1357" t="s">
        <v>35</v>
      </c>
      <c r="T1357">
        <v>6.7</v>
      </c>
      <c r="U1357">
        <v>5.0999999999999996</v>
      </c>
      <c r="W1357">
        <v>4.5</v>
      </c>
      <c r="X1357">
        <v>7.2</v>
      </c>
      <c r="Y1357">
        <v>5.0999999999999996</v>
      </c>
      <c r="Z1357">
        <v>2.8</v>
      </c>
      <c r="AA1357">
        <v>3.3</v>
      </c>
      <c r="AC1357">
        <v>6.7</v>
      </c>
      <c r="AD1357" t="s">
        <v>53</v>
      </c>
      <c r="AE1357" t="str">
        <f>IF(AND(data[[#This Row],[Age]]&gt;=18,data[[#This Row],[Age]]&lt;=24),"18-24",IF(AND(data[[#This Row],[Age]]&gt;=25,data[[#This Row],[Age]]&lt;=34),"25-34",IF(AND(data[[#This Row],[Age]]&gt;35,data[[#This Row],[Age]]&lt;=44),"35-44",IF(data[[#This Row],[Age]]&gt;44,"45+",IF(data[[#This Row],[Age]]&lt;18,"below 18 ")))))</f>
        <v>18-24</v>
      </c>
    </row>
    <row r="1358" spans="1:31" x14ac:dyDescent="0.25">
      <c r="A1358" t="s">
        <v>1411</v>
      </c>
      <c r="B1358">
        <v>30</v>
      </c>
      <c r="C1358" t="s">
        <v>31</v>
      </c>
      <c r="D1358" t="s">
        <v>32</v>
      </c>
      <c r="E1358" t="s">
        <v>33</v>
      </c>
      <c r="F1358" t="s">
        <v>70</v>
      </c>
      <c r="G1358">
        <v>7.7</v>
      </c>
      <c r="H1358">
        <v>4</v>
      </c>
      <c r="I1358">
        <v>4</v>
      </c>
      <c r="J1358" t="s">
        <v>35</v>
      </c>
      <c r="K1358" t="s">
        <v>36</v>
      </c>
      <c r="L1358">
        <v>46</v>
      </c>
      <c r="M1358">
        <v>7.1</v>
      </c>
      <c r="N1358">
        <v>5</v>
      </c>
      <c r="O1358">
        <v>6.1</v>
      </c>
      <c r="P1358">
        <v>4.4000000000000004</v>
      </c>
      <c r="Q1358" t="s">
        <v>42</v>
      </c>
      <c r="R1358" t="s">
        <v>35</v>
      </c>
      <c r="S1358">
        <v>7.4</v>
      </c>
      <c r="T1358">
        <v>4.7</v>
      </c>
      <c r="U1358">
        <v>5.7</v>
      </c>
      <c r="W1358">
        <v>3.7</v>
      </c>
      <c r="X1358">
        <v>7.3</v>
      </c>
      <c r="Y1358">
        <v>5.5</v>
      </c>
      <c r="Z1358">
        <v>7.7</v>
      </c>
      <c r="AA1358">
        <v>0.5</v>
      </c>
      <c r="AB1358">
        <v>1.9</v>
      </c>
      <c r="AC1358">
        <v>5.8</v>
      </c>
      <c r="AD1358" t="s">
        <v>45</v>
      </c>
      <c r="AE1358" t="str">
        <f>IF(AND(data[[#This Row],[Age]]&gt;=18,data[[#This Row],[Age]]&lt;=24),"18-24",IF(AND(data[[#This Row],[Age]]&gt;=25,data[[#This Row],[Age]]&lt;=34),"25-34",IF(AND(data[[#This Row],[Age]]&gt;35,data[[#This Row],[Age]]&lt;=44),"35-44",IF(data[[#This Row],[Age]]&gt;44,"45+",IF(data[[#This Row],[Age]]&lt;18,"below 18 ")))))</f>
        <v>25-34</v>
      </c>
    </row>
    <row r="1359" spans="1:31" x14ac:dyDescent="0.25">
      <c r="A1359" t="s">
        <v>1412</v>
      </c>
      <c r="B1359">
        <v>29</v>
      </c>
      <c r="C1359" t="s">
        <v>50</v>
      </c>
      <c r="D1359" t="s">
        <v>57</v>
      </c>
      <c r="E1359" t="s">
        <v>33</v>
      </c>
      <c r="F1359" t="s">
        <v>51</v>
      </c>
      <c r="G1359">
        <v>3.8</v>
      </c>
      <c r="H1359">
        <v>5</v>
      </c>
      <c r="I1359">
        <v>7</v>
      </c>
      <c r="J1359" t="s">
        <v>35</v>
      </c>
      <c r="K1359" t="s">
        <v>52</v>
      </c>
      <c r="L1359">
        <v>142</v>
      </c>
      <c r="M1359">
        <v>2.4</v>
      </c>
      <c r="N1359">
        <v>5.6</v>
      </c>
      <c r="O1359">
        <v>4.5</v>
      </c>
      <c r="P1359">
        <v>4.5999999999999996</v>
      </c>
      <c r="Q1359" t="s">
        <v>35</v>
      </c>
      <c r="R1359" t="s">
        <v>42</v>
      </c>
      <c r="S1359">
        <v>8.1999999999999993</v>
      </c>
      <c r="T1359">
        <v>1.2</v>
      </c>
      <c r="U1359">
        <v>5.4</v>
      </c>
      <c r="V1359">
        <v>6</v>
      </c>
      <c r="W1359">
        <v>5.8</v>
      </c>
      <c r="X1359">
        <v>7</v>
      </c>
      <c r="Y1359">
        <v>5.6</v>
      </c>
      <c r="Z1359">
        <v>5</v>
      </c>
      <c r="AA1359">
        <v>3.5</v>
      </c>
      <c r="AB1359">
        <v>0</v>
      </c>
      <c r="AC1359">
        <v>5.6</v>
      </c>
      <c r="AD1359" t="s">
        <v>45</v>
      </c>
      <c r="AE1359" t="str">
        <f>IF(AND(data[[#This Row],[Age]]&gt;=18,data[[#This Row],[Age]]&lt;=24),"18-24",IF(AND(data[[#This Row],[Age]]&gt;=25,data[[#This Row],[Age]]&lt;=34),"25-34",IF(AND(data[[#This Row],[Age]]&gt;35,data[[#This Row],[Age]]&lt;=44),"35-44",IF(data[[#This Row],[Age]]&gt;44,"45+",IF(data[[#This Row],[Age]]&lt;18,"below 18 ")))))</f>
        <v>25-34</v>
      </c>
    </row>
    <row r="1360" spans="1:31" x14ac:dyDescent="0.25">
      <c r="A1360" t="s">
        <v>1413</v>
      </c>
      <c r="B1360">
        <v>22</v>
      </c>
      <c r="C1360" t="s">
        <v>31</v>
      </c>
      <c r="D1360" t="s">
        <v>39</v>
      </c>
      <c r="E1360" t="s">
        <v>40</v>
      </c>
      <c r="F1360" t="s">
        <v>41</v>
      </c>
      <c r="H1360">
        <v>1</v>
      </c>
      <c r="I1360">
        <v>3</v>
      </c>
      <c r="J1360" t="s">
        <v>35</v>
      </c>
      <c r="K1360" t="s">
        <v>36</v>
      </c>
      <c r="L1360">
        <v>5</v>
      </c>
      <c r="M1360">
        <v>10</v>
      </c>
      <c r="N1360">
        <v>1.9</v>
      </c>
      <c r="O1360">
        <v>4.0999999999999996</v>
      </c>
      <c r="P1360">
        <v>3.4</v>
      </c>
      <c r="Q1360" t="s">
        <v>42</v>
      </c>
      <c r="R1360" t="s">
        <v>35</v>
      </c>
      <c r="S1360">
        <v>3</v>
      </c>
      <c r="T1360">
        <v>5.9</v>
      </c>
      <c r="U1360">
        <v>4.9000000000000004</v>
      </c>
      <c r="V1360">
        <v>4.3</v>
      </c>
      <c r="W1360">
        <v>8.8000000000000007</v>
      </c>
      <c r="X1360">
        <v>4.8</v>
      </c>
      <c r="Y1360">
        <v>3.3</v>
      </c>
      <c r="Z1360">
        <v>4.7</v>
      </c>
      <c r="AA1360">
        <v>2.9</v>
      </c>
      <c r="AB1360">
        <v>3.4</v>
      </c>
      <c r="AC1360">
        <v>8.6</v>
      </c>
      <c r="AD1360" t="s">
        <v>37</v>
      </c>
      <c r="AE1360" t="str">
        <f>IF(AND(data[[#This Row],[Age]]&gt;=18,data[[#This Row],[Age]]&lt;=24),"18-24",IF(AND(data[[#This Row],[Age]]&gt;=25,data[[#This Row],[Age]]&lt;=34),"25-34",IF(AND(data[[#This Row],[Age]]&gt;35,data[[#This Row],[Age]]&lt;=44),"35-44",IF(data[[#This Row],[Age]]&gt;44,"45+",IF(data[[#This Row],[Age]]&lt;18,"below 18 ")))))</f>
        <v>18-24</v>
      </c>
    </row>
    <row r="1361" spans="1:31" x14ac:dyDescent="0.25">
      <c r="A1361" t="s">
        <v>1414</v>
      </c>
      <c r="B1361">
        <v>39</v>
      </c>
      <c r="C1361" t="s">
        <v>47</v>
      </c>
      <c r="D1361" t="s">
        <v>57</v>
      </c>
      <c r="E1361" t="s">
        <v>33</v>
      </c>
      <c r="F1361" t="s">
        <v>41</v>
      </c>
      <c r="G1361">
        <v>3.4</v>
      </c>
      <c r="H1361">
        <v>3</v>
      </c>
      <c r="I1361">
        <v>8</v>
      </c>
      <c r="J1361" t="s">
        <v>42</v>
      </c>
      <c r="K1361" t="s">
        <v>36</v>
      </c>
      <c r="L1361">
        <v>51</v>
      </c>
      <c r="M1361">
        <v>8</v>
      </c>
      <c r="N1361">
        <v>4.2</v>
      </c>
      <c r="O1361">
        <v>6.9</v>
      </c>
      <c r="P1361">
        <v>9.6999999999999993</v>
      </c>
      <c r="Q1361" t="s">
        <v>35</v>
      </c>
      <c r="R1361" t="s">
        <v>42</v>
      </c>
      <c r="S1361">
        <v>5</v>
      </c>
      <c r="T1361">
        <v>7.2</v>
      </c>
      <c r="U1361">
        <v>7.2</v>
      </c>
      <c r="V1361">
        <v>4.0999999999999996</v>
      </c>
      <c r="W1361">
        <v>2.1</v>
      </c>
      <c r="X1361">
        <v>5.3</v>
      </c>
      <c r="Y1361">
        <v>4.0999999999999996</v>
      </c>
      <c r="AA1361">
        <v>5.5</v>
      </c>
      <c r="AB1361">
        <v>0</v>
      </c>
      <c r="AC1361">
        <v>4.0999999999999996</v>
      </c>
      <c r="AD1361" t="s">
        <v>43</v>
      </c>
      <c r="AE1361" t="str">
        <f>IF(AND(data[[#This Row],[Age]]&gt;=18,data[[#This Row],[Age]]&lt;=24),"18-24",IF(AND(data[[#This Row],[Age]]&gt;=25,data[[#This Row],[Age]]&lt;=34),"25-34",IF(AND(data[[#This Row],[Age]]&gt;35,data[[#This Row],[Age]]&lt;=44),"35-44",IF(data[[#This Row],[Age]]&gt;44,"45+",IF(data[[#This Row],[Age]]&lt;18,"below 18 ")))))</f>
        <v>35-44</v>
      </c>
    </row>
    <row r="1362" spans="1:31" x14ac:dyDescent="0.25">
      <c r="A1362" t="s">
        <v>1415</v>
      </c>
      <c r="B1362">
        <v>25</v>
      </c>
      <c r="C1362" t="s">
        <v>47</v>
      </c>
      <c r="D1362" t="s">
        <v>57</v>
      </c>
      <c r="E1362" t="s">
        <v>58</v>
      </c>
      <c r="F1362" t="s">
        <v>41</v>
      </c>
      <c r="G1362">
        <v>3.5</v>
      </c>
      <c r="H1362">
        <v>2</v>
      </c>
      <c r="I1362">
        <v>4</v>
      </c>
      <c r="J1362" t="s">
        <v>42</v>
      </c>
      <c r="K1362" t="s">
        <v>36</v>
      </c>
      <c r="L1362">
        <v>11</v>
      </c>
      <c r="M1362">
        <v>4.4000000000000004</v>
      </c>
      <c r="N1362">
        <v>6.3</v>
      </c>
      <c r="O1362">
        <v>9.1999999999999993</v>
      </c>
      <c r="P1362">
        <v>7</v>
      </c>
      <c r="Q1362" t="s">
        <v>35</v>
      </c>
      <c r="R1362" t="s">
        <v>42</v>
      </c>
      <c r="S1362">
        <v>5.2</v>
      </c>
      <c r="T1362">
        <v>5.5</v>
      </c>
      <c r="U1362">
        <v>5.5</v>
      </c>
      <c r="V1362">
        <v>4.0999999999999996</v>
      </c>
      <c r="W1362">
        <v>6.7</v>
      </c>
      <c r="X1362">
        <v>8.9</v>
      </c>
      <c r="Y1362">
        <v>2.9</v>
      </c>
      <c r="Z1362">
        <v>2.4</v>
      </c>
      <c r="AA1362">
        <v>1.8</v>
      </c>
      <c r="AB1362">
        <v>4.7</v>
      </c>
      <c r="AC1362">
        <v>4.7</v>
      </c>
      <c r="AD1362" t="s">
        <v>43</v>
      </c>
      <c r="AE1362" t="str">
        <f>IF(AND(data[[#This Row],[Age]]&gt;=18,data[[#This Row],[Age]]&lt;=24),"18-24",IF(AND(data[[#This Row],[Age]]&gt;=25,data[[#This Row],[Age]]&lt;=34),"25-34",IF(AND(data[[#This Row],[Age]]&gt;35,data[[#This Row],[Age]]&lt;=44),"35-44",IF(data[[#This Row],[Age]]&gt;44,"45+",IF(data[[#This Row],[Age]]&lt;18,"below 18 ")))))</f>
        <v>25-34</v>
      </c>
    </row>
    <row r="1363" spans="1:31" x14ac:dyDescent="0.25">
      <c r="A1363" t="s">
        <v>1416</v>
      </c>
      <c r="B1363">
        <v>18</v>
      </c>
      <c r="C1363" t="s">
        <v>47</v>
      </c>
      <c r="D1363" t="s">
        <v>64</v>
      </c>
      <c r="E1363" t="s">
        <v>40</v>
      </c>
      <c r="F1363" t="s">
        <v>70</v>
      </c>
      <c r="G1363">
        <v>5.2</v>
      </c>
      <c r="H1363">
        <v>4</v>
      </c>
      <c r="I1363">
        <v>4</v>
      </c>
      <c r="J1363" t="s">
        <v>42</v>
      </c>
      <c r="K1363" t="s">
        <v>52</v>
      </c>
      <c r="L1363">
        <v>93</v>
      </c>
      <c r="M1363">
        <v>8.8000000000000007</v>
      </c>
      <c r="N1363">
        <v>5.4</v>
      </c>
      <c r="O1363">
        <v>8.9</v>
      </c>
      <c r="P1363">
        <v>4.8</v>
      </c>
      <c r="R1363" t="s">
        <v>42</v>
      </c>
      <c r="S1363">
        <v>8.1999999999999993</v>
      </c>
      <c r="T1363">
        <v>3.1</v>
      </c>
      <c r="U1363">
        <v>6.3</v>
      </c>
      <c r="V1363">
        <v>3.9</v>
      </c>
      <c r="W1363">
        <v>7.2</v>
      </c>
      <c r="X1363">
        <v>7.8</v>
      </c>
      <c r="Y1363">
        <v>5.2</v>
      </c>
      <c r="Z1363">
        <v>4.5</v>
      </c>
      <c r="AA1363">
        <v>1.1000000000000001</v>
      </c>
      <c r="AB1363">
        <v>1.4</v>
      </c>
      <c r="AC1363">
        <v>3.8</v>
      </c>
      <c r="AD1363" t="s">
        <v>43</v>
      </c>
      <c r="AE1363" t="str">
        <f>IF(AND(data[[#This Row],[Age]]&gt;=18,data[[#This Row],[Age]]&lt;=24),"18-24",IF(AND(data[[#This Row],[Age]]&gt;=25,data[[#This Row],[Age]]&lt;=34),"25-34",IF(AND(data[[#This Row],[Age]]&gt;35,data[[#This Row],[Age]]&lt;=44),"35-44",IF(data[[#This Row],[Age]]&gt;44,"45+",IF(data[[#This Row],[Age]]&lt;18,"below 18 ")))))</f>
        <v>18-24</v>
      </c>
    </row>
    <row r="1364" spans="1:31" x14ac:dyDescent="0.25">
      <c r="A1364" t="s">
        <v>1417</v>
      </c>
      <c r="B1364">
        <v>34</v>
      </c>
      <c r="C1364" t="s">
        <v>47</v>
      </c>
      <c r="D1364" t="s">
        <v>32</v>
      </c>
      <c r="E1364" t="s">
        <v>58</v>
      </c>
      <c r="F1364" t="s">
        <v>51</v>
      </c>
      <c r="G1364">
        <v>5.2</v>
      </c>
      <c r="H1364">
        <v>3</v>
      </c>
      <c r="I1364">
        <v>4</v>
      </c>
      <c r="J1364" t="s">
        <v>42</v>
      </c>
      <c r="K1364" t="s">
        <v>36</v>
      </c>
      <c r="L1364">
        <v>54</v>
      </c>
      <c r="M1364">
        <v>5.7</v>
      </c>
      <c r="N1364">
        <v>7.6</v>
      </c>
      <c r="O1364">
        <v>6.3</v>
      </c>
      <c r="P1364">
        <v>2.5</v>
      </c>
      <c r="Q1364" t="s">
        <v>42</v>
      </c>
      <c r="R1364" t="s">
        <v>42</v>
      </c>
      <c r="S1364">
        <v>4.0999999999999996</v>
      </c>
      <c r="T1364">
        <v>7.7</v>
      </c>
      <c r="U1364">
        <v>8.5</v>
      </c>
      <c r="V1364">
        <v>7.9</v>
      </c>
      <c r="W1364">
        <v>7.7</v>
      </c>
      <c r="Y1364">
        <v>3</v>
      </c>
      <c r="Z1364">
        <v>8.4</v>
      </c>
      <c r="AA1364">
        <v>2.2000000000000002</v>
      </c>
      <c r="AB1364">
        <v>0</v>
      </c>
      <c r="AC1364">
        <v>5.3</v>
      </c>
      <c r="AD1364" t="s">
        <v>45</v>
      </c>
      <c r="AE1364" t="str">
        <f>IF(AND(data[[#This Row],[Age]]&gt;=18,data[[#This Row],[Age]]&lt;=24),"18-24",IF(AND(data[[#This Row],[Age]]&gt;=25,data[[#This Row],[Age]]&lt;=34),"25-34",IF(AND(data[[#This Row],[Age]]&gt;35,data[[#This Row],[Age]]&lt;=44),"35-44",IF(data[[#This Row],[Age]]&gt;44,"45+",IF(data[[#This Row],[Age]]&lt;18,"below 18 ")))))</f>
        <v>25-34</v>
      </c>
    </row>
    <row r="1365" spans="1:31" x14ac:dyDescent="0.25">
      <c r="A1365" t="s">
        <v>1418</v>
      </c>
      <c r="B1365">
        <v>26</v>
      </c>
      <c r="C1365" t="s">
        <v>31</v>
      </c>
      <c r="D1365" t="s">
        <v>32</v>
      </c>
      <c r="E1365" t="s">
        <v>58</v>
      </c>
      <c r="F1365" t="s">
        <v>41</v>
      </c>
      <c r="G1365">
        <v>2.9</v>
      </c>
      <c r="H1365">
        <v>2</v>
      </c>
      <c r="I1365">
        <v>3</v>
      </c>
      <c r="J1365" t="s">
        <v>42</v>
      </c>
      <c r="K1365" t="s">
        <v>36</v>
      </c>
      <c r="L1365">
        <v>126</v>
      </c>
      <c r="M1365">
        <v>4.9000000000000004</v>
      </c>
      <c r="N1365">
        <v>3.7</v>
      </c>
      <c r="O1365">
        <v>1.5</v>
      </c>
      <c r="P1365">
        <v>3.9</v>
      </c>
      <c r="Q1365" t="s">
        <v>42</v>
      </c>
      <c r="R1365" t="s">
        <v>35</v>
      </c>
      <c r="S1365">
        <v>6</v>
      </c>
      <c r="T1365">
        <v>6</v>
      </c>
      <c r="U1365">
        <v>6.1</v>
      </c>
      <c r="V1365">
        <v>6.4</v>
      </c>
      <c r="W1365">
        <v>8.6</v>
      </c>
      <c r="X1365">
        <v>5.5</v>
      </c>
      <c r="Y1365">
        <v>10</v>
      </c>
      <c r="Z1365">
        <v>3.6</v>
      </c>
      <c r="AA1365">
        <v>0</v>
      </c>
      <c r="AB1365">
        <v>3.2</v>
      </c>
      <c r="AC1365">
        <v>6.5</v>
      </c>
      <c r="AD1365" t="s">
        <v>45</v>
      </c>
      <c r="AE1365" t="str">
        <f>IF(AND(data[[#This Row],[Age]]&gt;=18,data[[#This Row],[Age]]&lt;=24),"18-24",IF(AND(data[[#This Row],[Age]]&gt;=25,data[[#This Row],[Age]]&lt;=34),"25-34",IF(AND(data[[#This Row],[Age]]&gt;35,data[[#This Row],[Age]]&lt;=44),"35-44",IF(data[[#This Row],[Age]]&gt;44,"45+",IF(data[[#This Row],[Age]]&lt;18,"below 18 ")))))</f>
        <v>25-34</v>
      </c>
    </row>
    <row r="1366" spans="1:31" x14ac:dyDescent="0.25">
      <c r="A1366" t="s">
        <v>1419</v>
      </c>
      <c r="B1366">
        <v>19</v>
      </c>
      <c r="C1366" t="s">
        <v>47</v>
      </c>
      <c r="D1366" t="s">
        <v>39</v>
      </c>
      <c r="E1366" t="s">
        <v>58</v>
      </c>
      <c r="F1366" t="s">
        <v>41</v>
      </c>
      <c r="G1366">
        <v>8.1</v>
      </c>
      <c r="H1366">
        <v>1</v>
      </c>
      <c r="I1366">
        <v>2</v>
      </c>
      <c r="J1366" t="s">
        <v>42</v>
      </c>
      <c r="K1366" t="s">
        <v>52</v>
      </c>
      <c r="L1366">
        <v>88</v>
      </c>
      <c r="M1366">
        <v>0</v>
      </c>
      <c r="N1366">
        <v>7.4</v>
      </c>
      <c r="O1366">
        <v>4.2</v>
      </c>
      <c r="P1366">
        <v>9.6999999999999993</v>
      </c>
      <c r="Q1366" t="s">
        <v>42</v>
      </c>
      <c r="R1366" t="s">
        <v>42</v>
      </c>
      <c r="T1366">
        <v>8.1</v>
      </c>
      <c r="U1366">
        <v>5.2</v>
      </c>
      <c r="W1366">
        <v>6.3</v>
      </c>
      <c r="X1366">
        <v>5.6</v>
      </c>
      <c r="Y1366">
        <v>5.5</v>
      </c>
      <c r="Z1366">
        <v>2.7</v>
      </c>
      <c r="AA1366">
        <v>1.4</v>
      </c>
      <c r="AB1366">
        <v>1.6</v>
      </c>
      <c r="AC1366">
        <v>5.4</v>
      </c>
      <c r="AD1366" t="s">
        <v>45</v>
      </c>
      <c r="AE1366" t="str">
        <f>IF(AND(data[[#This Row],[Age]]&gt;=18,data[[#This Row],[Age]]&lt;=24),"18-24",IF(AND(data[[#This Row],[Age]]&gt;=25,data[[#This Row],[Age]]&lt;=34),"25-34",IF(AND(data[[#This Row],[Age]]&gt;35,data[[#This Row],[Age]]&lt;=44),"35-44",IF(data[[#This Row],[Age]]&gt;44,"45+",IF(data[[#This Row],[Age]]&lt;18,"below 18 ")))))</f>
        <v>18-24</v>
      </c>
    </row>
    <row r="1367" spans="1:31" x14ac:dyDescent="0.25">
      <c r="A1367" t="s">
        <v>1420</v>
      </c>
      <c r="B1367">
        <v>31</v>
      </c>
      <c r="C1367" t="s">
        <v>31</v>
      </c>
      <c r="D1367" t="s">
        <v>64</v>
      </c>
      <c r="E1367" t="s">
        <v>58</v>
      </c>
      <c r="F1367" t="s">
        <v>59</v>
      </c>
      <c r="G1367">
        <v>3.6</v>
      </c>
      <c r="H1367">
        <v>4</v>
      </c>
      <c r="I1367">
        <v>3</v>
      </c>
      <c r="J1367" t="s">
        <v>42</v>
      </c>
      <c r="K1367" t="s">
        <v>62</v>
      </c>
      <c r="L1367">
        <v>69</v>
      </c>
      <c r="M1367">
        <v>3.5</v>
      </c>
      <c r="N1367">
        <v>5.3</v>
      </c>
      <c r="O1367">
        <v>5.4</v>
      </c>
      <c r="P1367">
        <v>3.1</v>
      </c>
      <c r="Q1367" t="s">
        <v>35</v>
      </c>
      <c r="R1367" t="s">
        <v>35</v>
      </c>
      <c r="S1367">
        <v>2.5</v>
      </c>
      <c r="T1367">
        <v>2.8</v>
      </c>
      <c r="U1367">
        <v>1.7</v>
      </c>
      <c r="V1367">
        <v>8.5</v>
      </c>
      <c r="W1367">
        <v>5.3</v>
      </c>
      <c r="X1367">
        <v>9.1999999999999993</v>
      </c>
      <c r="Y1367">
        <v>5.9</v>
      </c>
      <c r="Z1367">
        <v>6.2</v>
      </c>
      <c r="AA1367">
        <v>4.9000000000000004</v>
      </c>
      <c r="AB1367">
        <v>5.4</v>
      </c>
      <c r="AC1367">
        <v>9.1</v>
      </c>
      <c r="AD1367" t="s">
        <v>37</v>
      </c>
      <c r="AE1367" t="str">
        <f>IF(AND(data[[#This Row],[Age]]&gt;=18,data[[#This Row],[Age]]&lt;=24),"18-24",IF(AND(data[[#This Row],[Age]]&gt;=25,data[[#This Row],[Age]]&lt;=34),"25-34",IF(AND(data[[#This Row],[Age]]&gt;35,data[[#This Row],[Age]]&lt;=44),"35-44",IF(data[[#This Row],[Age]]&gt;44,"45+",IF(data[[#This Row],[Age]]&lt;18,"below 18 ")))))</f>
        <v>25-34</v>
      </c>
    </row>
    <row r="1368" spans="1:31" x14ac:dyDescent="0.25">
      <c r="A1368" t="s">
        <v>1421</v>
      </c>
      <c r="B1368">
        <v>44</v>
      </c>
      <c r="C1368" t="s">
        <v>50</v>
      </c>
      <c r="D1368" t="s">
        <v>39</v>
      </c>
      <c r="E1368" t="s">
        <v>33</v>
      </c>
      <c r="F1368" t="s">
        <v>59</v>
      </c>
      <c r="H1368">
        <v>4</v>
      </c>
      <c r="I1368">
        <v>7</v>
      </c>
      <c r="K1368" t="s">
        <v>62</v>
      </c>
      <c r="L1368">
        <v>5</v>
      </c>
      <c r="M1368">
        <v>8.1999999999999993</v>
      </c>
      <c r="N1368">
        <v>4.7</v>
      </c>
      <c r="O1368">
        <v>3.8</v>
      </c>
      <c r="P1368">
        <v>8.1</v>
      </c>
      <c r="Q1368" t="s">
        <v>35</v>
      </c>
      <c r="R1368" t="s">
        <v>42</v>
      </c>
      <c r="S1368">
        <v>7.8</v>
      </c>
      <c r="U1368">
        <v>2.6</v>
      </c>
      <c r="V1368">
        <v>2.5</v>
      </c>
      <c r="W1368">
        <v>7.3</v>
      </c>
      <c r="Y1368">
        <v>7.6</v>
      </c>
      <c r="Z1368">
        <v>7.7</v>
      </c>
      <c r="AA1368">
        <v>3</v>
      </c>
      <c r="AB1368">
        <v>2.2000000000000002</v>
      </c>
      <c r="AC1368">
        <v>5.8</v>
      </c>
      <c r="AD1368" t="s">
        <v>45</v>
      </c>
      <c r="AE1368" t="str">
        <f>IF(AND(data[[#This Row],[Age]]&gt;=18,data[[#This Row],[Age]]&lt;=24),"18-24",IF(AND(data[[#This Row],[Age]]&gt;=25,data[[#This Row],[Age]]&lt;=34),"25-34",IF(AND(data[[#This Row],[Age]]&gt;35,data[[#This Row],[Age]]&lt;=44),"35-44",IF(data[[#This Row],[Age]]&gt;44,"45+",IF(data[[#This Row],[Age]]&lt;18,"below 18 ")))))</f>
        <v>35-44</v>
      </c>
    </row>
    <row r="1369" spans="1:31" x14ac:dyDescent="0.25">
      <c r="A1369" t="s">
        <v>1422</v>
      </c>
      <c r="B1369">
        <v>17</v>
      </c>
      <c r="C1369" t="s">
        <v>31</v>
      </c>
      <c r="D1369" t="s">
        <v>32</v>
      </c>
      <c r="E1369" t="s">
        <v>58</v>
      </c>
      <c r="F1369" t="s">
        <v>70</v>
      </c>
      <c r="G1369">
        <v>2.6</v>
      </c>
      <c r="H1369">
        <v>1</v>
      </c>
      <c r="I1369">
        <v>7</v>
      </c>
      <c r="J1369" t="s">
        <v>42</v>
      </c>
      <c r="K1369" t="s">
        <v>52</v>
      </c>
      <c r="L1369">
        <v>41</v>
      </c>
      <c r="M1369">
        <v>5.3</v>
      </c>
      <c r="N1369">
        <v>10</v>
      </c>
      <c r="O1369">
        <v>4.5</v>
      </c>
      <c r="P1369">
        <v>4.5999999999999996</v>
      </c>
      <c r="Q1369" t="s">
        <v>42</v>
      </c>
      <c r="R1369" t="s">
        <v>35</v>
      </c>
      <c r="S1369">
        <v>0.6</v>
      </c>
      <c r="T1369">
        <v>3.7</v>
      </c>
      <c r="U1369">
        <v>6.2</v>
      </c>
      <c r="V1369">
        <v>6.2</v>
      </c>
      <c r="W1369">
        <v>6.4</v>
      </c>
      <c r="X1369">
        <v>6.9</v>
      </c>
      <c r="Y1369">
        <v>1</v>
      </c>
      <c r="Z1369">
        <v>3.7</v>
      </c>
      <c r="AA1369">
        <v>1.5</v>
      </c>
      <c r="AB1369">
        <v>4.0999999999999996</v>
      </c>
      <c r="AC1369">
        <v>7.6</v>
      </c>
      <c r="AD1369" t="s">
        <v>37</v>
      </c>
      <c r="AE1369" t="str">
        <f>IF(AND(data[[#This Row],[Age]]&gt;=18,data[[#This Row],[Age]]&lt;=24),"18-24",IF(AND(data[[#This Row],[Age]]&gt;=25,data[[#This Row],[Age]]&lt;=34),"25-34",IF(AND(data[[#This Row],[Age]]&gt;35,data[[#This Row],[Age]]&lt;=44),"35-44",IF(data[[#This Row],[Age]]&gt;44,"45+",IF(data[[#This Row],[Age]]&lt;18,"below 18 ")))))</f>
        <v xml:space="preserve">below 18 </v>
      </c>
    </row>
    <row r="1370" spans="1:31" x14ac:dyDescent="0.25">
      <c r="A1370" t="s">
        <v>1423</v>
      </c>
      <c r="B1370">
        <v>25</v>
      </c>
      <c r="C1370" t="s">
        <v>31</v>
      </c>
      <c r="D1370" t="s">
        <v>32</v>
      </c>
      <c r="E1370" t="s">
        <v>40</v>
      </c>
      <c r="F1370" t="s">
        <v>41</v>
      </c>
      <c r="G1370">
        <v>3.2</v>
      </c>
      <c r="H1370">
        <v>7</v>
      </c>
      <c r="I1370">
        <v>4</v>
      </c>
      <c r="J1370" t="s">
        <v>42</v>
      </c>
      <c r="K1370" t="s">
        <v>36</v>
      </c>
      <c r="L1370">
        <v>59</v>
      </c>
      <c r="M1370">
        <v>5.3</v>
      </c>
      <c r="N1370">
        <v>4.2</v>
      </c>
      <c r="O1370">
        <v>6</v>
      </c>
      <c r="P1370">
        <v>3.2</v>
      </c>
      <c r="Q1370" t="s">
        <v>35</v>
      </c>
      <c r="R1370" t="s">
        <v>35</v>
      </c>
      <c r="S1370">
        <v>5.0999999999999996</v>
      </c>
      <c r="T1370">
        <v>7.4</v>
      </c>
      <c r="U1370">
        <v>6.2</v>
      </c>
      <c r="V1370">
        <v>5.8</v>
      </c>
      <c r="W1370">
        <v>6.4</v>
      </c>
      <c r="X1370">
        <v>5.5</v>
      </c>
      <c r="Y1370">
        <v>3.2</v>
      </c>
      <c r="Z1370">
        <v>4.7</v>
      </c>
      <c r="AA1370">
        <v>2.9</v>
      </c>
      <c r="AB1370">
        <v>2.5</v>
      </c>
      <c r="AC1370">
        <v>5.6</v>
      </c>
      <c r="AD1370" t="s">
        <v>45</v>
      </c>
      <c r="AE1370" t="str">
        <f>IF(AND(data[[#This Row],[Age]]&gt;=18,data[[#This Row],[Age]]&lt;=24),"18-24",IF(AND(data[[#This Row],[Age]]&gt;=25,data[[#This Row],[Age]]&lt;=34),"25-34",IF(AND(data[[#This Row],[Age]]&gt;35,data[[#This Row],[Age]]&lt;=44),"35-44",IF(data[[#This Row],[Age]]&gt;44,"45+",IF(data[[#This Row],[Age]]&lt;18,"below 18 ")))))</f>
        <v>25-34</v>
      </c>
    </row>
    <row r="1371" spans="1:31" x14ac:dyDescent="0.25">
      <c r="A1371" t="s">
        <v>1424</v>
      </c>
      <c r="B1371">
        <v>23</v>
      </c>
      <c r="C1371" t="s">
        <v>31</v>
      </c>
      <c r="D1371" t="s">
        <v>57</v>
      </c>
      <c r="E1371" t="s">
        <v>58</v>
      </c>
      <c r="F1371" t="s">
        <v>51</v>
      </c>
      <c r="G1371">
        <v>3.3</v>
      </c>
      <c r="H1371">
        <v>5</v>
      </c>
      <c r="I1371">
        <v>4</v>
      </c>
      <c r="J1371" t="s">
        <v>42</v>
      </c>
      <c r="K1371" t="s">
        <v>62</v>
      </c>
      <c r="L1371">
        <v>83</v>
      </c>
      <c r="M1371">
        <v>3.1</v>
      </c>
      <c r="N1371">
        <v>5.7</v>
      </c>
      <c r="O1371">
        <v>5.3</v>
      </c>
      <c r="P1371">
        <v>10</v>
      </c>
      <c r="R1371" t="s">
        <v>42</v>
      </c>
      <c r="S1371">
        <v>7.4</v>
      </c>
      <c r="U1371">
        <v>6.3</v>
      </c>
      <c r="V1371">
        <v>5.2</v>
      </c>
      <c r="W1371">
        <v>5.8</v>
      </c>
      <c r="X1371">
        <v>8.3000000000000007</v>
      </c>
      <c r="Y1371">
        <v>4.5</v>
      </c>
      <c r="Z1371">
        <v>4.5</v>
      </c>
      <c r="AB1371">
        <v>2.9</v>
      </c>
      <c r="AC1371">
        <v>6.2</v>
      </c>
      <c r="AD1371" t="s">
        <v>45</v>
      </c>
      <c r="AE1371" t="str">
        <f>IF(AND(data[[#This Row],[Age]]&gt;=18,data[[#This Row],[Age]]&lt;=24),"18-24",IF(AND(data[[#This Row],[Age]]&gt;=25,data[[#This Row],[Age]]&lt;=34),"25-34",IF(AND(data[[#This Row],[Age]]&gt;35,data[[#This Row],[Age]]&lt;=44),"35-44",IF(data[[#This Row],[Age]]&gt;44,"45+",IF(data[[#This Row],[Age]]&lt;18,"below 18 ")))))</f>
        <v>18-24</v>
      </c>
    </row>
    <row r="1372" spans="1:31" x14ac:dyDescent="0.25">
      <c r="A1372" t="s">
        <v>1425</v>
      </c>
      <c r="B1372">
        <v>28</v>
      </c>
      <c r="C1372" t="s">
        <v>47</v>
      </c>
      <c r="D1372" t="s">
        <v>64</v>
      </c>
      <c r="E1372" t="s">
        <v>40</v>
      </c>
      <c r="F1372" t="s">
        <v>41</v>
      </c>
      <c r="G1372">
        <v>4.9000000000000004</v>
      </c>
      <c r="H1372">
        <v>2</v>
      </c>
      <c r="I1372">
        <v>4</v>
      </c>
      <c r="J1372" t="s">
        <v>35</v>
      </c>
      <c r="K1372" t="s">
        <v>52</v>
      </c>
      <c r="L1372">
        <v>134</v>
      </c>
      <c r="M1372">
        <v>1.5</v>
      </c>
      <c r="N1372">
        <v>4</v>
      </c>
      <c r="O1372">
        <v>1.2</v>
      </c>
      <c r="P1372">
        <v>1.2</v>
      </c>
      <c r="Q1372" t="s">
        <v>35</v>
      </c>
      <c r="R1372" t="s">
        <v>42</v>
      </c>
      <c r="S1372">
        <v>1.2</v>
      </c>
      <c r="T1372">
        <v>3.9</v>
      </c>
      <c r="U1372">
        <v>7</v>
      </c>
      <c r="V1372">
        <v>2.9</v>
      </c>
      <c r="W1372">
        <v>6.7</v>
      </c>
      <c r="X1372">
        <v>9.1999999999999993</v>
      </c>
      <c r="Y1372">
        <v>3.6</v>
      </c>
      <c r="Z1372">
        <v>6.2</v>
      </c>
      <c r="AA1372">
        <v>2.7</v>
      </c>
      <c r="AB1372">
        <v>3.6</v>
      </c>
      <c r="AC1372">
        <v>8.6</v>
      </c>
      <c r="AD1372" t="s">
        <v>37</v>
      </c>
      <c r="AE1372" t="str">
        <f>IF(AND(data[[#This Row],[Age]]&gt;=18,data[[#This Row],[Age]]&lt;=24),"18-24",IF(AND(data[[#This Row],[Age]]&gt;=25,data[[#This Row],[Age]]&lt;=34),"25-34",IF(AND(data[[#This Row],[Age]]&gt;35,data[[#This Row],[Age]]&lt;=44),"35-44",IF(data[[#This Row],[Age]]&gt;44,"45+",IF(data[[#This Row],[Age]]&lt;18,"below 18 ")))))</f>
        <v>25-34</v>
      </c>
    </row>
    <row r="1373" spans="1:31" x14ac:dyDescent="0.25">
      <c r="A1373" t="s">
        <v>1426</v>
      </c>
      <c r="B1373">
        <v>23</v>
      </c>
      <c r="C1373" t="s">
        <v>31</v>
      </c>
      <c r="D1373" t="s">
        <v>32</v>
      </c>
      <c r="E1373" t="s">
        <v>40</v>
      </c>
      <c r="F1373" t="s">
        <v>41</v>
      </c>
      <c r="G1373">
        <v>4.9000000000000004</v>
      </c>
      <c r="H1373">
        <v>1</v>
      </c>
      <c r="I1373">
        <v>1</v>
      </c>
      <c r="J1373" t="s">
        <v>35</v>
      </c>
      <c r="K1373" t="s">
        <v>62</v>
      </c>
      <c r="L1373">
        <v>76</v>
      </c>
      <c r="M1373">
        <v>8.9</v>
      </c>
      <c r="N1373">
        <v>4.0999999999999996</v>
      </c>
      <c r="O1373">
        <v>7</v>
      </c>
      <c r="P1373">
        <v>6.5</v>
      </c>
      <c r="Q1373" t="s">
        <v>42</v>
      </c>
      <c r="R1373" t="s">
        <v>35</v>
      </c>
      <c r="S1373">
        <v>1.5</v>
      </c>
      <c r="U1373">
        <v>2.4</v>
      </c>
      <c r="V1373">
        <v>6.9</v>
      </c>
      <c r="W1373">
        <v>9.1</v>
      </c>
      <c r="X1373">
        <v>8.9</v>
      </c>
      <c r="Y1373">
        <v>3.8</v>
      </c>
      <c r="Z1373">
        <v>4.0999999999999996</v>
      </c>
      <c r="AA1373">
        <v>2.2000000000000002</v>
      </c>
      <c r="AB1373">
        <v>4.7</v>
      </c>
      <c r="AC1373">
        <v>7.9</v>
      </c>
      <c r="AD1373" t="s">
        <v>37</v>
      </c>
      <c r="AE1373" t="str">
        <f>IF(AND(data[[#This Row],[Age]]&gt;=18,data[[#This Row],[Age]]&lt;=24),"18-24",IF(AND(data[[#This Row],[Age]]&gt;=25,data[[#This Row],[Age]]&lt;=34),"25-34",IF(AND(data[[#This Row],[Age]]&gt;35,data[[#This Row],[Age]]&lt;=44),"35-44",IF(data[[#This Row],[Age]]&gt;44,"45+",IF(data[[#This Row],[Age]]&lt;18,"below 18 ")))))</f>
        <v>18-24</v>
      </c>
    </row>
    <row r="1374" spans="1:31" x14ac:dyDescent="0.25">
      <c r="A1374" t="s">
        <v>1427</v>
      </c>
      <c r="B1374">
        <v>17</v>
      </c>
      <c r="C1374" t="s">
        <v>31</v>
      </c>
      <c r="D1374" t="s">
        <v>32</v>
      </c>
      <c r="E1374" t="s">
        <v>40</v>
      </c>
      <c r="F1374" t="s">
        <v>41</v>
      </c>
      <c r="G1374">
        <v>5</v>
      </c>
      <c r="H1374">
        <v>1</v>
      </c>
      <c r="I1374">
        <v>4</v>
      </c>
      <c r="J1374" t="s">
        <v>35</v>
      </c>
      <c r="K1374" t="s">
        <v>36</v>
      </c>
      <c r="L1374">
        <v>39</v>
      </c>
      <c r="M1374">
        <v>5.7</v>
      </c>
      <c r="N1374">
        <v>7.1</v>
      </c>
      <c r="O1374">
        <v>5.3</v>
      </c>
      <c r="P1374">
        <v>2.2999999999999998</v>
      </c>
      <c r="Q1374" t="s">
        <v>42</v>
      </c>
      <c r="R1374" t="s">
        <v>35</v>
      </c>
      <c r="S1374">
        <v>4.7</v>
      </c>
      <c r="T1374">
        <v>2.4</v>
      </c>
      <c r="U1374">
        <v>4.4000000000000004</v>
      </c>
      <c r="V1374">
        <v>5.5</v>
      </c>
      <c r="W1374">
        <v>6.7</v>
      </c>
      <c r="X1374">
        <v>6.8</v>
      </c>
      <c r="Y1374">
        <v>4.8</v>
      </c>
      <c r="Z1374">
        <v>6.8</v>
      </c>
      <c r="AA1374">
        <v>3.9</v>
      </c>
      <c r="AB1374">
        <v>2.2999999999999998</v>
      </c>
      <c r="AC1374">
        <v>8.1999999999999993</v>
      </c>
      <c r="AD1374" t="s">
        <v>37</v>
      </c>
      <c r="AE1374" t="str">
        <f>IF(AND(data[[#This Row],[Age]]&gt;=18,data[[#This Row],[Age]]&lt;=24),"18-24",IF(AND(data[[#This Row],[Age]]&gt;=25,data[[#This Row],[Age]]&lt;=34),"25-34",IF(AND(data[[#This Row],[Age]]&gt;35,data[[#This Row],[Age]]&lt;=44),"35-44",IF(data[[#This Row],[Age]]&gt;44,"45+",IF(data[[#This Row],[Age]]&lt;18,"below 18 ")))))</f>
        <v xml:space="preserve">below 18 </v>
      </c>
    </row>
    <row r="1375" spans="1:31" x14ac:dyDescent="0.25">
      <c r="A1375" t="s">
        <v>1428</v>
      </c>
      <c r="B1375">
        <v>26</v>
      </c>
      <c r="C1375" t="s">
        <v>47</v>
      </c>
      <c r="D1375" t="s">
        <v>32</v>
      </c>
      <c r="E1375" t="s">
        <v>40</v>
      </c>
      <c r="F1375" t="s">
        <v>41</v>
      </c>
      <c r="G1375">
        <v>4.5999999999999996</v>
      </c>
      <c r="H1375">
        <v>4</v>
      </c>
      <c r="I1375">
        <v>5</v>
      </c>
      <c r="K1375" t="s">
        <v>62</v>
      </c>
      <c r="L1375">
        <v>51</v>
      </c>
      <c r="M1375">
        <v>9.3000000000000007</v>
      </c>
      <c r="N1375">
        <v>5.4</v>
      </c>
      <c r="O1375">
        <v>4.5999999999999996</v>
      </c>
      <c r="P1375">
        <v>5.2</v>
      </c>
      <c r="Q1375" t="s">
        <v>42</v>
      </c>
      <c r="R1375" t="s">
        <v>35</v>
      </c>
      <c r="S1375">
        <v>5.2</v>
      </c>
      <c r="T1375">
        <v>4.8</v>
      </c>
      <c r="U1375">
        <v>5.0999999999999996</v>
      </c>
      <c r="V1375">
        <v>6.1</v>
      </c>
      <c r="W1375">
        <v>6.4</v>
      </c>
      <c r="X1375">
        <v>7.2</v>
      </c>
      <c r="Y1375">
        <v>4.5</v>
      </c>
      <c r="Z1375">
        <v>3.5</v>
      </c>
      <c r="AA1375">
        <v>4.3</v>
      </c>
      <c r="AB1375">
        <v>4</v>
      </c>
      <c r="AC1375">
        <v>6.1</v>
      </c>
      <c r="AD1375" t="s">
        <v>53</v>
      </c>
      <c r="AE1375" t="str">
        <f>IF(AND(data[[#This Row],[Age]]&gt;=18,data[[#This Row],[Age]]&lt;=24),"18-24",IF(AND(data[[#This Row],[Age]]&gt;=25,data[[#This Row],[Age]]&lt;=34),"25-34",IF(AND(data[[#This Row],[Age]]&gt;35,data[[#This Row],[Age]]&lt;=44),"35-44",IF(data[[#This Row],[Age]]&gt;44,"45+",IF(data[[#This Row],[Age]]&lt;18,"below 18 ")))))</f>
        <v>25-34</v>
      </c>
    </row>
    <row r="1376" spans="1:31" x14ac:dyDescent="0.25">
      <c r="A1376" t="s">
        <v>1429</v>
      </c>
      <c r="B1376">
        <v>20</v>
      </c>
      <c r="C1376" t="s">
        <v>47</v>
      </c>
      <c r="D1376" t="s">
        <v>32</v>
      </c>
      <c r="E1376" t="s">
        <v>58</v>
      </c>
      <c r="F1376" t="s">
        <v>70</v>
      </c>
      <c r="G1376">
        <v>6.5</v>
      </c>
      <c r="H1376">
        <v>1</v>
      </c>
      <c r="I1376">
        <v>4</v>
      </c>
      <c r="J1376" t="s">
        <v>42</v>
      </c>
      <c r="K1376" t="s">
        <v>36</v>
      </c>
      <c r="L1376">
        <v>99</v>
      </c>
      <c r="M1376">
        <v>2.7</v>
      </c>
      <c r="N1376">
        <v>8.1999999999999993</v>
      </c>
      <c r="O1376">
        <v>4.7</v>
      </c>
      <c r="P1376">
        <v>4.8</v>
      </c>
      <c r="R1376" t="s">
        <v>35</v>
      </c>
      <c r="S1376">
        <v>7.2</v>
      </c>
      <c r="T1376">
        <v>3.9</v>
      </c>
      <c r="U1376">
        <v>8.6</v>
      </c>
      <c r="V1376">
        <v>4.5999999999999996</v>
      </c>
      <c r="W1376">
        <v>2.5</v>
      </c>
      <c r="X1376">
        <v>8.4</v>
      </c>
      <c r="Y1376">
        <v>4.5999999999999996</v>
      </c>
      <c r="Z1376">
        <v>8.1</v>
      </c>
      <c r="AA1376">
        <v>2.6</v>
      </c>
      <c r="AB1376">
        <v>0.8</v>
      </c>
      <c r="AC1376">
        <v>5.0999999999999996</v>
      </c>
      <c r="AD1376" t="s">
        <v>43</v>
      </c>
      <c r="AE1376" t="str">
        <f>IF(AND(data[[#This Row],[Age]]&gt;=18,data[[#This Row],[Age]]&lt;=24),"18-24",IF(AND(data[[#This Row],[Age]]&gt;=25,data[[#This Row],[Age]]&lt;=34),"25-34",IF(AND(data[[#This Row],[Age]]&gt;35,data[[#This Row],[Age]]&lt;=44),"35-44",IF(data[[#This Row],[Age]]&gt;44,"45+",IF(data[[#This Row],[Age]]&lt;18,"below 18 ")))))</f>
        <v>18-24</v>
      </c>
    </row>
    <row r="1377" spans="1:31" x14ac:dyDescent="0.25">
      <c r="A1377" t="s">
        <v>1430</v>
      </c>
      <c r="B1377">
        <v>21</v>
      </c>
      <c r="C1377" t="s">
        <v>31</v>
      </c>
      <c r="D1377" t="s">
        <v>39</v>
      </c>
      <c r="E1377" t="s">
        <v>58</v>
      </c>
      <c r="F1377" t="s">
        <v>51</v>
      </c>
      <c r="G1377">
        <v>6.5</v>
      </c>
      <c r="H1377">
        <v>4</v>
      </c>
      <c r="I1377">
        <v>5</v>
      </c>
      <c r="J1377" t="s">
        <v>35</v>
      </c>
      <c r="K1377" t="s">
        <v>36</v>
      </c>
      <c r="L1377">
        <v>92</v>
      </c>
      <c r="M1377">
        <v>5.8</v>
      </c>
      <c r="N1377">
        <v>3.4</v>
      </c>
      <c r="O1377">
        <v>3.8</v>
      </c>
      <c r="P1377">
        <v>2.2000000000000002</v>
      </c>
      <c r="Q1377" t="s">
        <v>35</v>
      </c>
      <c r="R1377" t="s">
        <v>42</v>
      </c>
      <c r="S1377">
        <v>6.9</v>
      </c>
      <c r="T1377">
        <v>2</v>
      </c>
      <c r="U1377">
        <v>3.2</v>
      </c>
      <c r="V1377">
        <v>7.8</v>
      </c>
      <c r="W1377">
        <v>3.9</v>
      </c>
      <c r="X1377">
        <v>6.1</v>
      </c>
      <c r="Y1377">
        <v>3.8</v>
      </c>
      <c r="Z1377">
        <v>8.8000000000000007</v>
      </c>
      <c r="AA1377">
        <v>4</v>
      </c>
      <c r="AB1377">
        <v>2.2999999999999998</v>
      </c>
      <c r="AC1377">
        <v>6.6</v>
      </c>
      <c r="AD1377" t="s">
        <v>45</v>
      </c>
      <c r="AE1377" t="str">
        <f>IF(AND(data[[#This Row],[Age]]&gt;=18,data[[#This Row],[Age]]&lt;=24),"18-24",IF(AND(data[[#This Row],[Age]]&gt;=25,data[[#This Row],[Age]]&lt;=34),"25-34",IF(AND(data[[#This Row],[Age]]&gt;35,data[[#This Row],[Age]]&lt;=44),"35-44",IF(data[[#This Row],[Age]]&gt;44,"45+",IF(data[[#This Row],[Age]]&lt;18,"below 18 ")))))</f>
        <v>18-24</v>
      </c>
    </row>
    <row r="1378" spans="1:31" x14ac:dyDescent="0.25">
      <c r="A1378" t="s">
        <v>1431</v>
      </c>
      <c r="B1378">
        <v>23</v>
      </c>
      <c r="C1378" t="s">
        <v>50</v>
      </c>
      <c r="E1378" t="s">
        <v>58</v>
      </c>
      <c r="F1378" t="s">
        <v>59</v>
      </c>
      <c r="G1378">
        <v>3.6</v>
      </c>
      <c r="H1378">
        <v>1</v>
      </c>
      <c r="I1378">
        <v>2</v>
      </c>
      <c r="J1378" t="s">
        <v>35</v>
      </c>
      <c r="K1378" t="s">
        <v>36</v>
      </c>
      <c r="L1378">
        <v>70</v>
      </c>
      <c r="M1378">
        <v>6.5</v>
      </c>
      <c r="N1378">
        <v>8.8000000000000007</v>
      </c>
      <c r="O1378">
        <v>2.7</v>
      </c>
      <c r="P1378">
        <v>6.3</v>
      </c>
      <c r="Q1378" t="s">
        <v>35</v>
      </c>
      <c r="R1378" t="s">
        <v>42</v>
      </c>
      <c r="S1378">
        <v>7.3</v>
      </c>
      <c r="T1378">
        <v>7.2</v>
      </c>
      <c r="U1378">
        <v>6.5</v>
      </c>
      <c r="V1378">
        <v>5.9</v>
      </c>
      <c r="W1378">
        <v>3.1</v>
      </c>
      <c r="X1378">
        <v>7.4</v>
      </c>
      <c r="Y1378">
        <v>7.1</v>
      </c>
      <c r="Z1378">
        <v>3.2</v>
      </c>
      <c r="AA1378">
        <v>2.2000000000000002</v>
      </c>
      <c r="AB1378">
        <v>4.2</v>
      </c>
      <c r="AC1378">
        <v>4.7</v>
      </c>
      <c r="AD1378" t="s">
        <v>43</v>
      </c>
      <c r="AE1378" t="str">
        <f>IF(AND(data[[#This Row],[Age]]&gt;=18,data[[#This Row],[Age]]&lt;=24),"18-24",IF(AND(data[[#This Row],[Age]]&gt;=25,data[[#This Row],[Age]]&lt;=34),"25-34",IF(AND(data[[#This Row],[Age]]&gt;35,data[[#This Row],[Age]]&lt;=44),"35-44",IF(data[[#This Row],[Age]]&gt;44,"45+",IF(data[[#This Row],[Age]]&lt;18,"below 18 ")))))</f>
        <v>18-24</v>
      </c>
    </row>
    <row r="1379" spans="1:31" x14ac:dyDescent="0.25">
      <c r="A1379" t="s">
        <v>1432</v>
      </c>
      <c r="B1379">
        <v>15</v>
      </c>
      <c r="C1379" t="s">
        <v>47</v>
      </c>
      <c r="E1379" t="s">
        <v>33</v>
      </c>
      <c r="F1379" t="s">
        <v>51</v>
      </c>
      <c r="G1379">
        <v>4.9000000000000004</v>
      </c>
      <c r="H1379">
        <v>6</v>
      </c>
      <c r="I1379">
        <v>6</v>
      </c>
      <c r="J1379" t="s">
        <v>35</v>
      </c>
      <c r="K1379" t="s">
        <v>36</v>
      </c>
      <c r="L1379">
        <v>36</v>
      </c>
      <c r="M1379">
        <v>8</v>
      </c>
      <c r="N1379">
        <v>3.8</v>
      </c>
      <c r="O1379">
        <v>3.6</v>
      </c>
      <c r="P1379">
        <v>8.3000000000000007</v>
      </c>
      <c r="Q1379" t="s">
        <v>35</v>
      </c>
      <c r="R1379" t="s">
        <v>35</v>
      </c>
      <c r="S1379">
        <v>6.9</v>
      </c>
      <c r="T1379">
        <v>5.6</v>
      </c>
      <c r="U1379">
        <v>5.5</v>
      </c>
      <c r="V1379">
        <v>6.6</v>
      </c>
      <c r="W1379">
        <v>4.5999999999999996</v>
      </c>
      <c r="X1379">
        <v>7.9</v>
      </c>
      <c r="Y1379">
        <v>7.6</v>
      </c>
      <c r="Z1379">
        <v>3.8</v>
      </c>
      <c r="AA1379">
        <v>3.6</v>
      </c>
      <c r="AB1379">
        <v>1.7</v>
      </c>
      <c r="AC1379">
        <v>5.5</v>
      </c>
      <c r="AD1379" t="s">
        <v>45</v>
      </c>
      <c r="AE1379" t="str">
        <f>IF(AND(data[[#This Row],[Age]]&gt;=18,data[[#This Row],[Age]]&lt;=24),"18-24",IF(AND(data[[#This Row],[Age]]&gt;=25,data[[#This Row],[Age]]&lt;=34),"25-34",IF(AND(data[[#This Row],[Age]]&gt;35,data[[#This Row],[Age]]&lt;=44),"35-44",IF(data[[#This Row],[Age]]&gt;44,"45+",IF(data[[#This Row],[Age]]&lt;18,"below 18 ")))))</f>
        <v xml:space="preserve">below 18 </v>
      </c>
    </row>
    <row r="1380" spans="1:31" x14ac:dyDescent="0.25">
      <c r="A1380" t="s">
        <v>1433</v>
      </c>
      <c r="B1380">
        <v>22</v>
      </c>
      <c r="C1380" t="s">
        <v>31</v>
      </c>
      <c r="D1380" t="s">
        <v>32</v>
      </c>
      <c r="E1380" t="s">
        <v>58</v>
      </c>
      <c r="F1380" t="s">
        <v>41</v>
      </c>
      <c r="H1380">
        <v>2</v>
      </c>
      <c r="I1380">
        <v>3</v>
      </c>
      <c r="J1380" t="s">
        <v>35</v>
      </c>
      <c r="K1380" t="s">
        <v>36</v>
      </c>
      <c r="L1380">
        <v>52</v>
      </c>
      <c r="M1380">
        <v>5.7</v>
      </c>
      <c r="N1380">
        <v>4.9000000000000004</v>
      </c>
      <c r="O1380">
        <v>7.7</v>
      </c>
      <c r="P1380">
        <v>7.4</v>
      </c>
      <c r="Q1380" t="s">
        <v>42</v>
      </c>
      <c r="R1380" t="s">
        <v>35</v>
      </c>
      <c r="S1380">
        <v>7.5</v>
      </c>
      <c r="T1380">
        <v>4.2</v>
      </c>
      <c r="U1380">
        <v>0.4</v>
      </c>
      <c r="V1380">
        <v>2.2000000000000002</v>
      </c>
      <c r="W1380">
        <v>5.0999999999999996</v>
      </c>
      <c r="X1380">
        <v>7.1</v>
      </c>
      <c r="Y1380">
        <v>7.7</v>
      </c>
      <c r="Z1380">
        <v>8</v>
      </c>
      <c r="AA1380">
        <v>5.4</v>
      </c>
      <c r="AB1380">
        <v>0</v>
      </c>
      <c r="AC1380">
        <v>5.9</v>
      </c>
      <c r="AD1380" t="s">
        <v>45</v>
      </c>
      <c r="AE1380" t="str">
        <f>IF(AND(data[[#This Row],[Age]]&gt;=18,data[[#This Row],[Age]]&lt;=24),"18-24",IF(AND(data[[#This Row],[Age]]&gt;=25,data[[#This Row],[Age]]&lt;=34),"25-34",IF(AND(data[[#This Row],[Age]]&gt;35,data[[#This Row],[Age]]&lt;=44),"35-44",IF(data[[#This Row],[Age]]&gt;44,"45+",IF(data[[#This Row],[Age]]&lt;18,"below 18 ")))))</f>
        <v>18-24</v>
      </c>
    </row>
    <row r="1381" spans="1:31" x14ac:dyDescent="0.25">
      <c r="A1381" t="s">
        <v>1434</v>
      </c>
      <c r="B1381">
        <v>34</v>
      </c>
      <c r="C1381" t="s">
        <v>47</v>
      </c>
      <c r="D1381" t="s">
        <v>39</v>
      </c>
      <c r="E1381" t="s">
        <v>33</v>
      </c>
      <c r="F1381" t="s">
        <v>51</v>
      </c>
      <c r="G1381">
        <v>6.1</v>
      </c>
      <c r="H1381">
        <v>3</v>
      </c>
      <c r="I1381">
        <v>4</v>
      </c>
      <c r="J1381" t="s">
        <v>35</v>
      </c>
      <c r="K1381" t="s">
        <v>62</v>
      </c>
      <c r="L1381">
        <v>64</v>
      </c>
      <c r="M1381">
        <v>4.5</v>
      </c>
      <c r="N1381">
        <v>6.1</v>
      </c>
      <c r="O1381">
        <v>4.7</v>
      </c>
      <c r="P1381">
        <v>5.4</v>
      </c>
      <c r="Q1381" t="s">
        <v>35</v>
      </c>
      <c r="R1381" t="s">
        <v>35</v>
      </c>
      <c r="S1381">
        <v>8.1999999999999993</v>
      </c>
      <c r="T1381">
        <v>3.7</v>
      </c>
      <c r="U1381">
        <v>1.7</v>
      </c>
      <c r="V1381">
        <v>7.2</v>
      </c>
      <c r="W1381">
        <v>5.7</v>
      </c>
      <c r="X1381">
        <v>5.4</v>
      </c>
      <c r="Y1381">
        <v>4.2</v>
      </c>
      <c r="Z1381">
        <v>2.1</v>
      </c>
      <c r="AA1381">
        <v>1.5</v>
      </c>
      <c r="AB1381">
        <v>3.3</v>
      </c>
      <c r="AC1381">
        <v>8.3000000000000007</v>
      </c>
      <c r="AD1381" t="s">
        <v>37</v>
      </c>
      <c r="AE1381" t="str">
        <f>IF(AND(data[[#This Row],[Age]]&gt;=18,data[[#This Row],[Age]]&lt;=24),"18-24",IF(AND(data[[#This Row],[Age]]&gt;=25,data[[#This Row],[Age]]&lt;=34),"25-34",IF(AND(data[[#This Row],[Age]]&gt;35,data[[#This Row],[Age]]&lt;=44),"35-44",IF(data[[#This Row],[Age]]&gt;44,"45+",IF(data[[#This Row],[Age]]&lt;18,"below 18 ")))))</f>
        <v>25-34</v>
      </c>
    </row>
    <row r="1382" spans="1:31" x14ac:dyDescent="0.25">
      <c r="A1382" t="s">
        <v>1435</v>
      </c>
      <c r="B1382">
        <v>22</v>
      </c>
      <c r="C1382" t="s">
        <v>31</v>
      </c>
      <c r="D1382" t="s">
        <v>39</v>
      </c>
      <c r="E1382" t="s">
        <v>33</v>
      </c>
      <c r="F1382" t="s">
        <v>34</v>
      </c>
      <c r="G1382">
        <v>5.7</v>
      </c>
      <c r="H1382">
        <v>7</v>
      </c>
      <c r="I1382">
        <v>2</v>
      </c>
      <c r="J1382" t="s">
        <v>42</v>
      </c>
      <c r="K1382" t="s">
        <v>36</v>
      </c>
      <c r="L1382">
        <v>70</v>
      </c>
      <c r="M1382">
        <v>9.1999999999999993</v>
      </c>
      <c r="N1382">
        <v>5.3</v>
      </c>
      <c r="O1382">
        <v>6.6</v>
      </c>
      <c r="P1382">
        <v>6.3</v>
      </c>
      <c r="Q1382" t="s">
        <v>42</v>
      </c>
      <c r="R1382" t="s">
        <v>42</v>
      </c>
      <c r="S1382">
        <v>1.7</v>
      </c>
      <c r="U1382">
        <v>8.9</v>
      </c>
      <c r="V1382">
        <v>3.4</v>
      </c>
      <c r="W1382">
        <v>3.1</v>
      </c>
      <c r="Y1382">
        <v>0</v>
      </c>
      <c r="Z1382">
        <v>5.4</v>
      </c>
      <c r="AA1382">
        <v>5.3</v>
      </c>
      <c r="AB1382">
        <v>5.4</v>
      </c>
      <c r="AC1382">
        <v>4.3</v>
      </c>
      <c r="AD1382" t="s">
        <v>43</v>
      </c>
      <c r="AE1382" t="str">
        <f>IF(AND(data[[#This Row],[Age]]&gt;=18,data[[#This Row],[Age]]&lt;=24),"18-24",IF(AND(data[[#This Row],[Age]]&gt;=25,data[[#This Row],[Age]]&lt;=34),"25-34",IF(AND(data[[#This Row],[Age]]&gt;35,data[[#This Row],[Age]]&lt;=44),"35-44",IF(data[[#This Row],[Age]]&gt;44,"45+",IF(data[[#This Row],[Age]]&lt;18,"below 18 ")))))</f>
        <v>18-24</v>
      </c>
    </row>
    <row r="1383" spans="1:31" x14ac:dyDescent="0.25">
      <c r="A1383" t="s">
        <v>1436</v>
      </c>
      <c r="B1383">
        <v>39</v>
      </c>
      <c r="C1383" t="s">
        <v>47</v>
      </c>
      <c r="D1383" t="s">
        <v>39</v>
      </c>
      <c r="E1383" t="s">
        <v>58</v>
      </c>
      <c r="F1383" t="s">
        <v>59</v>
      </c>
      <c r="G1383">
        <v>3.8</v>
      </c>
      <c r="H1383">
        <v>3</v>
      </c>
      <c r="I1383">
        <v>1</v>
      </c>
      <c r="J1383" t="s">
        <v>35</v>
      </c>
      <c r="K1383" t="s">
        <v>52</v>
      </c>
      <c r="L1383">
        <v>48</v>
      </c>
      <c r="M1383">
        <v>3.3</v>
      </c>
      <c r="N1383">
        <v>3.9</v>
      </c>
      <c r="O1383">
        <v>5.6</v>
      </c>
      <c r="P1383">
        <v>2.2999999999999998</v>
      </c>
      <c r="Q1383" t="s">
        <v>42</v>
      </c>
      <c r="R1383" t="s">
        <v>42</v>
      </c>
      <c r="S1383">
        <v>8.1999999999999993</v>
      </c>
      <c r="T1383">
        <v>4.8</v>
      </c>
      <c r="U1383">
        <v>4.4000000000000004</v>
      </c>
      <c r="V1383">
        <v>5.3</v>
      </c>
      <c r="W1383">
        <v>4.8</v>
      </c>
      <c r="X1383">
        <v>8.9</v>
      </c>
      <c r="Y1383">
        <v>4.8</v>
      </c>
      <c r="Z1383">
        <v>7</v>
      </c>
      <c r="AA1383">
        <v>2.2000000000000002</v>
      </c>
      <c r="AB1383">
        <v>0</v>
      </c>
      <c r="AC1383">
        <v>7.3</v>
      </c>
      <c r="AD1383" t="s">
        <v>53</v>
      </c>
      <c r="AE1383" t="str">
        <f>IF(AND(data[[#This Row],[Age]]&gt;=18,data[[#This Row],[Age]]&lt;=24),"18-24",IF(AND(data[[#This Row],[Age]]&gt;=25,data[[#This Row],[Age]]&lt;=34),"25-34",IF(AND(data[[#This Row],[Age]]&gt;35,data[[#This Row],[Age]]&lt;=44),"35-44",IF(data[[#This Row],[Age]]&gt;44,"45+",IF(data[[#This Row],[Age]]&lt;18,"below 18 ")))))</f>
        <v>35-44</v>
      </c>
    </row>
    <row r="1384" spans="1:31" x14ac:dyDescent="0.25">
      <c r="A1384" t="s">
        <v>1437</v>
      </c>
      <c r="B1384">
        <v>26</v>
      </c>
      <c r="C1384" t="s">
        <v>31</v>
      </c>
      <c r="D1384" t="s">
        <v>32</v>
      </c>
      <c r="E1384" t="s">
        <v>58</v>
      </c>
      <c r="F1384" t="s">
        <v>34</v>
      </c>
      <c r="G1384">
        <v>3.8</v>
      </c>
      <c r="H1384">
        <v>2</v>
      </c>
      <c r="I1384">
        <v>4</v>
      </c>
      <c r="J1384" t="s">
        <v>42</v>
      </c>
      <c r="K1384" t="s">
        <v>52</v>
      </c>
      <c r="L1384">
        <v>59</v>
      </c>
      <c r="M1384">
        <v>4.4000000000000004</v>
      </c>
      <c r="N1384">
        <v>4.3</v>
      </c>
      <c r="O1384">
        <v>3.2</v>
      </c>
      <c r="P1384">
        <v>3.2</v>
      </c>
      <c r="Q1384" t="s">
        <v>42</v>
      </c>
      <c r="R1384" t="s">
        <v>42</v>
      </c>
      <c r="S1384">
        <v>4.0999999999999996</v>
      </c>
      <c r="T1384">
        <v>6.1</v>
      </c>
      <c r="U1384">
        <v>1.2</v>
      </c>
      <c r="V1384">
        <v>5.4</v>
      </c>
      <c r="W1384">
        <v>6.2</v>
      </c>
      <c r="X1384">
        <v>7.9</v>
      </c>
      <c r="Z1384">
        <v>9.3000000000000007</v>
      </c>
      <c r="AA1384">
        <v>3.3</v>
      </c>
      <c r="AB1384">
        <v>4.8</v>
      </c>
      <c r="AC1384">
        <v>7.9</v>
      </c>
      <c r="AD1384" t="s">
        <v>37</v>
      </c>
      <c r="AE1384" t="str">
        <f>IF(AND(data[[#This Row],[Age]]&gt;=18,data[[#This Row],[Age]]&lt;=24),"18-24",IF(AND(data[[#This Row],[Age]]&gt;=25,data[[#This Row],[Age]]&lt;=34),"25-34",IF(AND(data[[#This Row],[Age]]&gt;35,data[[#This Row],[Age]]&lt;=44),"35-44",IF(data[[#This Row],[Age]]&gt;44,"45+",IF(data[[#This Row],[Age]]&lt;18,"below 18 ")))))</f>
        <v>25-34</v>
      </c>
    </row>
    <row r="1385" spans="1:31" x14ac:dyDescent="0.25">
      <c r="A1385" t="s">
        <v>1438</v>
      </c>
      <c r="B1385">
        <v>20</v>
      </c>
      <c r="C1385" t="s">
        <v>50</v>
      </c>
      <c r="D1385" t="s">
        <v>39</v>
      </c>
      <c r="E1385" t="s">
        <v>33</v>
      </c>
      <c r="F1385" t="s">
        <v>34</v>
      </c>
      <c r="G1385">
        <v>4.7</v>
      </c>
      <c r="H1385">
        <v>7</v>
      </c>
      <c r="I1385">
        <v>2</v>
      </c>
      <c r="J1385" t="s">
        <v>35</v>
      </c>
      <c r="K1385" t="s">
        <v>52</v>
      </c>
      <c r="L1385">
        <v>90</v>
      </c>
      <c r="N1385">
        <v>4.4000000000000004</v>
      </c>
      <c r="O1385">
        <v>6.1</v>
      </c>
      <c r="P1385">
        <v>4.8</v>
      </c>
      <c r="Q1385" t="s">
        <v>35</v>
      </c>
      <c r="R1385" t="s">
        <v>42</v>
      </c>
      <c r="S1385">
        <v>7.7</v>
      </c>
      <c r="T1385">
        <v>2.8</v>
      </c>
      <c r="V1385">
        <v>5.8</v>
      </c>
      <c r="W1385">
        <v>9.6</v>
      </c>
      <c r="X1385">
        <v>5.5</v>
      </c>
      <c r="Y1385">
        <v>4.8</v>
      </c>
      <c r="Z1385">
        <v>7.6</v>
      </c>
      <c r="AA1385">
        <v>2.5</v>
      </c>
      <c r="AB1385">
        <v>3.5</v>
      </c>
      <c r="AC1385">
        <v>6.6</v>
      </c>
      <c r="AD1385" t="s">
        <v>53</v>
      </c>
      <c r="AE1385" t="str">
        <f>IF(AND(data[[#This Row],[Age]]&gt;=18,data[[#This Row],[Age]]&lt;=24),"18-24",IF(AND(data[[#This Row],[Age]]&gt;=25,data[[#This Row],[Age]]&lt;=34),"25-34",IF(AND(data[[#This Row],[Age]]&gt;35,data[[#This Row],[Age]]&lt;=44),"35-44",IF(data[[#This Row],[Age]]&gt;44,"45+",IF(data[[#This Row],[Age]]&lt;18,"below 18 ")))))</f>
        <v>18-24</v>
      </c>
    </row>
    <row r="1386" spans="1:31" x14ac:dyDescent="0.25">
      <c r="A1386" t="s">
        <v>1439</v>
      </c>
      <c r="B1386">
        <v>43</v>
      </c>
      <c r="C1386" t="s">
        <v>31</v>
      </c>
      <c r="D1386" t="s">
        <v>39</v>
      </c>
      <c r="E1386" t="s">
        <v>40</v>
      </c>
      <c r="F1386" t="s">
        <v>41</v>
      </c>
      <c r="G1386">
        <v>5.6</v>
      </c>
      <c r="H1386">
        <v>1</v>
      </c>
      <c r="I1386">
        <v>3</v>
      </c>
      <c r="J1386" t="s">
        <v>42</v>
      </c>
      <c r="K1386" t="s">
        <v>36</v>
      </c>
      <c r="L1386">
        <v>78</v>
      </c>
      <c r="M1386">
        <v>2.6</v>
      </c>
      <c r="N1386">
        <v>3.4</v>
      </c>
      <c r="O1386">
        <v>3.8</v>
      </c>
      <c r="P1386">
        <v>7.3</v>
      </c>
      <c r="Q1386" t="s">
        <v>42</v>
      </c>
      <c r="R1386" t="s">
        <v>42</v>
      </c>
      <c r="S1386">
        <v>7.7</v>
      </c>
      <c r="T1386">
        <v>6.1</v>
      </c>
      <c r="U1386">
        <v>0.9</v>
      </c>
      <c r="V1386">
        <v>4.0999999999999996</v>
      </c>
      <c r="X1386">
        <v>5.6</v>
      </c>
      <c r="Y1386">
        <v>5.2</v>
      </c>
      <c r="Z1386">
        <v>4.2</v>
      </c>
      <c r="AA1386">
        <v>4.4000000000000004</v>
      </c>
      <c r="AB1386">
        <v>4.8</v>
      </c>
      <c r="AC1386">
        <v>5.5</v>
      </c>
      <c r="AD1386" t="s">
        <v>45</v>
      </c>
      <c r="AE1386" t="str">
        <f>IF(AND(data[[#This Row],[Age]]&gt;=18,data[[#This Row],[Age]]&lt;=24),"18-24",IF(AND(data[[#This Row],[Age]]&gt;=25,data[[#This Row],[Age]]&lt;=34),"25-34",IF(AND(data[[#This Row],[Age]]&gt;35,data[[#This Row],[Age]]&lt;=44),"35-44",IF(data[[#This Row],[Age]]&gt;44,"45+",IF(data[[#This Row],[Age]]&lt;18,"below 18 ")))))</f>
        <v>35-44</v>
      </c>
    </row>
    <row r="1387" spans="1:31" x14ac:dyDescent="0.25">
      <c r="A1387" t="s">
        <v>1440</v>
      </c>
      <c r="B1387">
        <v>36</v>
      </c>
      <c r="C1387" t="s">
        <v>31</v>
      </c>
      <c r="D1387" t="s">
        <v>32</v>
      </c>
      <c r="E1387" t="s">
        <v>58</v>
      </c>
      <c r="F1387" t="s">
        <v>51</v>
      </c>
      <c r="G1387">
        <v>2.2999999999999998</v>
      </c>
      <c r="H1387">
        <v>1</v>
      </c>
      <c r="I1387">
        <v>3</v>
      </c>
      <c r="J1387" t="s">
        <v>42</v>
      </c>
      <c r="K1387" t="s">
        <v>36</v>
      </c>
      <c r="L1387">
        <v>48</v>
      </c>
      <c r="M1387">
        <v>6.9</v>
      </c>
      <c r="N1387">
        <v>7.4</v>
      </c>
      <c r="O1387">
        <v>4</v>
      </c>
      <c r="P1387">
        <v>7.1</v>
      </c>
      <c r="Q1387" t="s">
        <v>42</v>
      </c>
      <c r="R1387" t="s">
        <v>35</v>
      </c>
      <c r="S1387">
        <v>10</v>
      </c>
      <c r="T1387">
        <v>5.6</v>
      </c>
      <c r="U1387">
        <v>3.7</v>
      </c>
      <c r="V1387">
        <v>7.1</v>
      </c>
      <c r="W1387">
        <v>4.5999999999999996</v>
      </c>
      <c r="Y1387">
        <v>4.4000000000000004</v>
      </c>
      <c r="Z1387">
        <v>7.3</v>
      </c>
      <c r="AA1387">
        <v>0</v>
      </c>
      <c r="AB1387">
        <v>3.9</v>
      </c>
      <c r="AC1387">
        <v>5.2</v>
      </c>
      <c r="AD1387" t="s">
        <v>43</v>
      </c>
      <c r="AE1387" t="str">
        <f>IF(AND(data[[#This Row],[Age]]&gt;=18,data[[#This Row],[Age]]&lt;=24),"18-24",IF(AND(data[[#This Row],[Age]]&gt;=25,data[[#This Row],[Age]]&lt;=34),"25-34",IF(AND(data[[#This Row],[Age]]&gt;35,data[[#This Row],[Age]]&lt;=44),"35-44",IF(data[[#This Row],[Age]]&gt;44,"45+",IF(data[[#This Row],[Age]]&lt;18,"below 18 ")))))</f>
        <v>35-44</v>
      </c>
    </row>
    <row r="1388" spans="1:31" x14ac:dyDescent="0.25">
      <c r="A1388" t="s">
        <v>1441</v>
      </c>
      <c r="B1388">
        <v>31</v>
      </c>
      <c r="C1388" t="s">
        <v>31</v>
      </c>
      <c r="D1388" t="s">
        <v>39</v>
      </c>
      <c r="E1388" t="s">
        <v>40</v>
      </c>
      <c r="F1388" t="s">
        <v>51</v>
      </c>
      <c r="G1388">
        <v>2.4</v>
      </c>
      <c r="H1388">
        <v>3</v>
      </c>
      <c r="I1388">
        <v>8</v>
      </c>
      <c r="J1388" t="s">
        <v>35</v>
      </c>
      <c r="K1388" t="s">
        <v>36</v>
      </c>
      <c r="L1388">
        <v>42</v>
      </c>
      <c r="M1388">
        <v>7.3</v>
      </c>
      <c r="N1388">
        <v>4.4000000000000004</v>
      </c>
      <c r="O1388">
        <v>5.5</v>
      </c>
      <c r="P1388">
        <v>5.0999999999999996</v>
      </c>
      <c r="Q1388" t="s">
        <v>42</v>
      </c>
      <c r="R1388" t="s">
        <v>42</v>
      </c>
      <c r="S1388">
        <v>3.6</v>
      </c>
      <c r="T1388">
        <v>8.5</v>
      </c>
      <c r="U1388">
        <v>4.5</v>
      </c>
      <c r="V1388">
        <v>4.9000000000000004</v>
      </c>
      <c r="W1388">
        <v>3.9</v>
      </c>
      <c r="X1388">
        <v>4.5</v>
      </c>
      <c r="Y1388">
        <v>4.8</v>
      </c>
      <c r="Z1388">
        <v>5.4</v>
      </c>
      <c r="AA1388">
        <v>6.9</v>
      </c>
      <c r="AB1388">
        <v>6.8</v>
      </c>
      <c r="AC1388">
        <v>5.9</v>
      </c>
      <c r="AD1388" t="s">
        <v>53</v>
      </c>
      <c r="AE1388" t="str">
        <f>IF(AND(data[[#This Row],[Age]]&gt;=18,data[[#This Row],[Age]]&lt;=24),"18-24",IF(AND(data[[#This Row],[Age]]&gt;=25,data[[#This Row],[Age]]&lt;=34),"25-34",IF(AND(data[[#This Row],[Age]]&gt;35,data[[#This Row],[Age]]&lt;=44),"35-44",IF(data[[#This Row],[Age]]&gt;44,"45+",IF(data[[#This Row],[Age]]&lt;18,"below 18 ")))))</f>
        <v>25-34</v>
      </c>
    </row>
    <row r="1389" spans="1:31" x14ac:dyDescent="0.25">
      <c r="A1389" t="s">
        <v>1442</v>
      </c>
      <c r="B1389">
        <v>37</v>
      </c>
      <c r="C1389" t="s">
        <v>47</v>
      </c>
      <c r="D1389" t="s">
        <v>32</v>
      </c>
      <c r="E1389" t="s">
        <v>33</v>
      </c>
      <c r="F1389" t="s">
        <v>34</v>
      </c>
      <c r="G1389">
        <v>3.7</v>
      </c>
      <c r="H1389">
        <v>6</v>
      </c>
      <c r="I1389">
        <v>1</v>
      </c>
      <c r="J1389" t="s">
        <v>35</v>
      </c>
      <c r="K1389" t="s">
        <v>36</v>
      </c>
      <c r="L1389">
        <v>5</v>
      </c>
      <c r="M1389">
        <v>4.0999999999999996</v>
      </c>
      <c r="N1389">
        <v>6.6</v>
      </c>
      <c r="O1389">
        <v>7.2</v>
      </c>
      <c r="P1389">
        <v>3.9</v>
      </c>
      <c r="R1389" t="s">
        <v>42</v>
      </c>
      <c r="S1389">
        <v>4.4000000000000004</v>
      </c>
      <c r="T1389">
        <v>3.3</v>
      </c>
      <c r="U1389">
        <v>5.5</v>
      </c>
      <c r="V1389">
        <v>6.5</v>
      </c>
      <c r="W1389">
        <v>5.5</v>
      </c>
      <c r="X1389">
        <v>4.2</v>
      </c>
      <c r="Y1389">
        <v>4.5</v>
      </c>
      <c r="Z1389">
        <v>6.1</v>
      </c>
      <c r="AA1389">
        <v>0.2</v>
      </c>
      <c r="AB1389">
        <v>0.9</v>
      </c>
      <c r="AC1389">
        <v>6.4</v>
      </c>
      <c r="AD1389" t="s">
        <v>53</v>
      </c>
      <c r="AE1389" t="str">
        <f>IF(AND(data[[#This Row],[Age]]&gt;=18,data[[#This Row],[Age]]&lt;=24),"18-24",IF(AND(data[[#This Row],[Age]]&gt;=25,data[[#This Row],[Age]]&lt;=34),"25-34",IF(AND(data[[#This Row],[Age]]&gt;35,data[[#This Row],[Age]]&lt;=44),"35-44",IF(data[[#This Row],[Age]]&gt;44,"45+",IF(data[[#This Row],[Age]]&lt;18,"below 18 ")))))</f>
        <v>35-44</v>
      </c>
    </row>
    <row r="1390" spans="1:31" x14ac:dyDescent="0.25">
      <c r="A1390" t="s">
        <v>1443</v>
      </c>
      <c r="B1390">
        <v>35</v>
      </c>
      <c r="D1390" t="s">
        <v>32</v>
      </c>
      <c r="F1390" t="s">
        <v>70</v>
      </c>
      <c r="G1390">
        <v>4.7</v>
      </c>
      <c r="H1390">
        <v>3</v>
      </c>
      <c r="I1390">
        <v>3</v>
      </c>
      <c r="J1390" t="s">
        <v>35</v>
      </c>
      <c r="K1390" t="s">
        <v>36</v>
      </c>
      <c r="L1390">
        <v>58</v>
      </c>
      <c r="M1390">
        <v>6.1</v>
      </c>
      <c r="N1390">
        <v>4.5999999999999996</v>
      </c>
      <c r="O1390">
        <v>3.6</v>
      </c>
      <c r="P1390">
        <v>6.9</v>
      </c>
      <c r="Q1390" t="s">
        <v>35</v>
      </c>
      <c r="R1390" t="s">
        <v>42</v>
      </c>
      <c r="S1390">
        <v>9</v>
      </c>
      <c r="T1390">
        <v>8.4</v>
      </c>
      <c r="U1390">
        <v>4.2</v>
      </c>
      <c r="V1390">
        <v>5.3</v>
      </c>
      <c r="W1390">
        <v>7.3</v>
      </c>
      <c r="X1390">
        <v>7.6</v>
      </c>
      <c r="Y1390">
        <v>2.6</v>
      </c>
      <c r="Z1390">
        <v>8.4</v>
      </c>
      <c r="AA1390">
        <v>3.8</v>
      </c>
      <c r="AB1390">
        <v>2.5</v>
      </c>
      <c r="AC1390">
        <v>6.5</v>
      </c>
      <c r="AD1390" t="s">
        <v>53</v>
      </c>
      <c r="AE1390" t="b">
        <f>IF(AND(data[[#This Row],[Age]]&gt;=18,data[[#This Row],[Age]]&lt;=24),"18-24",IF(AND(data[[#This Row],[Age]]&gt;=25,data[[#This Row],[Age]]&lt;=34),"25-34",IF(AND(data[[#This Row],[Age]]&gt;35,data[[#This Row],[Age]]&lt;=44),"35-44",IF(data[[#This Row],[Age]]&gt;44,"45+",IF(data[[#This Row],[Age]]&lt;18,"below 18 ")))))</f>
        <v>0</v>
      </c>
    </row>
    <row r="1391" spans="1:31" x14ac:dyDescent="0.25">
      <c r="A1391" t="s">
        <v>1444</v>
      </c>
      <c r="B1391">
        <v>42</v>
      </c>
      <c r="C1391" t="s">
        <v>47</v>
      </c>
      <c r="D1391" t="s">
        <v>39</v>
      </c>
      <c r="E1391" t="s">
        <v>33</v>
      </c>
      <c r="F1391" t="s">
        <v>41</v>
      </c>
      <c r="G1391">
        <v>3.1</v>
      </c>
      <c r="H1391">
        <v>6</v>
      </c>
      <c r="I1391">
        <v>5</v>
      </c>
      <c r="J1391" t="s">
        <v>42</v>
      </c>
      <c r="K1391" t="s">
        <v>52</v>
      </c>
      <c r="L1391">
        <v>19</v>
      </c>
      <c r="M1391">
        <v>3.8</v>
      </c>
      <c r="N1391">
        <v>7.7</v>
      </c>
      <c r="O1391">
        <v>8.6999999999999993</v>
      </c>
      <c r="P1391">
        <v>4.3</v>
      </c>
      <c r="Q1391" t="s">
        <v>35</v>
      </c>
      <c r="R1391" t="s">
        <v>35</v>
      </c>
      <c r="S1391">
        <v>5.4</v>
      </c>
      <c r="T1391">
        <v>4.5999999999999996</v>
      </c>
      <c r="U1391">
        <v>4.4000000000000004</v>
      </c>
      <c r="V1391">
        <v>7.4</v>
      </c>
      <c r="W1391">
        <v>5.2</v>
      </c>
      <c r="X1391">
        <v>8.9</v>
      </c>
      <c r="Y1391">
        <v>7.6</v>
      </c>
      <c r="Z1391">
        <v>4.7</v>
      </c>
      <c r="AA1391">
        <v>4.4000000000000004</v>
      </c>
      <c r="AB1391">
        <v>1.3</v>
      </c>
      <c r="AC1391">
        <v>7.2</v>
      </c>
      <c r="AD1391" t="s">
        <v>53</v>
      </c>
      <c r="AE1391" t="str">
        <f>IF(AND(data[[#This Row],[Age]]&gt;=18,data[[#This Row],[Age]]&lt;=24),"18-24",IF(AND(data[[#This Row],[Age]]&gt;=25,data[[#This Row],[Age]]&lt;=34),"25-34",IF(AND(data[[#This Row],[Age]]&gt;35,data[[#This Row],[Age]]&lt;=44),"35-44",IF(data[[#This Row],[Age]]&gt;44,"45+",IF(data[[#This Row],[Age]]&lt;18,"below 18 ")))))</f>
        <v>35-44</v>
      </c>
    </row>
    <row r="1392" spans="1:31" x14ac:dyDescent="0.25">
      <c r="A1392" t="s">
        <v>1445</v>
      </c>
      <c r="B1392">
        <v>16</v>
      </c>
      <c r="C1392" t="s">
        <v>47</v>
      </c>
      <c r="D1392" t="s">
        <v>32</v>
      </c>
      <c r="E1392" t="s">
        <v>58</v>
      </c>
      <c r="F1392" t="s">
        <v>59</v>
      </c>
      <c r="G1392">
        <v>3.6</v>
      </c>
      <c r="H1392">
        <v>4</v>
      </c>
      <c r="I1392">
        <v>2</v>
      </c>
      <c r="J1392" t="s">
        <v>35</v>
      </c>
      <c r="K1392" t="s">
        <v>62</v>
      </c>
      <c r="L1392">
        <v>96</v>
      </c>
      <c r="M1392">
        <v>6</v>
      </c>
      <c r="N1392">
        <v>4</v>
      </c>
      <c r="O1392">
        <v>5.4</v>
      </c>
      <c r="P1392">
        <v>2.6</v>
      </c>
      <c r="Q1392" t="s">
        <v>35</v>
      </c>
      <c r="R1392" t="s">
        <v>35</v>
      </c>
      <c r="S1392">
        <v>8.6</v>
      </c>
      <c r="T1392">
        <v>0.3</v>
      </c>
      <c r="U1392">
        <v>4.3</v>
      </c>
      <c r="V1392">
        <v>5.3</v>
      </c>
      <c r="W1392">
        <v>7</v>
      </c>
      <c r="X1392">
        <v>5.3</v>
      </c>
      <c r="Y1392">
        <v>9.1</v>
      </c>
      <c r="Z1392">
        <v>7.6</v>
      </c>
      <c r="AA1392">
        <v>4.9000000000000004</v>
      </c>
      <c r="AB1392">
        <v>2.6</v>
      </c>
      <c r="AC1392">
        <v>8.5</v>
      </c>
      <c r="AD1392" t="s">
        <v>37</v>
      </c>
      <c r="AE1392" t="str">
        <f>IF(AND(data[[#This Row],[Age]]&gt;=18,data[[#This Row],[Age]]&lt;=24),"18-24",IF(AND(data[[#This Row],[Age]]&gt;=25,data[[#This Row],[Age]]&lt;=34),"25-34",IF(AND(data[[#This Row],[Age]]&gt;35,data[[#This Row],[Age]]&lt;=44),"35-44",IF(data[[#This Row],[Age]]&gt;44,"45+",IF(data[[#This Row],[Age]]&lt;18,"below 18 ")))))</f>
        <v xml:space="preserve">below 18 </v>
      </c>
    </row>
    <row r="1393" spans="1:31" x14ac:dyDescent="0.25">
      <c r="A1393" t="s">
        <v>1446</v>
      </c>
      <c r="B1393">
        <v>44</v>
      </c>
      <c r="C1393" t="s">
        <v>47</v>
      </c>
      <c r="D1393" t="s">
        <v>32</v>
      </c>
      <c r="E1393" t="s">
        <v>40</v>
      </c>
      <c r="F1393" t="s">
        <v>51</v>
      </c>
      <c r="G1393">
        <v>2.8</v>
      </c>
      <c r="H1393">
        <v>5</v>
      </c>
      <c r="I1393">
        <v>5</v>
      </c>
      <c r="J1393" t="s">
        <v>42</v>
      </c>
      <c r="K1393" t="s">
        <v>36</v>
      </c>
      <c r="L1393">
        <v>95</v>
      </c>
      <c r="M1393">
        <v>5.7</v>
      </c>
      <c r="N1393">
        <v>6.1</v>
      </c>
      <c r="O1393">
        <v>5.3</v>
      </c>
      <c r="P1393">
        <v>3.4</v>
      </c>
      <c r="Q1393" t="s">
        <v>35</v>
      </c>
      <c r="R1393" t="s">
        <v>42</v>
      </c>
      <c r="S1393">
        <v>8.5</v>
      </c>
      <c r="T1393">
        <v>7.7</v>
      </c>
      <c r="U1393">
        <v>4.7</v>
      </c>
      <c r="V1393">
        <v>8.9</v>
      </c>
      <c r="W1393">
        <v>4.3</v>
      </c>
      <c r="X1393">
        <v>5.2</v>
      </c>
      <c r="Y1393">
        <v>6.1</v>
      </c>
      <c r="Z1393">
        <v>8.1999999999999993</v>
      </c>
      <c r="AA1393">
        <v>2.2999999999999998</v>
      </c>
      <c r="AB1393">
        <v>4.0999999999999996</v>
      </c>
      <c r="AC1393">
        <v>4.3</v>
      </c>
      <c r="AD1393" t="s">
        <v>43</v>
      </c>
      <c r="AE1393" t="str">
        <f>IF(AND(data[[#This Row],[Age]]&gt;=18,data[[#This Row],[Age]]&lt;=24),"18-24",IF(AND(data[[#This Row],[Age]]&gt;=25,data[[#This Row],[Age]]&lt;=34),"25-34",IF(AND(data[[#This Row],[Age]]&gt;35,data[[#This Row],[Age]]&lt;=44),"35-44",IF(data[[#This Row],[Age]]&gt;44,"45+",IF(data[[#This Row],[Age]]&lt;18,"below 18 ")))))</f>
        <v>35-44</v>
      </c>
    </row>
    <row r="1394" spans="1:31" x14ac:dyDescent="0.25">
      <c r="A1394" t="s">
        <v>1447</v>
      </c>
      <c r="B1394">
        <v>25</v>
      </c>
      <c r="C1394" t="s">
        <v>31</v>
      </c>
      <c r="D1394" t="s">
        <v>64</v>
      </c>
      <c r="E1394" t="s">
        <v>33</v>
      </c>
      <c r="F1394" t="s">
        <v>59</v>
      </c>
      <c r="G1394">
        <v>5.7</v>
      </c>
      <c r="H1394">
        <v>2</v>
      </c>
      <c r="I1394">
        <v>2</v>
      </c>
      <c r="J1394" t="s">
        <v>35</v>
      </c>
      <c r="K1394" t="s">
        <v>62</v>
      </c>
      <c r="L1394">
        <v>5</v>
      </c>
      <c r="M1394">
        <v>2.4</v>
      </c>
      <c r="N1394">
        <v>6.9</v>
      </c>
      <c r="O1394">
        <v>3.5</v>
      </c>
      <c r="P1394">
        <v>9.6</v>
      </c>
      <c r="Q1394" t="s">
        <v>42</v>
      </c>
      <c r="R1394" t="s">
        <v>42</v>
      </c>
      <c r="S1394">
        <v>6.7</v>
      </c>
      <c r="T1394">
        <v>0.9</v>
      </c>
      <c r="U1394">
        <v>5.9</v>
      </c>
      <c r="V1394">
        <v>5.8</v>
      </c>
      <c r="W1394">
        <v>4.4000000000000004</v>
      </c>
      <c r="Y1394">
        <v>6.1</v>
      </c>
      <c r="Z1394">
        <v>5.6</v>
      </c>
      <c r="AA1394">
        <v>0</v>
      </c>
      <c r="AB1394">
        <v>4</v>
      </c>
      <c r="AC1394">
        <v>6.6</v>
      </c>
      <c r="AD1394" t="s">
        <v>53</v>
      </c>
      <c r="AE1394" t="str">
        <f>IF(AND(data[[#This Row],[Age]]&gt;=18,data[[#This Row],[Age]]&lt;=24),"18-24",IF(AND(data[[#This Row],[Age]]&gt;=25,data[[#This Row],[Age]]&lt;=34),"25-34",IF(AND(data[[#This Row],[Age]]&gt;35,data[[#This Row],[Age]]&lt;=44),"35-44",IF(data[[#This Row],[Age]]&gt;44,"45+",IF(data[[#This Row],[Age]]&lt;18,"below 18 ")))))</f>
        <v>25-34</v>
      </c>
    </row>
    <row r="1395" spans="1:31" x14ac:dyDescent="0.25">
      <c r="A1395" t="s">
        <v>1448</v>
      </c>
      <c r="B1395">
        <v>41</v>
      </c>
      <c r="C1395" t="s">
        <v>31</v>
      </c>
      <c r="D1395" t="s">
        <v>57</v>
      </c>
      <c r="E1395" t="s">
        <v>40</v>
      </c>
      <c r="F1395" t="s">
        <v>41</v>
      </c>
      <c r="H1395">
        <v>3</v>
      </c>
      <c r="I1395">
        <v>6</v>
      </c>
      <c r="J1395" t="s">
        <v>42</v>
      </c>
      <c r="K1395" t="s">
        <v>36</v>
      </c>
      <c r="L1395">
        <v>74</v>
      </c>
      <c r="M1395">
        <v>9.8000000000000007</v>
      </c>
      <c r="N1395">
        <v>6.1</v>
      </c>
      <c r="O1395">
        <v>5.3</v>
      </c>
      <c r="P1395">
        <v>5.8</v>
      </c>
      <c r="Q1395" t="s">
        <v>42</v>
      </c>
      <c r="R1395" t="s">
        <v>42</v>
      </c>
      <c r="S1395">
        <v>9</v>
      </c>
      <c r="T1395">
        <v>4.3</v>
      </c>
      <c r="U1395">
        <v>3</v>
      </c>
      <c r="V1395">
        <v>3.8</v>
      </c>
      <c r="W1395">
        <v>7.6</v>
      </c>
      <c r="X1395">
        <v>7.3</v>
      </c>
      <c r="Y1395">
        <v>6.7</v>
      </c>
      <c r="Z1395">
        <v>3.5</v>
      </c>
      <c r="AA1395">
        <v>1.6</v>
      </c>
      <c r="AB1395">
        <v>0</v>
      </c>
      <c r="AC1395">
        <v>4</v>
      </c>
      <c r="AD1395" t="s">
        <v>43</v>
      </c>
      <c r="AE1395" t="str">
        <f>IF(AND(data[[#This Row],[Age]]&gt;=18,data[[#This Row],[Age]]&lt;=24),"18-24",IF(AND(data[[#This Row],[Age]]&gt;=25,data[[#This Row],[Age]]&lt;=34),"25-34",IF(AND(data[[#This Row],[Age]]&gt;35,data[[#This Row],[Age]]&lt;=44),"35-44",IF(data[[#This Row],[Age]]&gt;44,"45+",IF(data[[#This Row],[Age]]&lt;18,"below 18 ")))))</f>
        <v>35-44</v>
      </c>
    </row>
    <row r="1396" spans="1:31" x14ac:dyDescent="0.25">
      <c r="A1396" t="s">
        <v>1449</v>
      </c>
      <c r="B1396">
        <v>39</v>
      </c>
      <c r="C1396" t="s">
        <v>31</v>
      </c>
      <c r="D1396" t="s">
        <v>32</v>
      </c>
      <c r="E1396" t="s">
        <v>58</v>
      </c>
      <c r="F1396" t="s">
        <v>34</v>
      </c>
      <c r="G1396">
        <v>4.5</v>
      </c>
      <c r="H1396">
        <v>4</v>
      </c>
      <c r="I1396">
        <v>3</v>
      </c>
      <c r="J1396" t="s">
        <v>42</v>
      </c>
      <c r="K1396" t="s">
        <v>36</v>
      </c>
      <c r="L1396">
        <v>111</v>
      </c>
      <c r="M1396">
        <v>6.2</v>
      </c>
      <c r="N1396">
        <v>6.7</v>
      </c>
      <c r="O1396">
        <v>2.4</v>
      </c>
      <c r="P1396">
        <v>9.6999999999999993</v>
      </c>
      <c r="Q1396" t="s">
        <v>35</v>
      </c>
      <c r="R1396" t="s">
        <v>35</v>
      </c>
      <c r="S1396">
        <v>1.7</v>
      </c>
      <c r="T1396">
        <v>4.8</v>
      </c>
      <c r="U1396">
        <v>5</v>
      </c>
      <c r="V1396">
        <v>2.8</v>
      </c>
      <c r="W1396">
        <v>5.6</v>
      </c>
      <c r="X1396">
        <v>8</v>
      </c>
      <c r="Y1396">
        <v>4.2</v>
      </c>
      <c r="Z1396">
        <v>4.3</v>
      </c>
      <c r="AA1396">
        <v>4.5</v>
      </c>
      <c r="AB1396">
        <v>2.9</v>
      </c>
      <c r="AC1396">
        <v>5.4</v>
      </c>
      <c r="AD1396" t="s">
        <v>45</v>
      </c>
      <c r="AE1396" t="str">
        <f>IF(AND(data[[#This Row],[Age]]&gt;=18,data[[#This Row],[Age]]&lt;=24),"18-24",IF(AND(data[[#This Row],[Age]]&gt;=25,data[[#This Row],[Age]]&lt;=34),"25-34",IF(AND(data[[#This Row],[Age]]&gt;35,data[[#This Row],[Age]]&lt;=44),"35-44",IF(data[[#This Row],[Age]]&gt;44,"45+",IF(data[[#This Row],[Age]]&lt;18,"below 18 ")))))</f>
        <v>35-44</v>
      </c>
    </row>
    <row r="1397" spans="1:31" x14ac:dyDescent="0.25">
      <c r="A1397" t="s">
        <v>1450</v>
      </c>
      <c r="B1397">
        <v>34</v>
      </c>
      <c r="C1397" t="s">
        <v>31</v>
      </c>
      <c r="D1397" t="s">
        <v>39</v>
      </c>
      <c r="E1397" t="s">
        <v>58</v>
      </c>
      <c r="F1397" t="s">
        <v>51</v>
      </c>
      <c r="G1397">
        <v>3.1</v>
      </c>
      <c r="H1397">
        <v>4</v>
      </c>
      <c r="I1397">
        <v>4</v>
      </c>
      <c r="J1397" t="s">
        <v>42</v>
      </c>
      <c r="K1397" t="s">
        <v>52</v>
      </c>
      <c r="L1397">
        <v>105</v>
      </c>
      <c r="M1397">
        <v>4.5999999999999996</v>
      </c>
      <c r="N1397">
        <v>9.5</v>
      </c>
      <c r="O1397">
        <v>3.3</v>
      </c>
      <c r="P1397">
        <v>3.1</v>
      </c>
      <c r="Q1397" t="s">
        <v>42</v>
      </c>
      <c r="R1397" t="s">
        <v>42</v>
      </c>
      <c r="S1397">
        <v>3.5</v>
      </c>
      <c r="U1397">
        <v>7.5</v>
      </c>
      <c r="V1397">
        <v>5.9</v>
      </c>
      <c r="W1397">
        <v>4.5</v>
      </c>
      <c r="X1397">
        <v>7.2</v>
      </c>
      <c r="Y1397">
        <v>1.9</v>
      </c>
      <c r="Z1397">
        <v>6.7</v>
      </c>
      <c r="AA1397">
        <v>0.4</v>
      </c>
      <c r="AB1397">
        <v>6.2</v>
      </c>
      <c r="AC1397">
        <v>5.9</v>
      </c>
      <c r="AD1397" t="s">
        <v>45</v>
      </c>
      <c r="AE1397" t="str">
        <f>IF(AND(data[[#This Row],[Age]]&gt;=18,data[[#This Row],[Age]]&lt;=24),"18-24",IF(AND(data[[#This Row],[Age]]&gt;=25,data[[#This Row],[Age]]&lt;=34),"25-34",IF(AND(data[[#This Row],[Age]]&gt;35,data[[#This Row],[Age]]&lt;=44),"35-44",IF(data[[#This Row],[Age]]&gt;44,"45+",IF(data[[#This Row],[Age]]&lt;18,"below 18 ")))))</f>
        <v>25-34</v>
      </c>
    </row>
    <row r="1398" spans="1:31" x14ac:dyDescent="0.25">
      <c r="A1398" t="s">
        <v>1451</v>
      </c>
      <c r="B1398">
        <v>40</v>
      </c>
      <c r="C1398" t="s">
        <v>47</v>
      </c>
      <c r="D1398" t="s">
        <v>32</v>
      </c>
      <c r="E1398" t="s">
        <v>40</v>
      </c>
      <c r="F1398" t="s">
        <v>70</v>
      </c>
      <c r="G1398">
        <v>4.5999999999999996</v>
      </c>
      <c r="H1398">
        <v>2</v>
      </c>
      <c r="I1398">
        <v>6</v>
      </c>
      <c r="J1398" t="s">
        <v>35</v>
      </c>
      <c r="K1398" t="s">
        <v>36</v>
      </c>
      <c r="L1398">
        <v>50</v>
      </c>
      <c r="M1398">
        <v>0.4</v>
      </c>
      <c r="N1398">
        <v>7.5</v>
      </c>
      <c r="O1398">
        <v>1.9</v>
      </c>
      <c r="P1398">
        <v>2.7</v>
      </c>
      <c r="Q1398" t="s">
        <v>42</v>
      </c>
      <c r="R1398" t="s">
        <v>35</v>
      </c>
      <c r="S1398">
        <v>4.4000000000000004</v>
      </c>
      <c r="T1398">
        <v>2.1</v>
      </c>
      <c r="U1398">
        <v>5.3</v>
      </c>
      <c r="V1398">
        <v>7.5</v>
      </c>
      <c r="W1398">
        <v>6.6</v>
      </c>
      <c r="X1398">
        <v>4.3</v>
      </c>
      <c r="Y1398">
        <v>4.4000000000000004</v>
      </c>
      <c r="Z1398">
        <v>5.0999999999999996</v>
      </c>
      <c r="AA1398">
        <v>3.5</v>
      </c>
      <c r="AB1398">
        <v>1.4</v>
      </c>
      <c r="AC1398">
        <v>8.3000000000000007</v>
      </c>
      <c r="AD1398" t="s">
        <v>37</v>
      </c>
      <c r="AE1398" t="str">
        <f>IF(AND(data[[#This Row],[Age]]&gt;=18,data[[#This Row],[Age]]&lt;=24),"18-24",IF(AND(data[[#This Row],[Age]]&gt;=25,data[[#This Row],[Age]]&lt;=34),"25-34",IF(AND(data[[#This Row],[Age]]&gt;35,data[[#This Row],[Age]]&lt;=44),"35-44",IF(data[[#This Row],[Age]]&gt;44,"45+",IF(data[[#This Row],[Age]]&lt;18,"below 18 ")))))</f>
        <v>35-44</v>
      </c>
    </row>
    <row r="1399" spans="1:31" x14ac:dyDescent="0.25">
      <c r="A1399" t="s">
        <v>1452</v>
      </c>
      <c r="B1399">
        <v>36</v>
      </c>
      <c r="C1399" t="s">
        <v>50</v>
      </c>
      <c r="D1399" t="s">
        <v>39</v>
      </c>
      <c r="E1399" t="s">
        <v>58</v>
      </c>
      <c r="F1399" t="s">
        <v>41</v>
      </c>
      <c r="G1399">
        <v>4.9000000000000004</v>
      </c>
      <c r="H1399">
        <v>4</v>
      </c>
      <c r="I1399">
        <v>4</v>
      </c>
      <c r="J1399" t="s">
        <v>42</v>
      </c>
      <c r="K1399" t="s">
        <v>62</v>
      </c>
      <c r="L1399">
        <v>128</v>
      </c>
      <c r="M1399">
        <v>4.9000000000000004</v>
      </c>
      <c r="N1399">
        <v>1.9</v>
      </c>
      <c r="O1399">
        <v>2.6</v>
      </c>
      <c r="P1399">
        <v>5.9</v>
      </c>
      <c r="Q1399" t="s">
        <v>42</v>
      </c>
      <c r="R1399" t="s">
        <v>35</v>
      </c>
      <c r="S1399">
        <v>4.5999999999999996</v>
      </c>
      <c r="T1399">
        <v>5.5</v>
      </c>
      <c r="U1399">
        <v>7.1</v>
      </c>
      <c r="V1399">
        <v>5.9</v>
      </c>
      <c r="W1399">
        <v>7.7</v>
      </c>
      <c r="X1399">
        <v>6.2</v>
      </c>
      <c r="Y1399">
        <v>2.6</v>
      </c>
      <c r="AA1399">
        <v>3.6</v>
      </c>
      <c r="AB1399">
        <v>1.7</v>
      </c>
      <c r="AC1399">
        <v>7.8</v>
      </c>
      <c r="AD1399" t="s">
        <v>37</v>
      </c>
      <c r="AE1399" t="str">
        <f>IF(AND(data[[#This Row],[Age]]&gt;=18,data[[#This Row],[Age]]&lt;=24),"18-24",IF(AND(data[[#This Row],[Age]]&gt;=25,data[[#This Row],[Age]]&lt;=34),"25-34",IF(AND(data[[#This Row],[Age]]&gt;35,data[[#This Row],[Age]]&lt;=44),"35-44",IF(data[[#This Row],[Age]]&gt;44,"45+",IF(data[[#This Row],[Age]]&lt;18,"below 18 ")))))</f>
        <v>35-44</v>
      </c>
    </row>
    <row r="1400" spans="1:31" x14ac:dyDescent="0.25">
      <c r="A1400" t="s">
        <v>1453</v>
      </c>
      <c r="B1400">
        <v>42</v>
      </c>
      <c r="D1400" t="s">
        <v>32</v>
      </c>
      <c r="E1400" t="s">
        <v>58</v>
      </c>
      <c r="F1400" t="s">
        <v>48</v>
      </c>
      <c r="G1400">
        <v>0.5</v>
      </c>
      <c r="H1400">
        <v>1</v>
      </c>
      <c r="I1400">
        <v>3</v>
      </c>
      <c r="J1400" t="s">
        <v>42</v>
      </c>
      <c r="K1400" t="s">
        <v>62</v>
      </c>
      <c r="L1400">
        <v>17</v>
      </c>
      <c r="M1400">
        <v>7.6</v>
      </c>
      <c r="N1400">
        <v>6.5</v>
      </c>
      <c r="O1400">
        <v>3</v>
      </c>
      <c r="P1400">
        <v>3</v>
      </c>
      <c r="Q1400" t="s">
        <v>42</v>
      </c>
      <c r="R1400" t="s">
        <v>35</v>
      </c>
      <c r="S1400">
        <v>5.4</v>
      </c>
      <c r="T1400">
        <v>5.5</v>
      </c>
      <c r="U1400">
        <v>6</v>
      </c>
      <c r="V1400">
        <v>6.3</v>
      </c>
      <c r="W1400">
        <v>4.3</v>
      </c>
      <c r="X1400">
        <v>8.1</v>
      </c>
      <c r="Y1400">
        <v>4.9000000000000004</v>
      </c>
      <c r="Z1400">
        <v>8.4</v>
      </c>
      <c r="AA1400">
        <v>0</v>
      </c>
      <c r="AB1400">
        <v>4.7</v>
      </c>
      <c r="AC1400">
        <v>7.5</v>
      </c>
      <c r="AD1400" t="s">
        <v>37</v>
      </c>
      <c r="AE1400" t="str">
        <f>IF(AND(data[[#This Row],[Age]]&gt;=18,data[[#This Row],[Age]]&lt;=24),"18-24",IF(AND(data[[#This Row],[Age]]&gt;=25,data[[#This Row],[Age]]&lt;=34),"25-34",IF(AND(data[[#This Row],[Age]]&gt;35,data[[#This Row],[Age]]&lt;=44),"35-44",IF(data[[#This Row],[Age]]&gt;44,"45+",IF(data[[#This Row],[Age]]&lt;18,"below 18 ")))))</f>
        <v>35-44</v>
      </c>
    </row>
    <row r="1401" spans="1:31" x14ac:dyDescent="0.25">
      <c r="A1401" t="s">
        <v>1454</v>
      </c>
      <c r="B1401">
        <v>35</v>
      </c>
      <c r="C1401" t="s">
        <v>50</v>
      </c>
      <c r="D1401" t="s">
        <v>39</v>
      </c>
      <c r="E1401" t="s">
        <v>40</v>
      </c>
      <c r="F1401" t="s">
        <v>41</v>
      </c>
      <c r="G1401">
        <v>7</v>
      </c>
      <c r="H1401">
        <v>2</v>
      </c>
      <c r="I1401">
        <v>2</v>
      </c>
      <c r="J1401" t="s">
        <v>35</v>
      </c>
      <c r="K1401" t="s">
        <v>36</v>
      </c>
      <c r="L1401">
        <v>31</v>
      </c>
      <c r="M1401">
        <v>6.6</v>
      </c>
      <c r="N1401">
        <v>6.5</v>
      </c>
      <c r="O1401">
        <v>0</v>
      </c>
      <c r="P1401">
        <v>4.4000000000000004</v>
      </c>
      <c r="Q1401" t="s">
        <v>35</v>
      </c>
      <c r="R1401" t="s">
        <v>35</v>
      </c>
      <c r="S1401">
        <v>4.8</v>
      </c>
      <c r="T1401">
        <v>2</v>
      </c>
      <c r="U1401">
        <v>3.3</v>
      </c>
      <c r="V1401">
        <v>5.7</v>
      </c>
      <c r="W1401">
        <v>4.7</v>
      </c>
      <c r="Y1401">
        <v>5.7</v>
      </c>
      <c r="Z1401">
        <v>4.5</v>
      </c>
      <c r="AA1401">
        <v>0.9</v>
      </c>
      <c r="AB1401">
        <v>1.5</v>
      </c>
      <c r="AC1401">
        <v>6</v>
      </c>
      <c r="AD1401" t="s">
        <v>45</v>
      </c>
      <c r="AE1401" t="b">
        <f>IF(AND(data[[#This Row],[Age]]&gt;=18,data[[#This Row],[Age]]&lt;=24),"18-24",IF(AND(data[[#This Row],[Age]]&gt;=25,data[[#This Row],[Age]]&lt;=34),"25-34",IF(AND(data[[#This Row],[Age]]&gt;35,data[[#This Row],[Age]]&lt;=44),"35-44",IF(data[[#This Row],[Age]]&gt;44,"45+",IF(data[[#This Row],[Age]]&lt;18,"below 18 ")))))</f>
        <v>0</v>
      </c>
    </row>
    <row r="1402" spans="1:31" x14ac:dyDescent="0.25">
      <c r="A1402" t="s">
        <v>1455</v>
      </c>
      <c r="B1402">
        <v>29</v>
      </c>
      <c r="C1402" t="s">
        <v>31</v>
      </c>
      <c r="D1402" t="s">
        <v>39</v>
      </c>
      <c r="E1402" t="s">
        <v>40</v>
      </c>
      <c r="F1402" t="s">
        <v>70</v>
      </c>
      <c r="G1402">
        <v>6.1</v>
      </c>
      <c r="H1402">
        <v>1</v>
      </c>
      <c r="I1402">
        <v>3</v>
      </c>
      <c r="J1402" t="s">
        <v>35</v>
      </c>
      <c r="K1402" t="s">
        <v>52</v>
      </c>
      <c r="L1402">
        <v>51</v>
      </c>
      <c r="M1402">
        <v>5.8</v>
      </c>
      <c r="N1402">
        <v>4.3</v>
      </c>
      <c r="O1402">
        <v>6.2</v>
      </c>
      <c r="P1402">
        <v>4.8</v>
      </c>
      <c r="Q1402" t="s">
        <v>42</v>
      </c>
      <c r="R1402" t="s">
        <v>35</v>
      </c>
      <c r="S1402">
        <v>6.9</v>
      </c>
      <c r="T1402">
        <v>2.4</v>
      </c>
      <c r="U1402">
        <v>8.5</v>
      </c>
      <c r="V1402">
        <v>6.2</v>
      </c>
      <c r="W1402">
        <v>3.1</v>
      </c>
      <c r="X1402">
        <v>5.4</v>
      </c>
      <c r="Y1402">
        <v>2.6</v>
      </c>
      <c r="Z1402">
        <v>4.5</v>
      </c>
      <c r="AA1402">
        <v>0.2</v>
      </c>
      <c r="AB1402">
        <v>2.1</v>
      </c>
      <c r="AC1402">
        <v>7.5</v>
      </c>
      <c r="AD1402" t="s">
        <v>53</v>
      </c>
      <c r="AE1402" t="str">
        <f>IF(AND(data[[#This Row],[Age]]&gt;=18,data[[#This Row],[Age]]&lt;=24),"18-24",IF(AND(data[[#This Row],[Age]]&gt;=25,data[[#This Row],[Age]]&lt;=34),"25-34",IF(AND(data[[#This Row],[Age]]&gt;35,data[[#This Row],[Age]]&lt;=44),"35-44",IF(data[[#This Row],[Age]]&gt;44,"45+",IF(data[[#This Row],[Age]]&lt;18,"below 18 ")))))</f>
        <v>25-34</v>
      </c>
    </row>
    <row r="1403" spans="1:31" x14ac:dyDescent="0.25">
      <c r="A1403" t="s">
        <v>1456</v>
      </c>
      <c r="B1403">
        <v>38</v>
      </c>
      <c r="C1403" t="s">
        <v>47</v>
      </c>
      <c r="E1403" t="s">
        <v>40</v>
      </c>
      <c r="F1403" t="s">
        <v>51</v>
      </c>
      <c r="G1403">
        <v>7.9</v>
      </c>
      <c r="H1403">
        <v>2</v>
      </c>
      <c r="I1403">
        <v>6</v>
      </c>
      <c r="J1403" t="s">
        <v>42</v>
      </c>
      <c r="K1403" t="s">
        <v>52</v>
      </c>
      <c r="L1403">
        <v>25</v>
      </c>
      <c r="M1403">
        <v>7.5</v>
      </c>
      <c r="N1403">
        <v>6.2</v>
      </c>
      <c r="O1403">
        <v>4.5999999999999996</v>
      </c>
      <c r="P1403">
        <v>6.2</v>
      </c>
      <c r="Q1403" t="s">
        <v>35</v>
      </c>
      <c r="R1403" t="s">
        <v>35</v>
      </c>
      <c r="S1403">
        <v>2.6</v>
      </c>
      <c r="T1403">
        <v>6.7</v>
      </c>
      <c r="U1403">
        <v>1</v>
      </c>
      <c r="V1403">
        <v>6</v>
      </c>
      <c r="W1403">
        <v>8.6999999999999993</v>
      </c>
      <c r="X1403">
        <v>5.5</v>
      </c>
      <c r="Y1403">
        <v>3.9</v>
      </c>
      <c r="Z1403">
        <v>3.1</v>
      </c>
      <c r="AA1403">
        <v>2.6</v>
      </c>
      <c r="AB1403">
        <v>3.2</v>
      </c>
      <c r="AC1403">
        <v>6.3</v>
      </c>
      <c r="AD1403" t="s">
        <v>53</v>
      </c>
      <c r="AE1403" t="str">
        <f>IF(AND(data[[#This Row],[Age]]&gt;=18,data[[#This Row],[Age]]&lt;=24),"18-24",IF(AND(data[[#This Row],[Age]]&gt;=25,data[[#This Row],[Age]]&lt;=34),"25-34",IF(AND(data[[#This Row],[Age]]&gt;35,data[[#This Row],[Age]]&lt;=44),"35-44",IF(data[[#This Row],[Age]]&gt;44,"45+",IF(data[[#This Row],[Age]]&lt;18,"below 18 ")))))</f>
        <v>35-44</v>
      </c>
    </row>
    <row r="1404" spans="1:31" x14ac:dyDescent="0.25">
      <c r="A1404" t="s">
        <v>1457</v>
      </c>
      <c r="B1404">
        <v>18</v>
      </c>
      <c r="C1404" t="s">
        <v>31</v>
      </c>
      <c r="D1404" t="s">
        <v>32</v>
      </c>
      <c r="F1404" t="s">
        <v>34</v>
      </c>
      <c r="G1404">
        <v>6.2</v>
      </c>
      <c r="H1404">
        <v>3</v>
      </c>
      <c r="I1404">
        <v>4</v>
      </c>
      <c r="J1404" t="s">
        <v>42</v>
      </c>
      <c r="K1404" t="s">
        <v>62</v>
      </c>
      <c r="L1404">
        <v>51</v>
      </c>
      <c r="M1404">
        <v>5.8</v>
      </c>
      <c r="N1404">
        <v>2.5</v>
      </c>
      <c r="O1404">
        <v>0</v>
      </c>
      <c r="P1404">
        <v>7.5</v>
      </c>
      <c r="Q1404" t="s">
        <v>42</v>
      </c>
      <c r="R1404" t="s">
        <v>42</v>
      </c>
      <c r="S1404">
        <v>9.4</v>
      </c>
      <c r="T1404">
        <v>1.3</v>
      </c>
      <c r="U1404">
        <v>4.7</v>
      </c>
      <c r="V1404">
        <v>5.6</v>
      </c>
      <c r="W1404">
        <v>5.7</v>
      </c>
      <c r="X1404">
        <v>5.7</v>
      </c>
      <c r="Y1404">
        <v>9</v>
      </c>
      <c r="Z1404">
        <v>3.1</v>
      </c>
      <c r="AA1404">
        <v>4.5999999999999996</v>
      </c>
      <c r="AB1404">
        <v>1.3</v>
      </c>
      <c r="AC1404">
        <v>6.2</v>
      </c>
      <c r="AD1404" t="s">
        <v>45</v>
      </c>
      <c r="AE1404" t="str">
        <f>IF(AND(data[[#This Row],[Age]]&gt;=18,data[[#This Row],[Age]]&lt;=24),"18-24",IF(AND(data[[#This Row],[Age]]&gt;=25,data[[#This Row],[Age]]&lt;=34),"25-34",IF(AND(data[[#This Row],[Age]]&gt;35,data[[#This Row],[Age]]&lt;=44),"35-44",IF(data[[#This Row],[Age]]&gt;44,"45+",IF(data[[#This Row],[Age]]&lt;18,"below 18 ")))))</f>
        <v>18-24</v>
      </c>
    </row>
    <row r="1405" spans="1:31" x14ac:dyDescent="0.25">
      <c r="A1405" t="s">
        <v>1458</v>
      </c>
      <c r="B1405">
        <v>41</v>
      </c>
      <c r="C1405" t="s">
        <v>47</v>
      </c>
      <c r="D1405" t="s">
        <v>32</v>
      </c>
      <c r="E1405" t="s">
        <v>33</v>
      </c>
      <c r="F1405" t="s">
        <v>41</v>
      </c>
      <c r="G1405">
        <v>6.5</v>
      </c>
      <c r="H1405">
        <v>1</v>
      </c>
      <c r="I1405">
        <v>2</v>
      </c>
      <c r="J1405" t="s">
        <v>35</v>
      </c>
      <c r="K1405" t="s">
        <v>36</v>
      </c>
      <c r="L1405">
        <v>42</v>
      </c>
      <c r="M1405">
        <v>3.5</v>
      </c>
      <c r="N1405">
        <v>9.1999999999999993</v>
      </c>
      <c r="O1405">
        <v>0</v>
      </c>
      <c r="P1405">
        <v>5.2</v>
      </c>
      <c r="Q1405" t="s">
        <v>35</v>
      </c>
      <c r="R1405" t="s">
        <v>35</v>
      </c>
      <c r="S1405">
        <v>4.2</v>
      </c>
      <c r="T1405">
        <v>3.2</v>
      </c>
      <c r="U1405">
        <v>1.9</v>
      </c>
      <c r="V1405">
        <v>6.9</v>
      </c>
      <c r="W1405">
        <v>7.5</v>
      </c>
      <c r="X1405">
        <v>7.5</v>
      </c>
      <c r="Y1405">
        <v>6.2</v>
      </c>
      <c r="Z1405">
        <v>3.8</v>
      </c>
      <c r="AA1405">
        <v>5.4</v>
      </c>
      <c r="AB1405">
        <v>2.2000000000000002</v>
      </c>
      <c r="AC1405">
        <v>8.1</v>
      </c>
      <c r="AD1405" t="s">
        <v>37</v>
      </c>
      <c r="AE1405" t="str">
        <f>IF(AND(data[[#This Row],[Age]]&gt;=18,data[[#This Row],[Age]]&lt;=24),"18-24",IF(AND(data[[#This Row],[Age]]&gt;=25,data[[#This Row],[Age]]&lt;=34),"25-34",IF(AND(data[[#This Row],[Age]]&gt;35,data[[#This Row],[Age]]&lt;=44),"35-44",IF(data[[#This Row],[Age]]&gt;44,"45+",IF(data[[#This Row],[Age]]&lt;18,"below 18 ")))))</f>
        <v>35-44</v>
      </c>
    </row>
    <row r="1406" spans="1:31" x14ac:dyDescent="0.25">
      <c r="A1406" t="s">
        <v>1459</v>
      </c>
      <c r="B1406">
        <v>24</v>
      </c>
      <c r="C1406" t="s">
        <v>47</v>
      </c>
      <c r="D1406" t="s">
        <v>57</v>
      </c>
      <c r="F1406" t="s">
        <v>70</v>
      </c>
      <c r="G1406">
        <v>5.7</v>
      </c>
      <c r="H1406">
        <v>5</v>
      </c>
      <c r="I1406">
        <v>2</v>
      </c>
      <c r="J1406" t="s">
        <v>35</v>
      </c>
      <c r="K1406" t="s">
        <v>52</v>
      </c>
      <c r="L1406">
        <v>76</v>
      </c>
      <c r="M1406">
        <v>8.3000000000000007</v>
      </c>
      <c r="N1406">
        <v>4.9000000000000004</v>
      </c>
      <c r="O1406">
        <v>9.3000000000000007</v>
      </c>
      <c r="P1406">
        <v>5.9</v>
      </c>
      <c r="Q1406" t="s">
        <v>42</v>
      </c>
      <c r="R1406" t="s">
        <v>35</v>
      </c>
      <c r="S1406">
        <v>6.3</v>
      </c>
      <c r="T1406">
        <v>4.4000000000000004</v>
      </c>
      <c r="U1406">
        <v>6.4</v>
      </c>
      <c r="V1406">
        <v>4.5</v>
      </c>
      <c r="X1406">
        <v>6</v>
      </c>
      <c r="Y1406">
        <v>2.1</v>
      </c>
      <c r="Z1406">
        <v>5</v>
      </c>
      <c r="AA1406">
        <v>2.8</v>
      </c>
      <c r="AB1406">
        <v>2.5</v>
      </c>
      <c r="AC1406">
        <v>5.7</v>
      </c>
      <c r="AD1406" t="s">
        <v>43</v>
      </c>
      <c r="AE1406" t="str">
        <f>IF(AND(data[[#This Row],[Age]]&gt;=18,data[[#This Row],[Age]]&lt;=24),"18-24",IF(AND(data[[#This Row],[Age]]&gt;=25,data[[#This Row],[Age]]&lt;=34),"25-34",IF(AND(data[[#This Row],[Age]]&gt;35,data[[#This Row],[Age]]&lt;=44),"35-44",IF(data[[#This Row],[Age]]&gt;44,"45+",IF(data[[#This Row],[Age]]&lt;18,"below 18 ")))))</f>
        <v>18-24</v>
      </c>
    </row>
    <row r="1407" spans="1:31" x14ac:dyDescent="0.25">
      <c r="A1407" t="s">
        <v>1460</v>
      </c>
      <c r="B1407">
        <v>37</v>
      </c>
      <c r="C1407" t="s">
        <v>47</v>
      </c>
      <c r="D1407" t="s">
        <v>39</v>
      </c>
      <c r="E1407" t="s">
        <v>58</v>
      </c>
      <c r="F1407" t="s">
        <v>70</v>
      </c>
      <c r="G1407">
        <v>8</v>
      </c>
      <c r="H1407">
        <v>4</v>
      </c>
      <c r="I1407">
        <v>4</v>
      </c>
      <c r="J1407" t="s">
        <v>42</v>
      </c>
      <c r="K1407" t="s">
        <v>36</v>
      </c>
      <c r="L1407">
        <v>75</v>
      </c>
      <c r="M1407">
        <v>2.2000000000000002</v>
      </c>
      <c r="N1407">
        <v>5.5</v>
      </c>
      <c r="O1407">
        <v>2.4</v>
      </c>
      <c r="P1407">
        <v>5.5</v>
      </c>
      <c r="Q1407" t="s">
        <v>35</v>
      </c>
      <c r="R1407" t="s">
        <v>42</v>
      </c>
      <c r="S1407">
        <v>6.5</v>
      </c>
      <c r="T1407">
        <v>5.8</v>
      </c>
      <c r="U1407">
        <v>7.2</v>
      </c>
      <c r="V1407">
        <v>6.4</v>
      </c>
      <c r="W1407">
        <v>1.3</v>
      </c>
      <c r="X1407">
        <v>4.9000000000000004</v>
      </c>
      <c r="Y1407">
        <v>5.6</v>
      </c>
      <c r="Z1407">
        <v>9.8000000000000007</v>
      </c>
      <c r="AA1407">
        <v>3.7</v>
      </c>
      <c r="AB1407">
        <v>2.4</v>
      </c>
      <c r="AC1407">
        <v>4.8</v>
      </c>
      <c r="AD1407" t="s">
        <v>43</v>
      </c>
      <c r="AE1407" t="str">
        <f>IF(AND(data[[#This Row],[Age]]&gt;=18,data[[#This Row],[Age]]&lt;=24),"18-24",IF(AND(data[[#This Row],[Age]]&gt;=25,data[[#This Row],[Age]]&lt;=34),"25-34",IF(AND(data[[#This Row],[Age]]&gt;35,data[[#This Row],[Age]]&lt;=44),"35-44",IF(data[[#This Row],[Age]]&gt;44,"45+",IF(data[[#This Row],[Age]]&lt;18,"below 18 ")))))</f>
        <v>35-44</v>
      </c>
    </row>
    <row r="1408" spans="1:31" x14ac:dyDescent="0.25">
      <c r="A1408" t="s">
        <v>1461</v>
      </c>
      <c r="B1408">
        <v>21</v>
      </c>
      <c r="C1408" t="s">
        <v>50</v>
      </c>
      <c r="D1408" t="s">
        <v>39</v>
      </c>
      <c r="E1408" t="s">
        <v>58</v>
      </c>
      <c r="F1408" t="s">
        <v>41</v>
      </c>
      <c r="G1408">
        <v>1.7</v>
      </c>
      <c r="H1408">
        <v>2</v>
      </c>
      <c r="I1408">
        <v>3</v>
      </c>
      <c r="J1408" t="s">
        <v>42</v>
      </c>
      <c r="K1408" t="s">
        <v>62</v>
      </c>
      <c r="L1408">
        <v>75</v>
      </c>
      <c r="M1408">
        <v>7.7</v>
      </c>
      <c r="N1408">
        <v>4.2</v>
      </c>
      <c r="O1408">
        <v>0.5</v>
      </c>
      <c r="P1408">
        <v>8.1999999999999993</v>
      </c>
      <c r="Q1408" t="s">
        <v>35</v>
      </c>
      <c r="R1408" t="s">
        <v>42</v>
      </c>
      <c r="S1408">
        <v>0</v>
      </c>
      <c r="T1408">
        <v>3.1</v>
      </c>
      <c r="U1408">
        <v>2.2999999999999998</v>
      </c>
      <c r="V1408">
        <v>6.2</v>
      </c>
      <c r="W1408">
        <v>3.5</v>
      </c>
      <c r="X1408">
        <v>8.1</v>
      </c>
      <c r="Y1408">
        <v>2.9</v>
      </c>
      <c r="Z1408">
        <v>4.5999999999999996</v>
      </c>
      <c r="AA1408">
        <v>5</v>
      </c>
      <c r="AB1408">
        <v>3.5</v>
      </c>
      <c r="AC1408">
        <v>7.8</v>
      </c>
      <c r="AD1408" t="s">
        <v>37</v>
      </c>
      <c r="AE1408" t="str">
        <f>IF(AND(data[[#This Row],[Age]]&gt;=18,data[[#This Row],[Age]]&lt;=24),"18-24",IF(AND(data[[#This Row],[Age]]&gt;=25,data[[#This Row],[Age]]&lt;=34),"25-34",IF(AND(data[[#This Row],[Age]]&gt;35,data[[#This Row],[Age]]&lt;=44),"35-44",IF(data[[#This Row],[Age]]&gt;44,"45+",IF(data[[#This Row],[Age]]&lt;18,"below 18 ")))))</f>
        <v>18-24</v>
      </c>
    </row>
    <row r="1409" spans="1:31" x14ac:dyDescent="0.25">
      <c r="A1409" t="s">
        <v>1462</v>
      </c>
      <c r="B1409">
        <v>44</v>
      </c>
      <c r="C1409" t="s">
        <v>47</v>
      </c>
      <c r="D1409" t="s">
        <v>32</v>
      </c>
      <c r="E1409" t="s">
        <v>40</v>
      </c>
      <c r="F1409" t="s">
        <v>48</v>
      </c>
      <c r="G1409">
        <v>4.3</v>
      </c>
      <c r="H1409">
        <v>5</v>
      </c>
      <c r="I1409">
        <v>2</v>
      </c>
      <c r="J1409" t="s">
        <v>35</v>
      </c>
      <c r="K1409" t="s">
        <v>36</v>
      </c>
      <c r="L1409">
        <v>55</v>
      </c>
      <c r="M1409">
        <v>7.8</v>
      </c>
      <c r="N1409">
        <v>0</v>
      </c>
      <c r="O1409">
        <v>6</v>
      </c>
      <c r="P1409">
        <v>5.4</v>
      </c>
      <c r="Q1409" t="s">
        <v>42</v>
      </c>
      <c r="R1409" t="s">
        <v>35</v>
      </c>
      <c r="S1409">
        <v>1.4</v>
      </c>
      <c r="T1409">
        <v>0.3</v>
      </c>
      <c r="U1409">
        <v>9.6</v>
      </c>
      <c r="V1409">
        <v>7.3</v>
      </c>
      <c r="W1409">
        <v>8.1</v>
      </c>
      <c r="X1409">
        <v>7.4</v>
      </c>
      <c r="Y1409">
        <v>5.8</v>
      </c>
      <c r="AA1409">
        <v>2.6</v>
      </c>
      <c r="AB1409">
        <v>4</v>
      </c>
      <c r="AC1409">
        <v>7</v>
      </c>
      <c r="AD1409" t="s">
        <v>37</v>
      </c>
      <c r="AE1409" t="str">
        <f>IF(AND(data[[#This Row],[Age]]&gt;=18,data[[#This Row],[Age]]&lt;=24),"18-24",IF(AND(data[[#This Row],[Age]]&gt;=25,data[[#This Row],[Age]]&lt;=34),"25-34",IF(AND(data[[#This Row],[Age]]&gt;35,data[[#This Row],[Age]]&lt;=44),"35-44",IF(data[[#This Row],[Age]]&gt;44,"45+",IF(data[[#This Row],[Age]]&lt;18,"below 18 ")))))</f>
        <v>35-44</v>
      </c>
    </row>
    <row r="1410" spans="1:31" x14ac:dyDescent="0.25">
      <c r="A1410" t="s">
        <v>1463</v>
      </c>
      <c r="B1410">
        <v>41</v>
      </c>
      <c r="C1410" t="s">
        <v>47</v>
      </c>
      <c r="D1410" t="s">
        <v>32</v>
      </c>
      <c r="E1410" t="s">
        <v>33</v>
      </c>
      <c r="F1410" t="s">
        <v>51</v>
      </c>
      <c r="G1410">
        <v>2.5</v>
      </c>
      <c r="H1410">
        <v>6</v>
      </c>
      <c r="I1410">
        <v>4</v>
      </c>
      <c r="J1410" t="s">
        <v>42</v>
      </c>
      <c r="K1410" t="s">
        <v>52</v>
      </c>
      <c r="L1410">
        <v>54</v>
      </c>
      <c r="M1410">
        <v>6.7</v>
      </c>
      <c r="N1410">
        <v>3.5</v>
      </c>
      <c r="O1410">
        <v>7.3</v>
      </c>
      <c r="P1410">
        <v>0.7</v>
      </c>
      <c r="Q1410" t="s">
        <v>42</v>
      </c>
      <c r="R1410" t="s">
        <v>35</v>
      </c>
      <c r="S1410">
        <v>8</v>
      </c>
      <c r="T1410">
        <v>3.6</v>
      </c>
      <c r="U1410">
        <v>4.9000000000000004</v>
      </c>
      <c r="V1410">
        <v>8.5</v>
      </c>
      <c r="W1410">
        <v>6.1</v>
      </c>
      <c r="X1410">
        <v>4.9000000000000004</v>
      </c>
      <c r="Y1410">
        <v>3.1</v>
      </c>
      <c r="Z1410">
        <v>6.4</v>
      </c>
      <c r="AA1410">
        <v>0.8</v>
      </c>
      <c r="AB1410">
        <v>1.6</v>
      </c>
      <c r="AC1410">
        <v>7.2</v>
      </c>
      <c r="AD1410" t="s">
        <v>37</v>
      </c>
      <c r="AE1410" t="str">
        <f>IF(AND(data[[#This Row],[Age]]&gt;=18,data[[#This Row],[Age]]&lt;=24),"18-24",IF(AND(data[[#This Row],[Age]]&gt;=25,data[[#This Row],[Age]]&lt;=34),"25-34",IF(AND(data[[#This Row],[Age]]&gt;35,data[[#This Row],[Age]]&lt;=44),"35-44",IF(data[[#This Row],[Age]]&gt;44,"45+",IF(data[[#This Row],[Age]]&lt;18,"below 18 ")))))</f>
        <v>35-44</v>
      </c>
    </row>
    <row r="1411" spans="1:31" x14ac:dyDescent="0.25">
      <c r="A1411" t="s">
        <v>1464</v>
      </c>
      <c r="B1411">
        <v>36</v>
      </c>
      <c r="D1411" t="s">
        <v>32</v>
      </c>
      <c r="E1411" t="s">
        <v>58</v>
      </c>
      <c r="F1411" t="s">
        <v>70</v>
      </c>
      <c r="G1411">
        <v>6.4</v>
      </c>
      <c r="H1411">
        <v>1</v>
      </c>
      <c r="I1411">
        <v>5</v>
      </c>
      <c r="J1411" t="s">
        <v>42</v>
      </c>
      <c r="K1411" t="s">
        <v>52</v>
      </c>
      <c r="L1411">
        <v>66</v>
      </c>
      <c r="M1411">
        <v>6.9</v>
      </c>
      <c r="N1411">
        <v>3.4</v>
      </c>
      <c r="O1411">
        <v>6.9</v>
      </c>
      <c r="P1411">
        <v>5.3</v>
      </c>
      <c r="Q1411" t="s">
        <v>42</v>
      </c>
      <c r="R1411" t="s">
        <v>42</v>
      </c>
      <c r="S1411">
        <v>7.2</v>
      </c>
      <c r="T1411">
        <v>0.5</v>
      </c>
      <c r="U1411">
        <v>4</v>
      </c>
      <c r="V1411">
        <v>4.8</v>
      </c>
      <c r="W1411">
        <v>2.5</v>
      </c>
      <c r="X1411">
        <v>5.2</v>
      </c>
      <c r="Y1411">
        <v>6.8</v>
      </c>
      <c r="Z1411">
        <v>7.4</v>
      </c>
      <c r="AA1411">
        <v>1.8</v>
      </c>
      <c r="AB1411">
        <v>4.7</v>
      </c>
      <c r="AC1411">
        <v>4.9000000000000004</v>
      </c>
      <c r="AD1411" t="s">
        <v>43</v>
      </c>
      <c r="AE1411" t="str">
        <f>IF(AND(data[[#This Row],[Age]]&gt;=18,data[[#This Row],[Age]]&lt;=24),"18-24",IF(AND(data[[#This Row],[Age]]&gt;=25,data[[#This Row],[Age]]&lt;=34),"25-34",IF(AND(data[[#This Row],[Age]]&gt;35,data[[#This Row],[Age]]&lt;=44),"35-44",IF(data[[#This Row],[Age]]&gt;44,"45+",IF(data[[#This Row],[Age]]&lt;18,"below 18 ")))))</f>
        <v>35-44</v>
      </c>
    </row>
    <row r="1412" spans="1:31" x14ac:dyDescent="0.25">
      <c r="A1412" t="s">
        <v>1465</v>
      </c>
      <c r="B1412">
        <v>24</v>
      </c>
      <c r="C1412" t="s">
        <v>47</v>
      </c>
      <c r="D1412" t="s">
        <v>39</v>
      </c>
      <c r="E1412" t="s">
        <v>58</v>
      </c>
      <c r="F1412" t="s">
        <v>41</v>
      </c>
      <c r="G1412">
        <v>5.0999999999999996</v>
      </c>
      <c r="H1412">
        <v>4</v>
      </c>
      <c r="I1412">
        <v>7</v>
      </c>
      <c r="J1412" t="s">
        <v>42</v>
      </c>
      <c r="K1412" t="s">
        <v>36</v>
      </c>
      <c r="L1412">
        <v>63</v>
      </c>
      <c r="M1412">
        <v>6.7</v>
      </c>
      <c r="N1412">
        <v>6.3</v>
      </c>
      <c r="O1412">
        <v>2.6</v>
      </c>
      <c r="P1412">
        <v>5.8</v>
      </c>
      <c r="Q1412" t="s">
        <v>42</v>
      </c>
      <c r="R1412" t="s">
        <v>42</v>
      </c>
      <c r="S1412">
        <v>4</v>
      </c>
      <c r="T1412">
        <v>1.2</v>
      </c>
      <c r="U1412">
        <v>1.4</v>
      </c>
      <c r="V1412">
        <v>6.4</v>
      </c>
      <c r="W1412">
        <v>2.9</v>
      </c>
      <c r="X1412">
        <v>6</v>
      </c>
      <c r="Y1412">
        <v>5</v>
      </c>
      <c r="AA1412">
        <v>4.7</v>
      </c>
      <c r="AB1412">
        <v>3.9</v>
      </c>
      <c r="AC1412">
        <v>5.8</v>
      </c>
      <c r="AD1412" t="s">
        <v>45</v>
      </c>
      <c r="AE1412" t="str">
        <f>IF(AND(data[[#This Row],[Age]]&gt;=18,data[[#This Row],[Age]]&lt;=24),"18-24",IF(AND(data[[#This Row],[Age]]&gt;=25,data[[#This Row],[Age]]&lt;=34),"25-34",IF(AND(data[[#This Row],[Age]]&gt;35,data[[#This Row],[Age]]&lt;=44),"35-44",IF(data[[#This Row],[Age]]&gt;44,"45+",IF(data[[#This Row],[Age]]&lt;18,"below 18 ")))))</f>
        <v>18-24</v>
      </c>
    </row>
    <row r="1413" spans="1:31" x14ac:dyDescent="0.25">
      <c r="A1413" t="s">
        <v>1466</v>
      </c>
      <c r="B1413">
        <v>42</v>
      </c>
      <c r="C1413" t="s">
        <v>47</v>
      </c>
      <c r="D1413" t="s">
        <v>32</v>
      </c>
      <c r="E1413" t="s">
        <v>58</v>
      </c>
      <c r="F1413" t="s">
        <v>59</v>
      </c>
      <c r="G1413">
        <v>8.1</v>
      </c>
      <c r="H1413">
        <v>6</v>
      </c>
      <c r="I1413">
        <v>3</v>
      </c>
      <c r="J1413" t="s">
        <v>42</v>
      </c>
      <c r="K1413" t="s">
        <v>36</v>
      </c>
      <c r="L1413">
        <v>29</v>
      </c>
      <c r="M1413">
        <v>9.8000000000000007</v>
      </c>
      <c r="N1413">
        <v>1.1000000000000001</v>
      </c>
      <c r="O1413">
        <v>5.4</v>
      </c>
      <c r="P1413">
        <v>5.2</v>
      </c>
      <c r="Q1413" t="s">
        <v>42</v>
      </c>
      <c r="R1413" t="s">
        <v>35</v>
      </c>
      <c r="S1413">
        <v>3.4</v>
      </c>
      <c r="T1413">
        <v>5.6</v>
      </c>
      <c r="U1413">
        <v>7.2</v>
      </c>
      <c r="V1413">
        <v>6.9</v>
      </c>
      <c r="W1413">
        <v>3.3</v>
      </c>
      <c r="X1413">
        <v>8.4</v>
      </c>
      <c r="Y1413">
        <v>6.8</v>
      </c>
      <c r="Z1413">
        <v>7.1</v>
      </c>
      <c r="AA1413">
        <v>2.4</v>
      </c>
      <c r="AB1413">
        <v>6.4</v>
      </c>
      <c r="AC1413">
        <v>6</v>
      </c>
      <c r="AD1413" t="s">
        <v>45</v>
      </c>
      <c r="AE1413" t="str">
        <f>IF(AND(data[[#This Row],[Age]]&gt;=18,data[[#This Row],[Age]]&lt;=24),"18-24",IF(AND(data[[#This Row],[Age]]&gt;=25,data[[#This Row],[Age]]&lt;=34),"25-34",IF(AND(data[[#This Row],[Age]]&gt;35,data[[#This Row],[Age]]&lt;=44),"35-44",IF(data[[#This Row],[Age]]&gt;44,"45+",IF(data[[#This Row],[Age]]&lt;18,"below 18 ")))))</f>
        <v>35-44</v>
      </c>
    </row>
    <row r="1414" spans="1:31" x14ac:dyDescent="0.25">
      <c r="A1414" t="s">
        <v>1467</v>
      </c>
      <c r="B1414">
        <v>17</v>
      </c>
      <c r="C1414" t="s">
        <v>47</v>
      </c>
      <c r="D1414" t="s">
        <v>39</v>
      </c>
      <c r="E1414" t="s">
        <v>58</v>
      </c>
      <c r="F1414" t="s">
        <v>41</v>
      </c>
      <c r="G1414">
        <v>4.9000000000000004</v>
      </c>
      <c r="H1414">
        <v>3</v>
      </c>
      <c r="I1414">
        <v>7</v>
      </c>
      <c r="J1414" t="s">
        <v>42</v>
      </c>
      <c r="K1414" t="s">
        <v>36</v>
      </c>
      <c r="L1414">
        <v>5</v>
      </c>
      <c r="M1414">
        <v>4.5999999999999996</v>
      </c>
      <c r="N1414">
        <v>7.2</v>
      </c>
      <c r="O1414">
        <v>6.8</v>
      </c>
      <c r="P1414">
        <v>5.5</v>
      </c>
      <c r="Q1414" t="s">
        <v>35</v>
      </c>
      <c r="R1414" t="s">
        <v>42</v>
      </c>
      <c r="S1414">
        <v>7.8</v>
      </c>
      <c r="T1414">
        <v>4.2</v>
      </c>
      <c r="U1414">
        <v>3.9</v>
      </c>
      <c r="V1414">
        <v>5.2</v>
      </c>
      <c r="W1414">
        <v>6.7</v>
      </c>
      <c r="X1414">
        <v>8.6</v>
      </c>
      <c r="Y1414">
        <v>4.9000000000000004</v>
      </c>
      <c r="Z1414">
        <v>2</v>
      </c>
      <c r="AA1414">
        <v>3.4</v>
      </c>
      <c r="AB1414">
        <v>0</v>
      </c>
      <c r="AC1414">
        <v>4.7</v>
      </c>
      <c r="AD1414" t="s">
        <v>43</v>
      </c>
      <c r="AE1414" t="str">
        <f>IF(AND(data[[#This Row],[Age]]&gt;=18,data[[#This Row],[Age]]&lt;=24),"18-24",IF(AND(data[[#This Row],[Age]]&gt;=25,data[[#This Row],[Age]]&lt;=34),"25-34",IF(AND(data[[#This Row],[Age]]&gt;35,data[[#This Row],[Age]]&lt;=44),"35-44",IF(data[[#This Row],[Age]]&gt;44,"45+",IF(data[[#This Row],[Age]]&lt;18,"below 18 ")))))</f>
        <v xml:space="preserve">below 18 </v>
      </c>
    </row>
    <row r="1415" spans="1:31" x14ac:dyDescent="0.25">
      <c r="A1415" t="s">
        <v>1468</v>
      </c>
      <c r="B1415">
        <v>22</v>
      </c>
      <c r="C1415" t="s">
        <v>31</v>
      </c>
      <c r="D1415" t="s">
        <v>39</v>
      </c>
      <c r="E1415" t="s">
        <v>58</v>
      </c>
      <c r="F1415" t="s">
        <v>51</v>
      </c>
      <c r="G1415">
        <v>4.2</v>
      </c>
      <c r="H1415">
        <v>6</v>
      </c>
      <c r="I1415">
        <v>3</v>
      </c>
      <c r="J1415" t="s">
        <v>35</v>
      </c>
      <c r="K1415" t="s">
        <v>36</v>
      </c>
      <c r="L1415">
        <v>56</v>
      </c>
      <c r="M1415">
        <v>7.5</v>
      </c>
      <c r="N1415">
        <v>3.3</v>
      </c>
      <c r="O1415">
        <v>7.1</v>
      </c>
      <c r="P1415">
        <v>6.9</v>
      </c>
      <c r="Q1415" t="s">
        <v>42</v>
      </c>
      <c r="R1415" t="s">
        <v>42</v>
      </c>
      <c r="S1415">
        <v>1.8</v>
      </c>
      <c r="T1415">
        <v>4.5</v>
      </c>
      <c r="V1415">
        <v>4.5999999999999996</v>
      </c>
      <c r="W1415">
        <v>4.5999999999999996</v>
      </c>
      <c r="X1415">
        <v>9.6</v>
      </c>
      <c r="Y1415">
        <v>8.1999999999999993</v>
      </c>
      <c r="Z1415">
        <v>4.8</v>
      </c>
      <c r="AA1415">
        <v>3.3</v>
      </c>
      <c r="AB1415">
        <v>3.4</v>
      </c>
      <c r="AC1415">
        <v>3.9</v>
      </c>
      <c r="AD1415" t="s">
        <v>43</v>
      </c>
      <c r="AE1415" t="str">
        <f>IF(AND(data[[#This Row],[Age]]&gt;=18,data[[#This Row],[Age]]&lt;=24),"18-24",IF(AND(data[[#This Row],[Age]]&gt;=25,data[[#This Row],[Age]]&lt;=34),"25-34",IF(AND(data[[#This Row],[Age]]&gt;35,data[[#This Row],[Age]]&lt;=44),"35-44",IF(data[[#This Row],[Age]]&gt;44,"45+",IF(data[[#This Row],[Age]]&lt;18,"below 18 ")))))</f>
        <v>18-24</v>
      </c>
    </row>
    <row r="1416" spans="1:31" x14ac:dyDescent="0.25">
      <c r="A1416" t="s">
        <v>1469</v>
      </c>
      <c r="B1416">
        <v>38</v>
      </c>
      <c r="C1416" t="s">
        <v>47</v>
      </c>
      <c r="D1416" t="s">
        <v>39</v>
      </c>
      <c r="E1416" t="s">
        <v>58</v>
      </c>
      <c r="F1416" t="s">
        <v>48</v>
      </c>
      <c r="G1416">
        <v>4.2</v>
      </c>
      <c r="H1416">
        <v>7</v>
      </c>
      <c r="I1416">
        <v>6</v>
      </c>
      <c r="J1416" t="s">
        <v>35</v>
      </c>
      <c r="K1416" t="s">
        <v>52</v>
      </c>
      <c r="L1416">
        <v>142</v>
      </c>
      <c r="M1416">
        <v>4.4000000000000004</v>
      </c>
      <c r="N1416">
        <v>5.4</v>
      </c>
      <c r="O1416">
        <v>4.8</v>
      </c>
      <c r="P1416">
        <v>10</v>
      </c>
      <c r="Q1416" t="s">
        <v>42</v>
      </c>
      <c r="R1416" t="s">
        <v>42</v>
      </c>
      <c r="S1416">
        <v>4.4000000000000004</v>
      </c>
      <c r="T1416">
        <v>3.4</v>
      </c>
      <c r="U1416">
        <v>3.7</v>
      </c>
      <c r="V1416">
        <v>3.5</v>
      </c>
      <c r="W1416">
        <v>4</v>
      </c>
      <c r="X1416">
        <v>6.7</v>
      </c>
      <c r="Y1416">
        <v>4.2</v>
      </c>
      <c r="Z1416">
        <v>7.9</v>
      </c>
      <c r="AA1416">
        <v>0.5</v>
      </c>
      <c r="AB1416">
        <v>0.6</v>
      </c>
      <c r="AC1416">
        <v>5.3</v>
      </c>
      <c r="AD1416" t="s">
        <v>45</v>
      </c>
      <c r="AE1416" t="str">
        <f>IF(AND(data[[#This Row],[Age]]&gt;=18,data[[#This Row],[Age]]&lt;=24),"18-24",IF(AND(data[[#This Row],[Age]]&gt;=25,data[[#This Row],[Age]]&lt;=34),"25-34",IF(AND(data[[#This Row],[Age]]&gt;35,data[[#This Row],[Age]]&lt;=44),"35-44",IF(data[[#This Row],[Age]]&gt;44,"45+",IF(data[[#This Row],[Age]]&lt;18,"below 18 ")))))</f>
        <v>35-44</v>
      </c>
    </row>
    <row r="1417" spans="1:31" x14ac:dyDescent="0.25">
      <c r="A1417" t="s">
        <v>1470</v>
      </c>
      <c r="B1417">
        <v>37</v>
      </c>
      <c r="C1417" t="s">
        <v>31</v>
      </c>
      <c r="D1417" t="s">
        <v>32</v>
      </c>
      <c r="E1417" t="s">
        <v>58</v>
      </c>
      <c r="F1417" t="s">
        <v>41</v>
      </c>
      <c r="G1417">
        <v>2.9</v>
      </c>
      <c r="H1417">
        <v>4</v>
      </c>
      <c r="I1417">
        <v>4</v>
      </c>
      <c r="J1417" t="s">
        <v>42</v>
      </c>
      <c r="K1417" t="s">
        <v>36</v>
      </c>
      <c r="L1417">
        <v>5</v>
      </c>
      <c r="M1417">
        <v>5.0999999999999996</v>
      </c>
      <c r="N1417">
        <v>5.5</v>
      </c>
      <c r="P1417">
        <v>4.8</v>
      </c>
      <c r="R1417" t="s">
        <v>35</v>
      </c>
      <c r="S1417">
        <v>3.9</v>
      </c>
      <c r="T1417">
        <v>1.6</v>
      </c>
      <c r="U1417">
        <v>5.0999999999999996</v>
      </c>
      <c r="V1417">
        <v>7.2</v>
      </c>
      <c r="W1417">
        <v>7.8</v>
      </c>
      <c r="X1417">
        <v>4.5999999999999996</v>
      </c>
      <c r="Y1417">
        <v>6</v>
      </c>
      <c r="Z1417">
        <v>4.3</v>
      </c>
      <c r="AA1417">
        <v>2.7</v>
      </c>
      <c r="AB1417">
        <v>1.3</v>
      </c>
      <c r="AC1417">
        <v>6.9</v>
      </c>
      <c r="AD1417" t="s">
        <v>37</v>
      </c>
      <c r="AE1417" t="str">
        <f>IF(AND(data[[#This Row],[Age]]&gt;=18,data[[#This Row],[Age]]&lt;=24),"18-24",IF(AND(data[[#This Row],[Age]]&gt;=25,data[[#This Row],[Age]]&lt;=34),"25-34",IF(AND(data[[#This Row],[Age]]&gt;35,data[[#This Row],[Age]]&lt;=44),"35-44",IF(data[[#This Row],[Age]]&gt;44,"45+",IF(data[[#This Row],[Age]]&lt;18,"below 18 ")))))</f>
        <v>35-44</v>
      </c>
    </row>
    <row r="1418" spans="1:31" x14ac:dyDescent="0.25">
      <c r="A1418" t="s">
        <v>1471</v>
      </c>
      <c r="B1418">
        <v>26</v>
      </c>
      <c r="C1418" t="s">
        <v>47</v>
      </c>
      <c r="D1418" t="s">
        <v>39</v>
      </c>
      <c r="F1418" t="s">
        <v>51</v>
      </c>
      <c r="G1418">
        <v>0.5</v>
      </c>
      <c r="H1418">
        <v>4</v>
      </c>
      <c r="I1418">
        <v>5</v>
      </c>
      <c r="J1418" t="s">
        <v>35</v>
      </c>
      <c r="K1418" t="s">
        <v>36</v>
      </c>
      <c r="L1418">
        <v>72</v>
      </c>
      <c r="M1418">
        <v>9</v>
      </c>
      <c r="N1418">
        <v>2.2999999999999998</v>
      </c>
      <c r="O1418">
        <v>7.4</v>
      </c>
      <c r="P1418">
        <v>2.7</v>
      </c>
      <c r="Q1418" t="s">
        <v>35</v>
      </c>
      <c r="R1418" t="s">
        <v>35</v>
      </c>
      <c r="S1418">
        <v>4.5</v>
      </c>
      <c r="T1418">
        <v>4.4000000000000004</v>
      </c>
      <c r="U1418">
        <v>4.5999999999999996</v>
      </c>
      <c r="V1418">
        <v>6.6</v>
      </c>
      <c r="W1418">
        <v>6.8</v>
      </c>
      <c r="X1418">
        <v>8.1999999999999993</v>
      </c>
      <c r="Y1418">
        <v>1.7</v>
      </c>
      <c r="Z1418">
        <v>6.5</v>
      </c>
      <c r="AA1418">
        <v>0</v>
      </c>
      <c r="AB1418">
        <v>3</v>
      </c>
      <c r="AC1418">
        <v>7.4</v>
      </c>
      <c r="AD1418" t="s">
        <v>37</v>
      </c>
      <c r="AE1418" t="str">
        <f>IF(AND(data[[#This Row],[Age]]&gt;=18,data[[#This Row],[Age]]&lt;=24),"18-24",IF(AND(data[[#This Row],[Age]]&gt;=25,data[[#This Row],[Age]]&lt;=34),"25-34",IF(AND(data[[#This Row],[Age]]&gt;35,data[[#This Row],[Age]]&lt;=44),"35-44",IF(data[[#This Row],[Age]]&gt;44,"45+",IF(data[[#This Row],[Age]]&lt;18,"below 18 ")))))</f>
        <v>25-34</v>
      </c>
    </row>
    <row r="1419" spans="1:31" x14ac:dyDescent="0.25">
      <c r="A1419" t="s">
        <v>1472</v>
      </c>
      <c r="B1419">
        <v>18</v>
      </c>
      <c r="C1419" t="s">
        <v>31</v>
      </c>
      <c r="D1419" t="s">
        <v>57</v>
      </c>
      <c r="E1419" t="s">
        <v>40</v>
      </c>
      <c r="F1419" t="s">
        <v>70</v>
      </c>
      <c r="G1419">
        <v>4.5</v>
      </c>
      <c r="H1419">
        <v>4</v>
      </c>
      <c r="I1419">
        <v>2</v>
      </c>
      <c r="K1419" t="s">
        <v>36</v>
      </c>
      <c r="L1419">
        <v>79</v>
      </c>
      <c r="M1419">
        <v>5.5</v>
      </c>
      <c r="N1419">
        <v>6.2</v>
      </c>
      <c r="O1419">
        <v>3.5</v>
      </c>
      <c r="P1419">
        <v>1.8</v>
      </c>
      <c r="Q1419" t="s">
        <v>42</v>
      </c>
      <c r="R1419" t="s">
        <v>42</v>
      </c>
      <c r="S1419">
        <v>6.1</v>
      </c>
      <c r="T1419">
        <v>7.4</v>
      </c>
      <c r="U1419">
        <v>8.1</v>
      </c>
      <c r="V1419">
        <v>3.3</v>
      </c>
      <c r="W1419">
        <v>3.7</v>
      </c>
      <c r="X1419">
        <v>9</v>
      </c>
      <c r="Y1419">
        <v>1.1000000000000001</v>
      </c>
      <c r="Z1419">
        <v>6.3</v>
      </c>
      <c r="AA1419">
        <v>4.5</v>
      </c>
      <c r="AB1419">
        <v>6.2</v>
      </c>
      <c r="AC1419">
        <v>6.3</v>
      </c>
      <c r="AD1419" t="s">
        <v>53</v>
      </c>
      <c r="AE1419" t="str">
        <f>IF(AND(data[[#This Row],[Age]]&gt;=18,data[[#This Row],[Age]]&lt;=24),"18-24",IF(AND(data[[#This Row],[Age]]&gt;=25,data[[#This Row],[Age]]&lt;=34),"25-34",IF(AND(data[[#This Row],[Age]]&gt;35,data[[#This Row],[Age]]&lt;=44),"35-44",IF(data[[#This Row],[Age]]&gt;44,"45+",IF(data[[#This Row],[Age]]&lt;18,"below 18 ")))))</f>
        <v>18-24</v>
      </c>
    </row>
    <row r="1420" spans="1:31" x14ac:dyDescent="0.25">
      <c r="A1420" t="s">
        <v>1473</v>
      </c>
      <c r="B1420">
        <v>29</v>
      </c>
      <c r="C1420" t="s">
        <v>31</v>
      </c>
      <c r="D1420" t="s">
        <v>39</v>
      </c>
      <c r="E1420" t="s">
        <v>58</v>
      </c>
      <c r="F1420" t="s">
        <v>59</v>
      </c>
      <c r="G1420">
        <v>3.6</v>
      </c>
      <c r="H1420">
        <v>3</v>
      </c>
      <c r="I1420">
        <v>5</v>
      </c>
      <c r="J1420" t="s">
        <v>42</v>
      </c>
      <c r="K1420" t="s">
        <v>36</v>
      </c>
      <c r="L1420">
        <v>79</v>
      </c>
      <c r="M1420">
        <v>5.8</v>
      </c>
      <c r="N1420">
        <v>5</v>
      </c>
      <c r="O1420">
        <v>5.5</v>
      </c>
      <c r="P1420">
        <v>4.5</v>
      </c>
      <c r="Q1420" t="s">
        <v>35</v>
      </c>
      <c r="R1420" t="s">
        <v>42</v>
      </c>
      <c r="S1420">
        <v>6.9</v>
      </c>
      <c r="T1420">
        <v>7.4</v>
      </c>
      <c r="U1420">
        <v>6.1</v>
      </c>
      <c r="V1420">
        <v>7.1</v>
      </c>
      <c r="W1420">
        <v>5.9</v>
      </c>
      <c r="X1420">
        <v>3.7</v>
      </c>
      <c r="Y1420">
        <v>1.3</v>
      </c>
      <c r="Z1420">
        <v>6.9</v>
      </c>
      <c r="AA1420">
        <v>1.9</v>
      </c>
      <c r="AB1420">
        <v>2.1</v>
      </c>
      <c r="AC1420">
        <v>6.2</v>
      </c>
      <c r="AD1420" t="s">
        <v>53</v>
      </c>
      <c r="AE1420" t="str">
        <f>IF(AND(data[[#This Row],[Age]]&gt;=18,data[[#This Row],[Age]]&lt;=24),"18-24",IF(AND(data[[#This Row],[Age]]&gt;=25,data[[#This Row],[Age]]&lt;=34),"25-34",IF(AND(data[[#This Row],[Age]]&gt;35,data[[#This Row],[Age]]&lt;=44),"35-44",IF(data[[#This Row],[Age]]&gt;44,"45+",IF(data[[#This Row],[Age]]&lt;18,"below 18 ")))))</f>
        <v>25-34</v>
      </c>
    </row>
    <row r="1421" spans="1:31" x14ac:dyDescent="0.25">
      <c r="A1421" t="s">
        <v>1474</v>
      </c>
      <c r="B1421">
        <v>33</v>
      </c>
      <c r="C1421" t="s">
        <v>31</v>
      </c>
      <c r="D1421" t="s">
        <v>39</v>
      </c>
      <c r="E1421" t="s">
        <v>58</v>
      </c>
      <c r="F1421" t="s">
        <v>51</v>
      </c>
      <c r="G1421">
        <v>3.6</v>
      </c>
      <c r="H1421">
        <v>2</v>
      </c>
      <c r="I1421">
        <v>3</v>
      </c>
      <c r="J1421" t="s">
        <v>42</v>
      </c>
      <c r="K1421" t="s">
        <v>36</v>
      </c>
      <c r="L1421">
        <v>120</v>
      </c>
      <c r="M1421">
        <v>10</v>
      </c>
      <c r="N1421">
        <v>5.3</v>
      </c>
      <c r="O1421">
        <v>7.5</v>
      </c>
      <c r="P1421">
        <v>5.8</v>
      </c>
      <c r="Q1421" t="s">
        <v>35</v>
      </c>
      <c r="R1421" t="s">
        <v>42</v>
      </c>
      <c r="S1421">
        <v>8</v>
      </c>
      <c r="T1421">
        <v>7.4</v>
      </c>
      <c r="U1421">
        <v>5</v>
      </c>
      <c r="V1421">
        <v>5.4</v>
      </c>
      <c r="X1421">
        <v>5.6</v>
      </c>
      <c r="Y1421">
        <v>5.5</v>
      </c>
      <c r="Z1421">
        <v>6.1</v>
      </c>
      <c r="AA1421">
        <v>3.6</v>
      </c>
      <c r="AB1421">
        <v>0.7</v>
      </c>
      <c r="AC1421">
        <v>3.2</v>
      </c>
      <c r="AD1421" t="s">
        <v>43</v>
      </c>
      <c r="AE1421" t="str">
        <f>IF(AND(data[[#This Row],[Age]]&gt;=18,data[[#This Row],[Age]]&lt;=24),"18-24",IF(AND(data[[#This Row],[Age]]&gt;=25,data[[#This Row],[Age]]&lt;=34),"25-34",IF(AND(data[[#This Row],[Age]]&gt;35,data[[#This Row],[Age]]&lt;=44),"35-44",IF(data[[#This Row],[Age]]&gt;44,"45+",IF(data[[#This Row],[Age]]&lt;18,"below 18 ")))))</f>
        <v>25-34</v>
      </c>
    </row>
    <row r="1422" spans="1:31" x14ac:dyDescent="0.25">
      <c r="A1422" t="s">
        <v>1475</v>
      </c>
      <c r="B1422">
        <v>15</v>
      </c>
      <c r="C1422" t="s">
        <v>47</v>
      </c>
      <c r="D1422" t="s">
        <v>39</v>
      </c>
      <c r="E1422" t="s">
        <v>58</v>
      </c>
      <c r="F1422" t="s">
        <v>41</v>
      </c>
      <c r="G1422">
        <v>2.1</v>
      </c>
      <c r="H1422">
        <v>3</v>
      </c>
      <c r="I1422">
        <v>6</v>
      </c>
      <c r="J1422" t="s">
        <v>42</v>
      </c>
      <c r="K1422" t="s">
        <v>52</v>
      </c>
      <c r="L1422">
        <v>107</v>
      </c>
      <c r="M1422">
        <v>6.2</v>
      </c>
      <c r="N1422">
        <v>5.7</v>
      </c>
      <c r="O1422">
        <v>4.5999999999999996</v>
      </c>
      <c r="P1422">
        <v>3.1</v>
      </c>
      <c r="Q1422" t="s">
        <v>42</v>
      </c>
      <c r="R1422" t="s">
        <v>35</v>
      </c>
      <c r="S1422">
        <v>6</v>
      </c>
      <c r="U1422">
        <v>3.3</v>
      </c>
      <c r="V1422">
        <v>6.8</v>
      </c>
      <c r="W1422">
        <v>5.6</v>
      </c>
      <c r="X1422">
        <v>8.1999999999999993</v>
      </c>
      <c r="Y1422">
        <v>5</v>
      </c>
      <c r="AA1422">
        <v>0.6</v>
      </c>
      <c r="AB1422">
        <v>1.7</v>
      </c>
      <c r="AC1422">
        <v>6.7</v>
      </c>
      <c r="AD1422" t="s">
        <v>53</v>
      </c>
      <c r="AE1422" t="str">
        <f>IF(AND(data[[#This Row],[Age]]&gt;=18,data[[#This Row],[Age]]&lt;=24),"18-24",IF(AND(data[[#This Row],[Age]]&gt;=25,data[[#This Row],[Age]]&lt;=34),"25-34",IF(AND(data[[#This Row],[Age]]&gt;35,data[[#This Row],[Age]]&lt;=44),"35-44",IF(data[[#This Row],[Age]]&gt;44,"45+",IF(data[[#This Row],[Age]]&lt;18,"below 18 ")))))</f>
        <v xml:space="preserve">below 18 </v>
      </c>
    </row>
    <row r="1423" spans="1:31" x14ac:dyDescent="0.25">
      <c r="A1423" t="s">
        <v>1476</v>
      </c>
      <c r="B1423">
        <v>30</v>
      </c>
      <c r="C1423" t="s">
        <v>50</v>
      </c>
      <c r="D1423" t="s">
        <v>32</v>
      </c>
      <c r="E1423" t="s">
        <v>58</v>
      </c>
      <c r="F1423" t="s">
        <v>41</v>
      </c>
      <c r="G1423">
        <v>4.7</v>
      </c>
      <c r="H1423">
        <v>7</v>
      </c>
      <c r="I1423">
        <v>4</v>
      </c>
      <c r="J1423" t="s">
        <v>35</v>
      </c>
      <c r="K1423" t="s">
        <v>52</v>
      </c>
      <c r="L1423">
        <v>79</v>
      </c>
      <c r="M1423">
        <v>8</v>
      </c>
      <c r="N1423">
        <v>5.9</v>
      </c>
      <c r="O1423">
        <v>5.7</v>
      </c>
      <c r="P1423">
        <v>5.0999999999999996</v>
      </c>
      <c r="Q1423" t="s">
        <v>35</v>
      </c>
      <c r="R1423" t="s">
        <v>42</v>
      </c>
      <c r="S1423">
        <v>4.9000000000000004</v>
      </c>
      <c r="T1423">
        <v>7.1</v>
      </c>
      <c r="U1423">
        <v>0.2</v>
      </c>
      <c r="V1423">
        <v>4.7</v>
      </c>
      <c r="W1423">
        <v>6.7</v>
      </c>
      <c r="X1423">
        <v>8.5</v>
      </c>
      <c r="Y1423">
        <v>7.5</v>
      </c>
      <c r="Z1423">
        <v>1.8</v>
      </c>
      <c r="AA1423">
        <v>6.4</v>
      </c>
      <c r="AB1423">
        <v>3</v>
      </c>
      <c r="AC1423">
        <v>5.7</v>
      </c>
      <c r="AD1423" t="s">
        <v>45</v>
      </c>
      <c r="AE1423" t="str">
        <f>IF(AND(data[[#This Row],[Age]]&gt;=18,data[[#This Row],[Age]]&lt;=24),"18-24",IF(AND(data[[#This Row],[Age]]&gt;=25,data[[#This Row],[Age]]&lt;=34),"25-34",IF(AND(data[[#This Row],[Age]]&gt;35,data[[#This Row],[Age]]&lt;=44),"35-44",IF(data[[#This Row],[Age]]&gt;44,"45+",IF(data[[#This Row],[Age]]&lt;18,"below 18 ")))))</f>
        <v>25-34</v>
      </c>
    </row>
    <row r="1424" spans="1:31" x14ac:dyDescent="0.25">
      <c r="A1424" t="s">
        <v>1477</v>
      </c>
      <c r="B1424">
        <v>43</v>
      </c>
      <c r="C1424" t="s">
        <v>31</v>
      </c>
      <c r="D1424" t="s">
        <v>39</v>
      </c>
      <c r="F1424" t="s">
        <v>41</v>
      </c>
      <c r="G1424">
        <v>2.2999999999999998</v>
      </c>
      <c r="H1424">
        <v>2</v>
      </c>
      <c r="I1424">
        <v>2</v>
      </c>
      <c r="J1424" t="s">
        <v>35</v>
      </c>
      <c r="K1424" t="s">
        <v>52</v>
      </c>
      <c r="L1424">
        <v>26</v>
      </c>
      <c r="M1424">
        <v>4.5999999999999996</v>
      </c>
      <c r="N1424">
        <v>8.8000000000000007</v>
      </c>
      <c r="O1424">
        <v>4.0999999999999996</v>
      </c>
      <c r="P1424">
        <v>6.4</v>
      </c>
      <c r="Q1424" t="s">
        <v>42</v>
      </c>
      <c r="R1424" t="s">
        <v>42</v>
      </c>
      <c r="S1424">
        <v>9.5</v>
      </c>
      <c r="T1424">
        <v>5.5</v>
      </c>
      <c r="U1424">
        <v>5.2</v>
      </c>
      <c r="V1424">
        <v>9.4</v>
      </c>
      <c r="W1424">
        <v>6.9</v>
      </c>
      <c r="X1424">
        <v>5.8</v>
      </c>
      <c r="Y1424">
        <v>4.9000000000000004</v>
      </c>
      <c r="Z1424">
        <v>6.8</v>
      </c>
      <c r="AA1424">
        <v>4.9000000000000004</v>
      </c>
      <c r="AB1424">
        <v>4.2</v>
      </c>
      <c r="AC1424">
        <v>6.7</v>
      </c>
      <c r="AD1424" t="s">
        <v>53</v>
      </c>
      <c r="AE1424" t="str">
        <f>IF(AND(data[[#This Row],[Age]]&gt;=18,data[[#This Row],[Age]]&lt;=24),"18-24",IF(AND(data[[#This Row],[Age]]&gt;=25,data[[#This Row],[Age]]&lt;=34),"25-34",IF(AND(data[[#This Row],[Age]]&gt;35,data[[#This Row],[Age]]&lt;=44),"35-44",IF(data[[#This Row],[Age]]&gt;44,"45+",IF(data[[#This Row],[Age]]&lt;18,"below 18 ")))))</f>
        <v>35-44</v>
      </c>
    </row>
    <row r="1425" spans="1:31" x14ac:dyDescent="0.25">
      <c r="A1425" t="s">
        <v>1478</v>
      </c>
      <c r="B1425">
        <v>27</v>
      </c>
      <c r="C1425" t="s">
        <v>31</v>
      </c>
      <c r="D1425" t="s">
        <v>32</v>
      </c>
      <c r="E1425" t="s">
        <v>58</v>
      </c>
      <c r="F1425" t="s">
        <v>34</v>
      </c>
      <c r="G1425">
        <v>5.0999999999999996</v>
      </c>
      <c r="H1425">
        <v>5</v>
      </c>
      <c r="I1425">
        <v>8</v>
      </c>
      <c r="J1425" t="s">
        <v>42</v>
      </c>
      <c r="K1425" t="s">
        <v>62</v>
      </c>
      <c r="L1425">
        <v>44</v>
      </c>
      <c r="M1425">
        <v>4.5</v>
      </c>
      <c r="N1425">
        <v>4.5</v>
      </c>
      <c r="O1425">
        <v>6.9</v>
      </c>
      <c r="P1425">
        <v>3.8</v>
      </c>
      <c r="Q1425" t="s">
        <v>42</v>
      </c>
      <c r="R1425" t="s">
        <v>35</v>
      </c>
      <c r="S1425">
        <v>7.1</v>
      </c>
      <c r="T1425">
        <v>4.3</v>
      </c>
      <c r="U1425">
        <v>4.2</v>
      </c>
      <c r="V1425">
        <v>8.4</v>
      </c>
      <c r="W1425">
        <v>4</v>
      </c>
      <c r="X1425">
        <v>7.4</v>
      </c>
      <c r="Y1425">
        <v>7.3</v>
      </c>
      <c r="Z1425">
        <v>5.5</v>
      </c>
      <c r="AA1425">
        <v>5.5</v>
      </c>
      <c r="AB1425">
        <v>1.9</v>
      </c>
      <c r="AC1425">
        <v>7.6</v>
      </c>
      <c r="AD1425" t="s">
        <v>37</v>
      </c>
      <c r="AE1425" t="str">
        <f>IF(AND(data[[#This Row],[Age]]&gt;=18,data[[#This Row],[Age]]&lt;=24),"18-24",IF(AND(data[[#This Row],[Age]]&gt;=25,data[[#This Row],[Age]]&lt;=34),"25-34",IF(AND(data[[#This Row],[Age]]&gt;35,data[[#This Row],[Age]]&lt;=44),"35-44",IF(data[[#This Row],[Age]]&gt;44,"45+",IF(data[[#This Row],[Age]]&lt;18,"below 18 ")))))</f>
        <v>25-34</v>
      </c>
    </row>
    <row r="1426" spans="1:31" x14ac:dyDescent="0.25">
      <c r="A1426" t="s">
        <v>1479</v>
      </c>
      <c r="B1426">
        <v>25</v>
      </c>
      <c r="D1426" t="s">
        <v>32</v>
      </c>
      <c r="E1426" t="s">
        <v>40</v>
      </c>
      <c r="F1426" t="s">
        <v>59</v>
      </c>
      <c r="G1426">
        <v>4</v>
      </c>
      <c r="H1426">
        <v>3</v>
      </c>
      <c r="I1426">
        <v>5</v>
      </c>
      <c r="K1426" t="s">
        <v>36</v>
      </c>
      <c r="L1426">
        <v>22</v>
      </c>
      <c r="M1426">
        <v>5.7</v>
      </c>
      <c r="N1426">
        <v>6.7</v>
      </c>
      <c r="O1426">
        <v>5.5</v>
      </c>
      <c r="P1426">
        <v>9.6</v>
      </c>
      <c r="Q1426" t="s">
        <v>35</v>
      </c>
      <c r="R1426" t="s">
        <v>42</v>
      </c>
      <c r="S1426">
        <v>5.8</v>
      </c>
      <c r="T1426">
        <v>2.5</v>
      </c>
      <c r="U1426">
        <v>1</v>
      </c>
      <c r="V1426">
        <v>9.6</v>
      </c>
      <c r="W1426">
        <v>8.6</v>
      </c>
      <c r="X1426">
        <v>7.3</v>
      </c>
      <c r="Y1426">
        <v>6.6</v>
      </c>
      <c r="Z1426">
        <v>4.3</v>
      </c>
      <c r="AA1426">
        <v>4.2</v>
      </c>
      <c r="AB1426">
        <v>2</v>
      </c>
      <c r="AC1426">
        <v>6</v>
      </c>
      <c r="AD1426" t="s">
        <v>45</v>
      </c>
      <c r="AE1426" t="str">
        <f>IF(AND(data[[#This Row],[Age]]&gt;=18,data[[#This Row],[Age]]&lt;=24),"18-24",IF(AND(data[[#This Row],[Age]]&gt;=25,data[[#This Row],[Age]]&lt;=34),"25-34",IF(AND(data[[#This Row],[Age]]&gt;35,data[[#This Row],[Age]]&lt;=44),"35-44",IF(data[[#This Row],[Age]]&gt;44,"45+",IF(data[[#This Row],[Age]]&lt;18,"below 18 ")))))</f>
        <v>25-34</v>
      </c>
    </row>
    <row r="1427" spans="1:31" x14ac:dyDescent="0.25">
      <c r="A1427" t="s">
        <v>1480</v>
      </c>
      <c r="B1427">
        <v>19</v>
      </c>
      <c r="C1427" t="s">
        <v>31</v>
      </c>
      <c r="D1427" t="s">
        <v>32</v>
      </c>
      <c r="E1427" t="s">
        <v>33</v>
      </c>
      <c r="F1427" t="s">
        <v>41</v>
      </c>
      <c r="G1427">
        <v>3.8</v>
      </c>
      <c r="H1427">
        <v>4</v>
      </c>
      <c r="I1427">
        <v>4</v>
      </c>
      <c r="J1427" t="s">
        <v>42</v>
      </c>
      <c r="K1427" t="s">
        <v>36</v>
      </c>
      <c r="L1427">
        <v>69</v>
      </c>
      <c r="M1427">
        <v>6.6</v>
      </c>
      <c r="N1427">
        <v>8.1</v>
      </c>
      <c r="O1427">
        <v>4.0999999999999996</v>
      </c>
      <c r="P1427">
        <v>4.5999999999999996</v>
      </c>
      <c r="Q1427" t="s">
        <v>35</v>
      </c>
      <c r="R1427" t="s">
        <v>42</v>
      </c>
      <c r="S1427">
        <v>1.7</v>
      </c>
      <c r="T1427">
        <v>7.3</v>
      </c>
      <c r="U1427">
        <v>4.2</v>
      </c>
      <c r="V1427">
        <v>10</v>
      </c>
      <c r="W1427">
        <v>4.9000000000000004</v>
      </c>
      <c r="X1427">
        <v>7.1</v>
      </c>
      <c r="Y1427">
        <v>8.3000000000000007</v>
      </c>
      <c r="Z1427">
        <v>3.7</v>
      </c>
      <c r="AA1427">
        <v>1.7</v>
      </c>
      <c r="AB1427">
        <v>3</v>
      </c>
      <c r="AC1427">
        <v>5.4</v>
      </c>
      <c r="AD1427" t="s">
        <v>43</v>
      </c>
      <c r="AE1427" t="str">
        <f>IF(AND(data[[#This Row],[Age]]&gt;=18,data[[#This Row],[Age]]&lt;=24),"18-24",IF(AND(data[[#This Row],[Age]]&gt;=25,data[[#This Row],[Age]]&lt;=34),"25-34",IF(AND(data[[#This Row],[Age]]&gt;35,data[[#This Row],[Age]]&lt;=44),"35-44",IF(data[[#This Row],[Age]]&gt;44,"45+",IF(data[[#This Row],[Age]]&lt;18,"below 18 ")))))</f>
        <v>18-24</v>
      </c>
    </row>
    <row r="1428" spans="1:31" x14ac:dyDescent="0.25">
      <c r="A1428" t="s">
        <v>1481</v>
      </c>
      <c r="B1428">
        <v>30</v>
      </c>
      <c r="C1428" t="s">
        <v>31</v>
      </c>
      <c r="D1428" t="s">
        <v>64</v>
      </c>
      <c r="E1428" t="s">
        <v>58</v>
      </c>
      <c r="F1428" t="s">
        <v>41</v>
      </c>
      <c r="G1428">
        <v>1.1000000000000001</v>
      </c>
      <c r="H1428">
        <v>5</v>
      </c>
      <c r="I1428">
        <v>3</v>
      </c>
      <c r="J1428" t="s">
        <v>35</v>
      </c>
      <c r="K1428" t="s">
        <v>52</v>
      </c>
      <c r="L1428">
        <v>65</v>
      </c>
      <c r="M1428">
        <v>6.9</v>
      </c>
      <c r="N1428">
        <v>7.8</v>
      </c>
      <c r="O1428">
        <v>3.9</v>
      </c>
      <c r="P1428">
        <v>5.2</v>
      </c>
      <c r="Q1428" t="s">
        <v>35</v>
      </c>
      <c r="R1428" t="s">
        <v>35</v>
      </c>
      <c r="S1428">
        <v>3.7</v>
      </c>
      <c r="T1428">
        <v>6.7</v>
      </c>
      <c r="U1428">
        <v>7.6</v>
      </c>
      <c r="V1428">
        <v>4.7</v>
      </c>
      <c r="W1428">
        <v>7.8</v>
      </c>
      <c r="X1428">
        <v>5.0999999999999996</v>
      </c>
      <c r="Y1428">
        <v>4.8</v>
      </c>
      <c r="Z1428">
        <v>4.3</v>
      </c>
      <c r="AA1428">
        <v>4.5</v>
      </c>
      <c r="AB1428">
        <v>1.6</v>
      </c>
      <c r="AC1428">
        <v>7.1</v>
      </c>
      <c r="AD1428" t="s">
        <v>37</v>
      </c>
      <c r="AE1428" t="str">
        <f>IF(AND(data[[#This Row],[Age]]&gt;=18,data[[#This Row],[Age]]&lt;=24),"18-24",IF(AND(data[[#This Row],[Age]]&gt;=25,data[[#This Row],[Age]]&lt;=34),"25-34",IF(AND(data[[#This Row],[Age]]&gt;35,data[[#This Row],[Age]]&lt;=44),"35-44",IF(data[[#This Row],[Age]]&gt;44,"45+",IF(data[[#This Row],[Age]]&lt;18,"below 18 ")))))</f>
        <v>25-34</v>
      </c>
    </row>
    <row r="1429" spans="1:31" x14ac:dyDescent="0.25">
      <c r="A1429" t="s">
        <v>1482</v>
      </c>
      <c r="B1429">
        <v>30</v>
      </c>
      <c r="C1429" t="s">
        <v>47</v>
      </c>
      <c r="D1429" t="s">
        <v>32</v>
      </c>
      <c r="E1429" t="s">
        <v>33</v>
      </c>
      <c r="F1429" t="s">
        <v>34</v>
      </c>
      <c r="G1429">
        <v>5.2</v>
      </c>
      <c r="H1429">
        <v>1</v>
      </c>
      <c r="I1429">
        <v>1</v>
      </c>
      <c r="J1429" t="s">
        <v>42</v>
      </c>
      <c r="K1429" t="s">
        <v>62</v>
      </c>
      <c r="L1429">
        <v>46</v>
      </c>
      <c r="M1429">
        <v>4.3</v>
      </c>
      <c r="N1429">
        <v>7</v>
      </c>
      <c r="O1429">
        <v>6.5</v>
      </c>
      <c r="P1429">
        <v>6.6</v>
      </c>
      <c r="Q1429" t="s">
        <v>42</v>
      </c>
      <c r="R1429" t="s">
        <v>35</v>
      </c>
      <c r="S1429">
        <v>0.2</v>
      </c>
      <c r="T1429">
        <v>7.1</v>
      </c>
      <c r="U1429">
        <v>2.2999999999999998</v>
      </c>
      <c r="V1429">
        <v>6.5</v>
      </c>
      <c r="W1429">
        <v>3.1</v>
      </c>
      <c r="X1429">
        <v>5.6</v>
      </c>
      <c r="Y1429">
        <v>4.8</v>
      </c>
      <c r="Z1429">
        <v>5.6</v>
      </c>
      <c r="AA1429">
        <v>0.5</v>
      </c>
      <c r="AB1429">
        <v>3.9</v>
      </c>
      <c r="AC1429">
        <v>7.9</v>
      </c>
      <c r="AD1429" t="s">
        <v>37</v>
      </c>
      <c r="AE1429" t="str">
        <f>IF(AND(data[[#This Row],[Age]]&gt;=18,data[[#This Row],[Age]]&lt;=24),"18-24",IF(AND(data[[#This Row],[Age]]&gt;=25,data[[#This Row],[Age]]&lt;=34),"25-34",IF(AND(data[[#This Row],[Age]]&gt;35,data[[#This Row],[Age]]&lt;=44),"35-44",IF(data[[#This Row],[Age]]&gt;44,"45+",IF(data[[#This Row],[Age]]&lt;18,"below 18 ")))))</f>
        <v>25-34</v>
      </c>
    </row>
    <row r="1430" spans="1:31" x14ac:dyDescent="0.25">
      <c r="A1430" t="s">
        <v>1483</v>
      </c>
      <c r="B1430">
        <v>26</v>
      </c>
      <c r="C1430" t="s">
        <v>31</v>
      </c>
      <c r="D1430" t="s">
        <v>39</v>
      </c>
      <c r="E1430" t="s">
        <v>40</v>
      </c>
      <c r="F1430" t="s">
        <v>48</v>
      </c>
      <c r="G1430">
        <v>6.4</v>
      </c>
      <c r="H1430">
        <v>4</v>
      </c>
      <c r="I1430">
        <v>5</v>
      </c>
      <c r="J1430" t="s">
        <v>42</v>
      </c>
      <c r="K1430" t="s">
        <v>52</v>
      </c>
      <c r="L1430">
        <v>109</v>
      </c>
      <c r="M1430">
        <v>5.9</v>
      </c>
      <c r="N1430">
        <v>3.9</v>
      </c>
      <c r="O1430">
        <v>6.9</v>
      </c>
      <c r="P1430">
        <v>9.3000000000000007</v>
      </c>
      <c r="Q1430" t="s">
        <v>42</v>
      </c>
      <c r="R1430" t="s">
        <v>35</v>
      </c>
      <c r="S1430">
        <v>7.4</v>
      </c>
      <c r="T1430">
        <v>5.3</v>
      </c>
      <c r="U1430">
        <v>2.4</v>
      </c>
      <c r="V1430">
        <v>4.3</v>
      </c>
      <c r="W1430">
        <v>7.2</v>
      </c>
      <c r="X1430">
        <v>7.3</v>
      </c>
      <c r="Y1430">
        <v>6.6</v>
      </c>
      <c r="Z1430">
        <v>9</v>
      </c>
      <c r="AA1430">
        <v>1.8</v>
      </c>
      <c r="AB1430">
        <v>2.6</v>
      </c>
      <c r="AC1430">
        <v>5.7</v>
      </c>
      <c r="AD1430" t="s">
        <v>45</v>
      </c>
      <c r="AE1430" t="str">
        <f>IF(AND(data[[#This Row],[Age]]&gt;=18,data[[#This Row],[Age]]&lt;=24),"18-24",IF(AND(data[[#This Row],[Age]]&gt;=25,data[[#This Row],[Age]]&lt;=34),"25-34",IF(AND(data[[#This Row],[Age]]&gt;35,data[[#This Row],[Age]]&lt;=44),"35-44",IF(data[[#This Row],[Age]]&gt;44,"45+",IF(data[[#This Row],[Age]]&lt;18,"below 18 ")))))</f>
        <v>25-34</v>
      </c>
    </row>
    <row r="1431" spans="1:31" x14ac:dyDescent="0.25">
      <c r="A1431" t="s">
        <v>1484</v>
      </c>
      <c r="B1431">
        <v>24</v>
      </c>
      <c r="C1431" t="s">
        <v>50</v>
      </c>
      <c r="D1431" t="s">
        <v>39</v>
      </c>
      <c r="E1431" t="s">
        <v>33</v>
      </c>
      <c r="F1431" t="s">
        <v>51</v>
      </c>
      <c r="G1431">
        <v>4.2</v>
      </c>
      <c r="H1431">
        <v>6</v>
      </c>
      <c r="I1431">
        <v>2</v>
      </c>
      <c r="J1431" t="s">
        <v>42</v>
      </c>
      <c r="K1431" t="s">
        <v>62</v>
      </c>
      <c r="L1431">
        <v>52</v>
      </c>
      <c r="M1431">
        <v>10</v>
      </c>
      <c r="N1431">
        <v>4.7</v>
      </c>
      <c r="O1431">
        <v>4.9000000000000004</v>
      </c>
      <c r="P1431">
        <v>9.8000000000000007</v>
      </c>
      <c r="Q1431" t="s">
        <v>35</v>
      </c>
      <c r="R1431" t="s">
        <v>42</v>
      </c>
      <c r="S1431">
        <v>5.7</v>
      </c>
      <c r="T1431">
        <v>4.7</v>
      </c>
      <c r="U1431">
        <v>7.7</v>
      </c>
      <c r="V1431">
        <v>0.8</v>
      </c>
      <c r="W1431">
        <v>6.7</v>
      </c>
      <c r="X1431">
        <v>6.7</v>
      </c>
      <c r="Y1431">
        <v>2.7</v>
      </c>
      <c r="Z1431">
        <v>2.5</v>
      </c>
      <c r="AA1431">
        <v>2.7</v>
      </c>
      <c r="AB1431">
        <v>3.8</v>
      </c>
      <c r="AC1431">
        <v>3.4</v>
      </c>
      <c r="AD1431" t="s">
        <v>43</v>
      </c>
      <c r="AE1431" t="str">
        <f>IF(AND(data[[#This Row],[Age]]&gt;=18,data[[#This Row],[Age]]&lt;=24),"18-24",IF(AND(data[[#This Row],[Age]]&gt;=25,data[[#This Row],[Age]]&lt;=34),"25-34",IF(AND(data[[#This Row],[Age]]&gt;35,data[[#This Row],[Age]]&lt;=44),"35-44",IF(data[[#This Row],[Age]]&gt;44,"45+",IF(data[[#This Row],[Age]]&lt;18,"below 18 ")))))</f>
        <v>18-24</v>
      </c>
    </row>
    <row r="1432" spans="1:31" x14ac:dyDescent="0.25">
      <c r="A1432" t="s">
        <v>1485</v>
      </c>
      <c r="B1432">
        <v>18</v>
      </c>
      <c r="C1432" t="s">
        <v>31</v>
      </c>
      <c r="D1432" t="s">
        <v>32</v>
      </c>
      <c r="E1432" t="s">
        <v>58</v>
      </c>
      <c r="F1432" t="s">
        <v>48</v>
      </c>
      <c r="G1432">
        <v>3.3</v>
      </c>
      <c r="H1432">
        <v>4</v>
      </c>
      <c r="I1432">
        <v>6</v>
      </c>
      <c r="J1432" t="s">
        <v>42</v>
      </c>
      <c r="K1432" t="s">
        <v>62</v>
      </c>
      <c r="L1432">
        <v>70</v>
      </c>
      <c r="M1432">
        <v>7.1</v>
      </c>
      <c r="N1432">
        <v>5.7</v>
      </c>
      <c r="O1432">
        <v>6.1</v>
      </c>
      <c r="P1432">
        <v>1.1000000000000001</v>
      </c>
      <c r="Q1432" t="s">
        <v>42</v>
      </c>
      <c r="R1432" t="s">
        <v>35</v>
      </c>
      <c r="S1432">
        <v>2.4</v>
      </c>
      <c r="T1432">
        <v>2</v>
      </c>
      <c r="U1432">
        <v>4</v>
      </c>
      <c r="V1432">
        <v>10</v>
      </c>
      <c r="W1432">
        <v>7.8</v>
      </c>
      <c r="X1432">
        <v>4</v>
      </c>
      <c r="Y1432">
        <v>8.1</v>
      </c>
      <c r="Z1432">
        <v>2.8</v>
      </c>
      <c r="AA1432">
        <v>2.5</v>
      </c>
      <c r="AB1432">
        <v>2.7</v>
      </c>
      <c r="AC1432">
        <v>7.2</v>
      </c>
      <c r="AD1432" t="s">
        <v>37</v>
      </c>
      <c r="AE1432" t="str">
        <f>IF(AND(data[[#This Row],[Age]]&gt;=18,data[[#This Row],[Age]]&lt;=24),"18-24",IF(AND(data[[#This Row],[Age]]&gt;=25,data[[#This Row],[Age]]&lt;=34),"25-34",IF(AND(data[[#This Row],[Age]]&gt;35,data[[#This Row],[Age]]&lt;=44),"35-44",IF(data[[#This Row],[Age]]&gt;44,"45+",IF(data[[#This Row],[Age]]&lt;18,"below 18 ")))))</f>
        <v>18-24</v>
      </c>
    </row>
    <row r="1433" spans="1:31" x14ac:dyDescent="0.25">
      <c r="A1433" t="s">
        <v>1486</v>
      </c>
      <c r="B1433">
        <v>31</v>
      </c>
      <c r="C1433" t="s">
        <v>47</v>
      </c>
      <c r="D1433" t="s">
        <v>39</v>
      </c>
      <c r="E1433" t="s">
        <v>40</v>
      </c>
      <c r="F1433" t="s">
        <v>41</v>
      </c>
      <c r="G1433">
        <v>5.9</v>
      </c>
      <c r="H1433">
        <v>1</v>
      </c>
      <c r="I1433">
        <v>5</v>
      </c>
      <c r="J1433" t="s">
        <v>42</v>
      </c>
      <c r="K1433" t="s">
        <v>36</v>
      </c>
      <c r="L1433">
        <v>55</v>
      </c>
      <c r="M1433">
        <v>10</v>
      </c>
      <c r="N1433">
        <v>8.5</v>
      </c>
      <c r="O1433">
        <v>3.8</v>
      </c>
      <c r="P1433">
        <v>6.7</v>
      </c>
      <c r="Q1433" t="s">
        <v>42</v>
      </c>
      <c r="R1433" t="s">
        <v>35</v>
      </c>
      <c r="S1433">
        <v>2.6</v>
      </c>
      <c r="T1433">
        <v>1.4</v>
      </c>
      <c r="U1433">
        <v>2.2000000000000002</v>
      </c>
      <c r="V1433">
        <v>5.6</v>
      </c>
      <c r="W1433">
        <v>7.3</v>
      </c>
      <c r="X1433">
        <v>6.2</v>
      </c>
      <c r="Y1433">
        <v>6.6</v>
      </c>
      <c r="Z1433">
        <v>5.4</v>
      </c>
      <c r="AA1433">
        <v>0.2</v>
      </c>
      <c r="AB1433">
        <v>5.9</v>
      </c>
      <c r="AC1433">
        <v>5.0999999999999996</v>
      </c>
      <c r="AD1433" t="s">
        <v>45</v>
      </c>
      <c r="AE1433" t="str">
        <f>IF(AND(data[[#This Row],[Age]]&gt;=18,data[[#This Row],[Age]]&lt;=24),"18-24",IF(AND(data[[#This Row],[Age]]&gt;=25,data[[#This Row],[Age]]&lt;=34),"25-34",IF(AND(data[[#This Row],[Age]]&gt;35,data[[#This Row],[Age]]&lt;=44),"35-44",IF(data[[#This Row],[Age]]&gt;44,"45+",IF(data[[#This Row],[Age]]&lt;18,"below 18 ")))))</f>
        <v>25-34</v>
      </c>
    </row>
    <row r="1434" spans="1:31" x14ac:dyDescent="0.25">
      <c r="A1434" t="s">
        <v>1487</v>
      </c>
      <c r="B1434">
        <v>32</v>
      </c>
      <c r="C1434" t="s">
        <v>31</v>
      </c>
      <c r="D1434" t="s">
        <v>39</v>
      </c>
      <c r="E1434" t="s">
        <v>33</v>
      </c>
      <c r="F1434" t="s">
        <v>48</v>
      </c>
      <c r="G1434">
        <v>6.2</v>
      </c>
      <c r="H1434">
        <v>3</v>
      </c>
      <c r="I1434">
        <v>6</v>
      </c>
      <c r="J1434" t="s">
        <v>35</v>
      </c>
      <c r="K1434" t="s">
        <v>62</v>
      </c>
      <c r="L1434">
        <v>9</v>
      </c>
      <c r="M1434">
        <v>1.3</v>
      </c>
      <c r="N1434">
        <v>6.3</v>
      </c>
      <c r="O1434">
        <v>2.2999999999999998</v>
      </c>
      <c r="P1434">
        <v>9.3000000000000007</v>
      </c>
      <c r="Q1434" t="s">
        <v>42</v>
      </c>
      <c r="R1434" t="s">
        <v>35</v>
      </c>
      <c r="S1434">
        <v>6.4</v>
      </c>
      <c r="T1434">
        <v>5.6</v>
      </c>
      <c r="U1434">
        <v>5.2</v>
      </c>
      <c r="W1434">
        <v>6.3</v>
      </c>
      <c r="X1434">
        <v>7.1</v>
      </c>
      <c r="Y1434">
        <v>6.1</v>
      </c>
      <c r="Z1434">
        <v>5.6</v>
      </c>
      <c r="AA1434">
        <v>2.8</v>
      </c>
      <c r="AB1434">
        <v>5.8</v>
      </c>
      <c r="AC1434">
        <v>8.9</v>
      </c>
      <c r="AD1434" t="s">
        <v>37</v>
      </c>
      <c r="AE1434" t="str">
        <f>IF(AND(data[[#This Row],[Age]]&gt;=18,data[[#This Row],[Age]]&lt;=24),"18-24",IF(AND(data[[#This Row],[Age]]&gt;=25,data[[#This Row],[Age]]&lt;=34),"25-34",IF(AND(data[[#This Row],[Age]]&gt;35,data[[#This Row],[Age]]&lt;=44),"35-44",IF(data[[#This Row],[Age]]&gt;44,"45+",IF(data[[#This Row],[Age]]&lt;18,"below 18 ")))))</f>
        <v>25-34</v>
      </c>
    </row>
    <row r="1435" spans="1:31" x14ac:dyDescent="0.25">
      <c r="A1435" t="s">
        <v>1488</v>
      </c>
      <c r="B1435">
        <v>15</v>
      </c>
      <c r="C1435" t="s">
        <v>50</v>
      </c>
      <c r="D1435" t="s">
        <v>32</v>
      </c>
      <c r="F1435" t="s">
        <v>34</v>
      </c>
      <c r="G1435">
        <v>3.6</v>
      </c>
      <c r="H1435">
        <v>3</v>
      </c>
      <c r="I1435">
        <v>6</v>
      </c>
      <c r="J1435" t="s">
        <v>35</v>
      </c>
      <c r="K1435" t="s">
        <v>52</v>
      </c>
      <c r="L1435">
        <v>5</v>
      </c>
      <c r="M1435">
        <v>6.8</v>
      </c>
      <c r="N1435">
        <v>8.6</v>
      </c>
      <c r="O1435">
        <v>1.4</v>
      </c>
      <c r="P1435">
        <v>6</v>
      </c>
      <c r="Q1435" t="s">
        <v>42</v>
      </c>
      <c r="R1435" t="s">
        <v>35</v>
      </c>
      <c r="S1435">
        <v>4.2</v>
      </c>
      <c r="T1435">
        <v>1.7</v>
      </c>
      <c r="V1435">
        <v>5.6</v>
      </c>
      <c r="W1435">
        <v>8.3000000000000007</v>
      </c>
      <c r="X1435">
        <v>9.1</v>
      </c>
      <c r="Y1435">
        <v>7.3</v>
      </c>
      <c r="Z1435">
        <v>3.6</v>
      </c>
      <c r="AA1435">
        <v>0.8</v>
      </c>
      <c r="AB1435">
        <v>3</v>
      </c>
      <c r="AC1435">
        <v>6.6</v>
      </c>
      <c r="AD1435" t="s">
        <v>53</v>
      </c>
      <c r="AE1435" t="str">
        <f>IF(AND(data[[#This Row],[Age]]&gt;=18,data[[#This Row],[Age]]&lt;=24),"18-24",IF(AND(data[[#This Row],[Age]]&gt;=25,data[[#This Row],[Age]]&lt;=34),"25-34",IF(AND(data[[#This Row],[Age]]&gt;35,data[[#This Row],[Age]]&lt;=44),"35-44",IF(data[[#This Row],[Age]]&gt;44,"45+",IF(data[[#This Row],[Age]]&lt;18,"below 18 ")))))</f>
        <v xml:space="preserve">below 18 </v>
      </c>
    </row>
    <row r="1436" spans="1:31" x14ac:dyDescent="0.25">
      <c r="A1436" t="s">
        <v>1489</v>
      </c>
      <c r="B1436">
        <v>27</v>
      </c>
      <c r="C1436" t="s">
        <v>31</v>
      </c>
      <c r="D1436" t="s">
        <v>64</v>
      </c>
      <c r="E1436" t="s">
        <v>33</v>
      </c>
      <c r="F1436" t="s">
        <v>34</v>
      </c>
      <c r="G1436">
        <v>10.5</v>
      </c>
      <c r="H1436">
        <v>3</v>
      </c>
      <c r="I1436">
        <v>7</v>
      </c>
      <c r="J1436" t="s">
        <v>42</v>
      </c>
      <c r="K1436" t="s">
        <v>52</v>
      </c>
      <c r="L1436">
        <v>66</v>
      </c>
      <c r="M1436">
        <v>5.9</v>
      </c>
      <c r="N1436">
        <v>3.9</v>
      </c>
      <c r="O1436">
        <v>7.4</v>
      </c>
      <c r="P1436">
        <v>1.8</v>
      </c>
      <c r="Q1436" t="s">
        <v>42</v>
      </c>
      <c r="R1436" t="s">
        <v>35</v>
      </c>
      <c r="S1436">
        <v>3.9</v>
      </c>
      <c r="T1436">
        <v>4</v>
      </c>
      <c r="U1436">
        <v>4.7</v>
      </c>
      <c r="V1436">
        <v>3.3</v>
      </c>
      <c r="W1436">
        <v>6.4</v>
      </c>
      <c r="Y1436">
        <v>1.2</v>
      </c>
      <c r="AA1436">
        <v>4.4000000000000004</v>
      </c>
      <c r="AB1436">
        <v>0.5</v>
      </c>
      <c r="AC1436">
        <v>7.7</v>
      </c>
      <c r="AD1436" t="s">
        <v>53</v>
      </c>
      <c r="AE1436" t="str">
        <f>IF(AND(data[[#This Row],[Age]]&gt;=18,data[[#This Row],[Age]]&lt;=24),"18-24",IF(AND(data[[#This Row],[Age]]&gt;=25,data[[#This Row],[Age]]&lt;=34),"25-34",IF(AND(data[[#This Row],[Age]]&gt;35,data[[#This Row],[Age]]&lt;=44),"35-44",IF(data[[#This Row],[Age]]&gt;44,"45+",IF(data[[#This Row],[Age]]&lt;18,"below 18 ")))))</f>
        <v>25-34</v>
      </c>
    </row>
    <row r="1437" spans="1:31" x14ac:dyDescent="0.25">
      <c r="A1437" t="s">
        <v>1490</v>
      </c>
      <c r="B1437">
        <v>29</v>
      </c>
      <c r="C1437" t="s">
        <v>47</v>
      </c>
      <c r="D1437" t="s">
        <v>32</v>
      </c>
      <c r="E1437" t="s">
        <v>58</v>
      </c>
      <c r="F1437" t="s">
        <v>34</v>
      </c>
      <c r="G1437">
        <v>7.2</v>
      </c>
      <c r="H1437">
        <v>3</v>
      </c>
      <c r="I1437">
        <v>2</v>
      </c>
      <c r="J1437" t="s">
        <v>35</v>
      </c>
      <c r="K1437" t="s">
        <v>36</v>
      </c>
      <c r="L1437">
        <v>24</v>
      </c>
      <c r="M1437">
        <v>5.6</v>
      </c>
      <c r="N1437">
        <v>2.4</v>
      </c>
      <c r="O1437">
        <v>2.8</v>
      </c>
      <c r="P1437">
        <v>5</v>
      </c>
      <c r="Q1437" t="s">
        <v>35</v>
      </c>
      <c r="R1437" t="s">
        <v>42</v>
      </c>
      <c r="S1437">
        <v>2.1</v>
      </c>
      <c r="T1437">
        <v>4.5999999999999996</v>
      </c>
      <c r="U1437">
        <v>3.4</v>
      </c>
      <c r="V1437">
        <v>8.1999999999999993</v>
      </c>
      <c r="W1437">
        <v>6.9</v>
      </c>
      <c r="X1437">
        <v>6.5</v>
      </c>
      <c r="Y1437">
        <v>3.3</v>
      </c>
      <c r="Z1437">
        <v>7.7</v>
      </c>
      <c r="AA1437">
        <v>4</v>
      </c>
      <c r="AB1437">
        <v>3.4</v>
      </c>
      <c r="AC1437">
        <v>8.1999999999999993</v>
      </c>
      <c r="AD1437" t="s">
        <v>37</v>
      </c>
      <c r="AE1437" t="str">
        <f>IF(AND(data[[#This Row],[Age]]&gt;=18,data[[#This Row],[Age]]&lt;=24),"18-24",IF(AND(data[[#This Row],[Age]]&gt;=25,data[[#This Row],[Age]]&lt;=34),"25-34",IF(AND(data[[#This Row],[Age]]&gt;35,data[[#This Row],[Age]]&lt;=44),"35-44",IF(data[[#This Row],[Age]]&gt;44,"45+",IF(data[[#This Row],[Age]]&lt;18,"below 18 ")))))</f>
        <v>25-34</v>
      </c>
    </row>
    <row r="1438" spans="1:31" x14ac:dyDescent="0.25">
      <c r="A1438" t="s">
        <v>1491</v>
      </c>
      <c r="B1438">
        <v>26</v>
      </c>
      <c r="C1438" t="s">
        <v>31</v>
      </c>
      <c r="D1438" t="s">
        <v>64</v>
      </c>
      <c r="E1438" t="s">
        <v>58</v>
      </c>
      <c r="F1438" t="s">
        <v>51</v>
      </c>
      <c r="G1438">
        <v>7.8</v>
      </c>
      <c r="H1438">
        <v>3</v>
      </c>
      <c r="I1438">
        <v>3</v>
      </c>
      <c r="J1438" t="s">
        <v>35</v>
      </c>
      <c r="K1438" t="s">
        <v>52</v>
      </c>
      <c r="L1438">
        <v>14</v>
      </c>
      <c r="M1438">
        <v>2.5</v>
      </c>
      <c r="N1438">
        <v>7.5</v>
      </c>
      <c r="O1438">
        <v>5.0999999999999996</v>
      </c>
      <c r="P1438">
        <v>1.4</v>
      </c>
      <c r="Q1438" t="s">
        <v>42</v>
      </c>
      <c r="R1438" t="s">
        <v>35</v>
      </c>
      <c r="S1438">
        <v>3.2</v>
      </c>
      <c r="T1438">
        <v>5.4</v>
      </c>
      <c r="U1438">
        <v>4.0999999999999996</v>
      </c>
      <c r="V1438">
        <v>5.9</v>
      </c>
      <c r="W1438">
        <v>8.8000000000000007</v>
      </c>
      <c r="X1438">
        <v>4.3</v>
      </c>
      <c r="Y1438">
        <v>5.9</v>
      </c>
      <c r="Z1438">
        <v>4.3</v>
      </c>
      <c r="AA1438">
        <v>6</v>
      </c>
      <c r="AB1438">
        <v>0</v>
      </c>
      <c r="AC1438">
        <v>8.6999999999999993</v>
      </c>
      <c r="AD1438" t="s">
        <v>37</v>
      </c>
      <c r="AE1438" t="str">
        <f>IF(AND(data[[#This Row],[Age]]&gt;=18,data[[#This Row],[Age]]&lt;=24),"18-24",IF(AND(data[[#This Row],[Age]]&gt;=25,data[[#This Row],[Age]]&lt;=34),"25-34",IF(AND(data[[#This Row],[Age]]&gt;35,data[[#This Row],[Age]]&lt;=44),"35-44",IF(data[[#This Row],[Age]]&gt;44,"45+",IF(data[[#This Row],[Age]]&lt;18,"below 18 ")))))</f>
        <v>25-34</v>
      </c>
    </row>
    <row r="1439" spans="1:31" x14ac:dyDescent="0.25">
      <c r="A1439" t="s">
        <v>1492</v>
      </c>
      <c r="B1439">
        <v>44</v>
      </c>
      <c r="C1439" t="s">
        <v>31</v>
      </c>
      <c r="E1439" t="s">
        <v>58</v>
      </c>
      <c r="F1439" t="s">
        <v>41</v>
      </c>
      <c r="G1439">
        <v>5.4</v>
      </c>
      <c r="H1439">
        <v>1</v>
      </c>
      <c r="I1439">
        <v>2</v>
      </c>
      <c r="J1439" t="s">
        <v>35</v>
      </c>
      <c r="K1439" t="s">
        <v>36</v>
      </c>
      <c r="L1439">
        <v>50</v>
      </c>
      <c r="M1439">
        <v>2.1</v>
      </c>
      <c r="N1439">
        <v>3.8</v>
      </c>
      <c r="O1439">
        <v>3.1</v>
      </c>
      <c r="P1439">
        <v>4.3</v>
      </c>
      <c r="Q1439" t="s">
        <v>35</v>
      </c>
      <c r="R1439" t="s">
        <v>35</v>
      </c>
      <c r="S1439">
        <v>6.5</v>
      </c>
      <c r="T1439">
        <v>5.9</v>
      </c>
      <c r="U1439">
        <v>5.4</v>
      </c>
      <c r="V1439">
        <v>6</v>
      </c>
      <c r="X1439">
        <v>4.7</v>
      </c>
      <c r="Y1439">
        <v>8.3000000000000007</v>
      </c>
      <c r="Z1439">
        <v>5</v>
      </c>
      <c r="AA1439">
        <v>6</v>
      </c>
      <c r="AB1439">
        <v>4.3</v>
      </c>
      <c r="AC1439">
        <v>7.1</v>
      </c>
      <c r="AD1439" t="s">
        <v>53</v>
      </c>
      <c r="AE1439" t="str">
        <f>IF(AND(data[[#This Row],[Age]]&gt;=18,data[[#This Row],[Age]]&lt;=24),"18-24",IF(AND(data[[#This Row],[Age]]&gt;=25,data[[#This Row],[Age]]&lt;=34),"25-34",IF(AND(data[[#This Row],[Age]]&gt;35,data[[#This Row],[Age]]&lt;=44),"35-44",IF(data[[#This Row],[Age]]&gt;44,"45+",IF(data[[#This Row],[Age]]&lt;18,"below 18 ")))))</f>
        <v>35-44</v>
      </c>
    </row>
    <row r="1440" spans="1:31" x14ac:dyDescent="0.25">
      <c r="A1440" t="s">
        <v>1493</v>
      </c>
      <c r="B1440">
        <v>18</v>
      </c>
      <c r="C1440" t="s">
        <v>31</v>
      </c>
      <c r="D1440" t="s">
        <v>39</v>
      </c>
      <c r="E1440" t="s">
        <v>58</v>
      </c>
      <c r="F1440" t="s">
        <v>41</v>
      </c>
      <c r="G1440">
        <v>5.4</v>
      </c>
      <c r="H1440">
        <v>3</v>
      </c>
      <c r="I1440">
        <v>4</v>
      </c>
      <c r="J1440" t="s">
        <v>42</v>
      </c>
      <c r="K1440" t="s">
        <v>62</v>
      </c>
      <c r="L1440">
        <v>22</v>
      </c>
      <c r="M1440">
        <v>4.5</v>
      </c>
      <c r="N1440">
        <v>5.3</v>
      </c>
      <c r="O1440">
        <v>0.6</v>
      </c>
      <c r="P1440">
        <v>3.7</v>
      </c>
      <c r="Q1440" t="s">
        <v>42</v>
      </c>
      <c r="R1440" t="s">
        <v>35</v>
      </c>
      <c r="S1440">
        <v>4.9000000000000004</v>
      </c>
      <c r="T1440">
        <v>3</v>
      </c>
      <c r="U1440">
        <v>4.8</v>
      </c>
      <c r="V1440">
        <v>6.8</v>
      </c>
      <c r="W1440">
        <v>6.2</v>
      </c>
      <c r="X1440">
        <v>6.6</v>
      </c>
      <c r="Y1440">
        <v>6.9</v>
      </c>
      <c r="Z1440">
        <v>3.6</v>
      </c>
      <c r="AA1440">
        <v>1.2</v>
      </c>
      <c r="AB1440">
        <v>1.5</v>
      </c>
      <c r="AC1440">
        <v>7.3</v>
      </c>
      <c r="AD1440" t="s">
        <v>37</v>
      </c>
      <c r="AE1440" t="str">
        <f>IF(AND(data[[#This Row],[Age]]&gt;=18,data[[#This Row],[Age]]&lt;=24),"18-24",IF(AND(data[[#This Row],[Age]]&gt;=25,data[[#This Row],[Age]]&lt;=34),"25-34",IF(AND(data[[#This Row],[Age]]&gt;35,data[[#This Row],[Age]]&lt;=44),"35-44",IF(data[[#This Row],[Age]]&gt;44,"45+",IF(data[[#This Row],[Age]]&lt;18,"below 18 ")))))</f>
        <v>18-24</v>
      </c>
    </row>
    <row r="1441" spans="1:31" x14ac:dyDescent="0.25">
      <c r="A1441" t="s">
        <v>1494</v>
      </c>
      <c r="B1441">
        <v>33</v>
      </c>
      <c r="C1441" t="s">
        <v>31</v>
      </c>
      <c r="D1441" t="s">
        <v>57</v>
      </c>
      <c r="E1441" t="s">
        <v>58</v>
      </c>
      <c r="F1441" t="s">
        <v>41</v>
      </c>
      <c r="G1441">
        <v>2.4</v>
      </c>
      <c r="H1441">
        <v>3</v>
      </c>
      <c r="I1441">
        <v>3</v>
      </c>
      <c r="J1441" t="s">
        <v>35</v>
      </c>
      <c r="K1441" t="s">
        <v>62</v>
      </c>
      <c r="L1441">
        <v>69</v>
      </c>
      <c r="M1441">
        <v>5.8</v>
      </c>
      <c r="N1441">
        <v>2.2999999999999998</v>
      </c>
      <c r="O1441">
        <v>6.5</v>
      </c>
      <c r="P1441">
        <v>5.5</v>
      </c>
      <c r="Q1441" t="s">
        <v>42</v>
      </c>
      <c r="R1441" t="s">
        <v>42</v>
      </c>
      <c r="S1441">
        <v>5.9</v>
      </c>
      <c r="T1441">
        <v>4.9000000000000004</v>
      </c>
      <c r="U1441">
        <v>6.7</v>
      </c>
      <c r="V1441">
        <v>10</v>
      </c>
      <c r="W1441">
        <v>3.7</v>
      </c>
      <c r="X1441">
        <v>5.0999999999999996</v>
      </c>
      <c r="Y1441">
        <v>7.1</v>
      </c>
      <c r="Z1441">
        <v>6.6</v>
      </c>
      <c r="AA1441">
        <v>2.6</v>
      </c>
      <c r="AB1441">
        <v>0.4</v>
      </c>
      <c r="AC1441">
        <v>7.4</v>
      </c>
      <c r="AD1441" t="s">
        <v>37</v>
      </c>
      <c r="AE1441" t="str">
        <f>IF(AND(data[[#This Row],[Age]]&gt;=18,data[[#This Row],[Age]]&lt;=24),"18-24",IF(AND(data[[#This Row],[Age]]&gt;=25,data[[#This Row],[Age]]&lt;=34),"25-34",IF(AND(data[[#This Row],[Age]]&gt;35,data[[#This Row],[Age]]&lt;=44),"35-44",IF(data[[#This Row],[Age]]&gt;44,"45+",IF(data[[#This Row],[Age]]&lt;18,"below 18 ")))))</f>
        <v>25-34</v>
      </c>
    </row>
    <row r="1442" spans="1:31" x14ac:dyDescent="0.25">
      <c r="A1442" t="s">
        <v>1495</v>
      </c>
      <c r="B1442">
        <v>31</v>
      </c>
      <c r="C1442" t="s">
        <v>31</v>
      </c>
      <c r="D1442" t="s">
        <v>39</v>
      </c>
      <c r="E1442" t="s">
        <v>40</v>
      </c>
      <c r="F1442" t="s">
        <v>41</v>
      </c>
      <c r="G1442">
        <v>4</v>
      </c>
      <c r="H1442">
        <v>1</v>
      </c>
      <c r="I1442">
        <v>5</v>
      </c>
      <c r="J1442" t="s">
        <v>42</v>
      </c>
      <c r="K1442" t="s">
        <v>36</v>
      </c>
      <c r="L1442">
        <v>22</v>
      </c>
      <c r="M1442">
        <v>3.9</v>
      </c>
      <c r="N1442">
        <v>5</v>
      </c>
      <c r="O1442">
        <v>1.4</v>
      </c>
      <c r="P1442">
        <v>8</v>
      </c>
      <c r="Q1442" t="s">
        <v>35</v>
      </c>
      <c r="R1442" t="s">
        <v>42</v>
      </c>
      <c r="S1442">
        <v>3.8</v>
      </c>
      <c r="T1442">
        <v>3.7</v>
      </c>
      <c r="U1442">
        <v>2.8</v>
      </c>
      <c r="V1442">
        <v>6.5</v>
      </c>
      <c r="W1442">
        <v>4.7</v>
      </c>
      <c r="X1442">
        <v>4.9000000000000004</v>
      </c>
      <c r="Y1442">
        <v>2.8</v>
      </c>
      <c r="Z1442">
        <v>7</v>
      </c>
      <c r="AA1442">
        <v>1.4</v>
      </c>
      <c r="AB1442">
        <v>5.3</v>
      </c>
      <c r="AC1442">
        <v>5.7</v>
      </c>
      <c r="AD1442" t="s">
        <v>53</v>
      </c>
      <c r="AE1442" t="str">
        <f>IF(AND(data[[#This Row],[Age]]&gt;=18,data[[#This Row],[Age]]&lt;=24),"18-24",IF(AND(data[[#This Row],[Age]]&gt;=25,data[[#This Row],[Age]]&lt;=34),"25-34",IF(AND(data[[#This Row],[Age]]&gt;35,data[[#This Row],[Age]]&lt;=44),"35-44",IF(data[[#This Row],[Age]]&gt;44,"45+",IF(data[[#This Row],[Age]]&lt;18,"below 18 ")))))</f>
        <v>25-34</v>
      </c>
    </row>
    <row r="1443" spans="1:31" x14ac:dyDescent="0.25">
      <c r="A1443" t="s">
        <v>1496</v>
      </c>
      <c r="B1443">
        <v>28</v>
      </c>
      <c r="C1443" t="s">
        <v>47</v>
      </c>
      <c r="D1443" t="s">
        <v>39</v>
      </c>
      <c r="E1443" t="s">
        <v>33</v>
      </c>
      <c r="F1443" t="s">
        <v>34</v>
      </c>
      <c r="G1443">
        <v>4.5999999999999996</v>
      </c>
      <c r="H1443">
        <v>2</v>
      </c>
      <c r="I1443">
        <v>5</v>
      </c>
      <c r="J1443" t="s">
        <v>42</v>
      </c>
      <c r="K1443" t="s">
        <v>52</v>
      </c>
      <c r="L1443">
        <v>43</v>
      </c>
      <c r="M1443">
        <v>4.2</v>
      </c>
      <c r="N1443">
        <v>7.8</v>
      </c>
      <c r="O1443">
        <v>0</v>
      </c>
      <c r="P1443">
        <v>4.3</v>
      </c>
      <c r="Q1443" t="s">
        <v>42</v>
      </c>
      <c r="R1443" t="s">
        <v>42</v>
      </c>
      <c r="S1443">
        <v>0</v>
      </c>
      <c r="T1443">
        <v>5.6</v>
      </c>
      <c r="U1443">
        <v>3</v>
      </c>
      <c r="V1443">
        <v>4.8</v>
      </c>
      <c r="W1443">
        <v>7.2</v>
      </c>
      <c r="X1443">
        <v>7</v>
      </c>
      <c r="Y1443">
        <v>4.3</v>
      </c>
      <c r="Z1443">
        <v>1.4</v>
      </c>
      <c r="AA1443">
        <v>0.1</v>
      </c>
      <c r="AC1443">
        <v>8</v>
      </c>
      <c r="AD1443" t="s">
        <v>37</v>
      </c>
      <c r="AE1443" t="str">
        <f>IF(AND(data[[#This Row],[Age]]&gt;=18,data[[#This Row],[Age]]&lt;=24),"18-24",IF(AND(data[[#This Row],[Age]]&gt;=25,data[[#This Row],[Age]]&lt;=34),"25-34",IF(AND(data[[#This Row],[Age]]&gt;35,data[[#This Row],[Age]]&lt;=44),"35-44",IF(data[[#This Row],[Age]]&gt;44,"45+",IF(data[[#This Row],[Age]]&lt;18,"below 18 ")))))</f>
        <v>25-34</v>
      </c>
    </row>
    <row r="1444" spans="1:31" x14ac:dyDescent="0.25">
      <c r="A1444" t="s">
        <v>1497</v>
      </c>
      <c r="B1444">
        <v>36</v>
      </c>
      <c r="C1444" t="s">
        <v>47</v>
      </c>
      <c r="D1444" t="s">
        <v>39</v>
      </c>
      <c r="E1444" t="s">
        <v>58</v>
      </c>
      <c r="F1444" t="s">
        <v>70</v>
      </c>
      <c r="G1444">
        <v>6</v>
      </c>
      <c r="H1444">
        <v>2</v>
      </c>
      <c r="I1444">
        <v>7</v>
      </c>
      <c r="J1444" t="s">
        <v>42</v>
      </c>
      <c r="K1444" t="s">
        <v>36</v>
      </c>
      <c r="L1444">
        <v>129</v>
      </c>
      <c r="M1444">
        <v>8.4</v>
      </c>
      <c r="N1444">
        <v>4.7</v>
      </c>
      <c r="O1444">
        <v>3.5</v>
      </c>
      <c r="P1444">
        <v>8.1999999999999993</v>
      </c>
      <c r="Q1444" t="s">
        <v>42</v>
      </c>
      <c r="R1444" t="s">
        <v>42</v>
      </c>
      <c r="S1444">
        <v>3.6</v>
      </c>
      <c r="T1444">
        <v>2.9</v>
      </c>
      <c r="U1444">
        <v>6.2</v>
      </c>
      <c r="V1444">
        <v>4.4000000000000004</v>
      </c>
      <c r="W1444">
        <v>5.8</v>
      </c>
      <c r="Y1444">
        <v>7.8</v>
      </c>
      <c r="Z1444">
        <v>4</v>
      </c>
      <c r="AA1444">
        <v>2.2000000000000002</v>
      </c>
      <c r="AB1444">
        <v>4.4000000000000004</v>
      </c>
      <c r="AC1444">
        <v>3.9</v>
      </c>
      <c r="AD1444" t="s">
        <v>43</v>
      </c>
      <c r="AE1444" t="str">
        <f>IF(AND(data[[#This Row],[Age]]&gt;=18,data[[#This Row],[Age]]&lt;=24),"18-24",IF(AND(data[[#This Row],[Age]]&gt;=25,data[[#This Row],[Age]]&lt;=34),"25-34",IF(AND(data[[#This Row],[Age]]&gt;35,data[[#This Row],[Age]]&lt;=44),"35-44",IF(data[[#This Row],[Age]]&gt;44,"45+",IF(data[[#This Row],[Age]]&lt;18,"below 18 ")))))</f>
        <v>35-44</v>
      </c>
    </row>
    <row r="1445" spans="1:31" x14ac:dyDescent="0.25">
      <c r="A1445" t="s">
        <v>1498</v>
      </c>
      <c r="B1445">
        <v>39</v>
      </c>
      <c r="C1445" t="s">
        <v>31</v>
      </c>
      <c r="D1445" t="s">
        <v>32</v>
      </c>
      <c r="E1445" t="s">
        <v>58</v>
      </c>
      <c r="F1445" t="s">
        <v>41</v>
      </c>
      <c r="G1445">
        <v>3.4</v>
      </c>
      <c r="H1445">
        <v>8</v>
      </c>
      <c r="I1445">
        <v>4</v>
      </c>
      <c r="J1445" t="s">
        <v>42</v>
      </c>
      <c r="K1445" t="s">
        <v>52</v>
      </c>
      <c r="L1445">
        <v>11</v>
      </c>
      <c r="M1445">
        <v>6.6</v>
      </c>
      <c r="N1445">
        <v>2.1</v>
      </c>
      <c r="O1445">
        <v>8.9</v>
      </c>
      <c r="P1445">
        <v>4.3</v>
      </c>
      <c r="Q1445" t="s">
        <v>42</v>
      </c>
      <c r="R1445" t="s">
        <v>42</v>
      </c>
      <c r="S1445">
        <v>2.9</v>
      </c>
      <c r="T1445">
        <v>7.2</v>
      </c>
      <c r="U1445">
        <v>4.5999999999999996</v>
      </c>
      <c r="V1445">
        <v>7.5</v>
      </c>
      <c r="W1445">
        <v>2.9</v>
      </c>
      <c r="X1445">
        <v>7.3</v>
      </c>
      <c r="Y1445">
        <v>6.6</v>
      </c>
      <c r="Z1445">
        <v>7.3</v>
      </c>
      <c r="AA1445">
        <v>3.7</v>
      </c>
      <c r="AB1445">
        <v>1.7</v>
      </c>
      <c r="AC1445">
        <v>7.7</v>
      </c>
      <c r="AD1445" t="s">
        <v>53</v>
      </c>
      <c r="AE1445" t="str">
        <f>IF(AND(data[[#This Row],[Age]]&gt;=18,data[[#This Row],[Age]]&lt;=24),"18-24",IF(AND(data[[#This Row],[Age]]&gt;=25,data[[#This Row],[Age]]&lt;=34),"25-34",IF(AND(data[[#This Row],[Age]]&gt;35,data[[#This Row],[Age]]&lt;=44),"35-44",IF(data[[#This Row],[Age]]&gt;44,"45+",IF(data[[#This Row],[Age]]&lt;18,"below 18 ")))))</f>
        <v>35-44</v>
      </c>
    </row>
    <row r="1446" spans="1:31" x14ac:dyDescent="0.25">
      <c r="A1446" t="s">
        <v>1499</v>
      </c>
      <c r="B1446">
        <v>34</v>
      </c>
      <c r="C1446" t="s">
        <v>47</v>
      </c>
      <c r="D1446" t="s">
        <v>32</v>
      </c>
      <c r="E1446" t="s">
        <v>33</v>
      </c>
      <c r="F1446" t="s">
        <v>41</v>
      </c>
      <c r="G1446">
        <v>2.7</v>
      </c>
      <c r="H1446">
        <v>2</v>
      </c>
      <c r="I1446">
        <v>6</v>
      </c>
      <c r="J1446" t="s">
        <v>42</v>
      </c>
      <c r="K1446" t="s">
        <v>62</v>
      </c>
      <c r="L1446">
        <v>56</v>
      </c>
      <c r="M1446">
        <v>7.8</v>
      </c>
      <c r="N1446">
        <v>8</v>
      </c>
      <c r="O1446">
        <v>3.3</v>
      </c>
      <c r="P1446">
        <v>3.9</v>
      </c>
      <c r="Q1446" t="s">
        <v>35</v>
      </c>
      <c r="R1446" t="s">
        <v>42</v>
      </c>
      <c r="S1446">
        <v>4.3</v>
      </c>
      <c r="T1446">
        <v>1.4</v>
      </c>
      <c r="U1446">
        <v>4.4000000000000004</v>
      </c>
      <c r="V1446">
        <v>4.5999999999999996</v>
      </c>
      <c r="W1446">
        <v>4.3</v>
      </c>
      <c r="X1446">
        <v>4.8</v>
      </c>
      <c r="Y1446">
        <v>8.1</v>
      </c>
      <c r="Z1446">
        <v>3.1</v>
      </c>
      <c r="AA1446">
        <v>1.4</v>
      </c>
      <c r="AB1446">
        <v>3.4</v>
      </c>
      <c r="AC1446">
        <v>6.4</v>
      </c>
      <c r="AD1446" t="s">
        <v>53</v>
      </c>
      <c r="AE1446" t="str">
        <f>IF(AND(data[[#This Row],[Age]]&gt;=18,data[[#This Row],[Age]]&lt;=24),"18-24",IF(AND(data[[#This Row],[Age]]&gt;=25,data[[#This Row],[Age]]&lt;=34),"25-34",IF(AND(data[[#This Row],[Age]]&gt;35,data[[#This Row],[Age]]&lt;=44),"35-44",IF(data[[#This Row],[Age]]&gt;44,"45+",IF(data[[#This Row],[Age]]&lt;18,"below 18 ")))))</f>
        <v>25-34</v>
      </c>
    </row>
    <row r="1447" spans="1:31" x14ac:dyDescent="0.25">
      <c r="A1447" t="s">
        <v>1500</v>
      </c>
      <c r="B1447">
        <v>40</v>
      </c>
      <c r="C1447" t="s">
        <v>31</v>
      </c>
      <c r="E1447" t="s">
        <v>58</v>
      </c>
      <c r="F1447" t="s">
        <v>59</v>
      </c>
      <c r="G1447">
        <v>7.1</v>
      </c>
      <c r="H1447">
        <v>1</v>
      </c>
      <c r="I1447">
        <v>4</v>
      </c>
      <c r="J1447" t="s">
        <v>42</v>
      </c>
      <c r="K1447" t="s">
        <v>36</v>
      </c>
      <c r="L1447">
        <v>80</v>
      </c>
      <c r="M1447">
        <v>5.0999999999999996</v>
      </c>
      <c r="N1447">
        <v>2.9</v>
      </c>
      <c r="O1447">
        <v>4.8</v>
      </c>
      <c r="P1447">
        <v>5.8</v>
      </c>
      <c r="Q1447" t="s">
        <v>42</v>
      </c>
      <c r="R1447" t="s">
        <v>35</v>
      </c>
      <c r="S1447">
        <v>8.5</v>
      </c>
      <c r="T1447">
        <v>3.3</v>
      </c>
      <c r="U1447">
        <v>1.5</v>
      </c>
      <c r="V1447">
        <v>6.4</v>
      </c>
      <c r="W1447">
        <v>2.7</v>
      </c>
      <c r="X1447">
        <v>8.1</v>
      </c>
      <c r="Y1447">
        <v>7.3</v>
      </c>
      <c r="Z1447">
        <v>6.2</v>
      </c>
      <c r="AA1447">
        <v>4.0999999999999996</v>
      </c>
      <c r="AB1447">
        <v>1.9</v>
      </c>
      <c r="AC1447">
        <v>6.8</v>
      </c>
      <c r="AD1447" t="s">
        <v>53</v>
      </c>
      <c r="AE1447" t="str">
        <f>IF(AND(data[[#This Row],[Age]]&gt;=18,data[[#This Row],[Age]]&lt;=24),"18-24",IF(AND(data[[#This Row],[Age]]&gt;=25,data[[#This Row],[Age]]&lt;=34),"25-34",IF(AND(data[[#This Row],[Age]]&gt;35,data[[#This Row],[Age]]&lt;=44),"35-44",IF(data[[#This Row],[Age]]&gt;44,"45+",IF(data[[#This Row],[Age]]&lt;18,"below 18 ")))))</f>
        <v>35-44</v>
      </c>
    </row>
    <row r="1448" spans="1:31" x14ac:dyDescent="0.25">
      <c r="A1448" t="s">
        <v>1501</v>
      </c>
      <c r="B1448">
        <v>17</v>
      </c>
      <c r="C1448" t="s">
        <v>47</v>
      </c>
      <c r="D1448" t="s">
        <v>57</v>
      </c>
      <c r="E1448" t="s">
        <v>58</v>
      </c>
      <c r="F1448" t="s">
        <v>41</v>
      </c>
      <c r="G1448">
        <v>4.8</v>
      </c>
      <c r="H1448">
        <v>1</v>
      </c>
      <c r="I1448">
        <v>2</v>
      </c>
      <c r="J1448" t="s">
        <v>35</v>
      </c>
      <c r="K1448" t="s">
        <v>36</v>
      </c>
      <c r="L1448">
        <v>27</v>
      </c>
      <c r="M1448">
        <v>4.5</v>
      </c>
      <c r="N1448">
        <v>4.9000000000000004</v>
      </c>
      <c r="P1448">
        <v>4.5999999999999996</v>
      </c>
      <c r="Q1448" t="s">
        <v>42</v>
      </c>
      <c r="R1448" t="s">
        <v>35</v>
      </c>
      <c r="S1448">
        <v>9.1999999999999993</v>
      </c>
      <c r="T1448">
        <v>2.9</v>
      </c>
      <c r="U1448">
        <v>0.1</v>
      </c>
      <c r="V1448">
        <v>5</v>
      </c>
      <c r="W1448">
        <v>3.1</v>
      </c>
      <c r="X1448">
        <v>6.5</v>
      </c>
      <c r="Y1448">
        <v>6.2</v>
      </c>
      <c r="Z1448">
        <v>4.7</v>
      </c>
      <c r="AA1448">
        <v>2.1</v>
      </c>
      <c r="AB1448">
        <v>0</v>
      </c>
      <c r="AC1448">
        <v>5.8</v>
      </c>
      <c r="AD1448" t="s">
        <v>53</v>
      </c>
      <c r="AE1448" t="str">
        <f>IF(AND(data[[#This Row],[Age]]&gt;=18,data[[#This Row],[Age]]&lt;=24),"18-24",IF(AND(data[[#This Row],[Age]]&gt;=25,data[[#This Row],[Age]]&lt;=34),"25-34",IF(AND(data[[#This Row],[Age]]&gt;35,data[[#This Row],[Age]]&lt;=44),"35-44",IF(data[[#This Row],[Age]]&gt;44,"45+",IF(data[[#This Row],[Age]]&lt;18,"below 18 ")))))</f>
        <v xml:space="preserve">below 18 </v>
      </c>
    </row>
    <row r="1449" spans="1:31" x14ac:dyDescent="0.25">
      <c r="A1449" t="s">
        <v>1502</v>
      </c>
      <c r="B1449">
        <v>35</v>
      </c>
      <c r="C1449" t="s">
        <v>47</v>
      </c>
      <c r="D1449" t="s">
        <v>39</v>
      </c>
      <c r="E1449" t="s">
        <v>40</v>
      </c>
      <c r="F1449" t="s">
        <v>34</v>
      </c>
      <c r="G1449">
        <v>6.6</v>
      </c>
      <c r="H1449">
        <v>5</v>
      </c>
      <c r="I1449">
        <v>2</v>
      </c>
      <c r="J1449" t="s">
        <v>42</v>
      </c>
      <c r="K1449" t="s">
        <v>52</v>
      </c>
      <c r="L1449">
        <v>61</v>
      </c>
      <c r="M1449">
        <v>4.5999999999999996</v>
      </c>
      <c r="N1449">
        <v>6.3</v>
      </c>
      <c r="O1449">
        <v>6.7</v>
      </c>
      <c r="P1449">
        <v>5.8</v>
      </c>
      <c r="Q1449" t="s">
        <v>42</v>
      </c>
      <c r="R1449" t="s">
        <v>42</v>
      </c>
      <c r="S1449">
        <v>7.7</v>
      </c>
      <c r="T1449">
        <v>2.6</v>
      </c>
      <c r="U1449">
        <v>6.2</v>
      </c>
      <c r="V1449">
        <v>4.5</v>
      </c>
      <c r="W1449">
        <v>6.4</v>
      </c>
      <c r="X1449">
        <v>9.3000000000000007</v>
      </c>
      <c r="Y1449">
        <v>7.9</v>
      </c>
      <c r="Z1449">
        <v>5.7</v>
      </c>
      <c r="AA1449">
        <v>3</v>
      </c>
      <c r="AB1449">
        <v>1.1000000000000001</v>
      </c>
      <c r="AC1449">
        <v>4.4000000000000004</v>
      </c>
      <c r="AD1449" t="s">
        <v>43</v>
      </c>
      <c r="AE1449" t="b">
        <f>IF(AND(data[[#This Row],[Age]]&gt;=18,data[[#This Row],[Age]]&lt;=24),"18-24",IF(AND(data[[#This Row],[Age]]&gt;=25,data[[#This Row],[Age]]&lt;=34),"25-34",IF(AND(data[[#This Row],[Age]]&gt;35,data[[#This Row],[Age]]&lt;=44),"35-44",IF(data[[#This Row],[Age]]&gt;44,"45+",IF(data[[#This Row],[Age]]&lt;18,"below 18 ")))))</f>
        <v>0</v>
      </c>
    </row>
    <row r="1450" spans="1:31" x14ac:dyDescent="0.25">
      <c r="A1450" t="s">
        <v>1503</v>
      </c>
      <c r="B1450">
        <v>25</v>
      </c>
      <c r="C1450" t="s">
        <v>47</v>
      </c>
      <c r="D1450" t="s">
        <v>57</v>
      </c>
      <c r="E1450" t="s">
        <v>58</v>
      </c>
      <c r="F1450" t="s">
        <v>70</v>
      </c>
      <c r="G1450">
        <v>4.8</v>
      </c>
      <c r="H1450">
        <v>6</v>
      </c>
      <c r="I1450">
        <v>4</v>
      </c>
      <c r="J1450" t="s">
        <v>42</v>
      </c>
      <c r="K1450" t="s">
        <v>36</v>
      </c>
      <c r="L1450">
        <v>5</v>
      </c>
      <c r="M1450">
        <v>7.6</v>
      </c>
      <c r="N1450">
        <v>6.9</v>
      </c>
      <c r="O1450">
        <v>7.6</v>
      </c>
      <c r="P1450">
        <v>6</v>
      </c>
      <c r="Q1450" t="s">
        <v>42</v>
      </c>
      <c r="R1450" t="s">
        <v>42</v>
      </c>
      <c r="S1450">
        <v>5.4</v>
      </c>
      <c r="T1450">
        <v>5.8</v>
      </c>
      <c r="U1450">
        <v>5.6</v>
      </c>
      <c r="V1450">
        <v>3.1</v>
      </c>
      <c r="W1450">
        <v>6.8</v>
      </c>
      <c r="X1450">
        <v>8.1</v>
      </c>
      <c r="Y1450">
        <v>1.2</v>
      </c>
      <c r="Z1450">
        <v>6.1</v>
      </c>
      <c r="AA1450">
        <v>3.7</v>
      </c>
      <c r="AB1450">
        <v>2.4</v>
      </c>
      <c r="AC1450">
        <v>4.4000000000000004</v>
      </c>
      <c r="AD1450" t="s">
        <v>43</v>
      </c>
      <c r="AE1450" t="str">
        <f>IF(AND(data[[#This Row],[Age]]&gt;=18,data[[#This Row],[Age]]&lt;=24),"18-24",IF(AND(data[[#This Row],[Age]]&gt;=25,data[[#This Row],[Age]]&lt;=34),"25-34",IF(AND(data[[#This Row],[Age]]&gt;35,data[[#This Row],[Age]]&lt;=44),"35-44",IF(data[[#This Row],[Age]]&gt;44,"45+",IF(data[[#This Row],[Age]]&lt;18,"below 18 ")))))</f>
        <v>25-34</v>
      </c>
    </row>
    <row r="1451" spans="1:31" x14ac:dyDescent="0.25">
      <c r="A1451" t="s">
        <v>1504</v>
      </c>
      <c r="B1451">
        <v>42</v>
      </c>
      <c r="C1451" t="s">
        <v>31</v>
      </c>
      <c r="D1451" t="s">
        <v>64</v>
      </c>
      <c r="E1451" t="s">
        <v>40</v>
      </c>
      <c r="F1451" t="s">
        <v>34</v>
      </c>
      <c r="G1451">
        <v>3.2</v>
      </c>
      <c r="H1451">
        <v>4</v>
      </c>
      <c r="I1451">
        <v>5</v>
      </c>
      <c r="J1451" t="s">
        <v>42</v>
      </c>
      <c r="K1451" t="s">
        <v>36</v>
      </c>
      <c r="L1451">
        <v>32</v>
      </c>
      <c r="M1451">
        <v>6.2</v>
      </c>
      <c r="N1451">
        <v>5.6</v>
      </c>
      <c r="O1451">
        <v>5.9</v>
      </c>
      <c r="P1451">
        <v>2.4</v>
      </c>
      <c r="R1451" t="s">
        <v>35</v>
      </c>
      <c r="S1451">
        <v>3.9</v>
      </c>
      <c r="T1451">
        <v>3.5</v>
      </c>
      <c r="U1451">
        <v>4.9000000000000004</v>
      </c>
      <c r="V1451">
        <v>7.7</v>
      </c>
      <c r="W1451">
        <v>4.9000000000000004</v>
      </c>
      <c r="X1451">
        <v>8.4</v>
      </c>
      <c r="Y1451">
        <v>5.0999999999999996</v>
      </c>
      <c r="Z1451">
        <v>5.8</v>
      </c>
      <c r="AA1451">
        <v>8.6</v>
      </c>
      <c r="AB1451">
        <v>7.3</v>
      </c>
      <c r="AC1451">
        <v>7.6</v>
      </c>
      <c r="AD1451" t="s">
        <v>53</v>
      </c>
      <c r="AE1451" t="str">
        <f>IF(AND(data[[#This Row],[Age]]&gt;=18,data[[#This Row],[Age]]&lt;=24),"18-24",IF(AND(data[[#This Row],[Age]]&gt;=25,data[[#This Row],[Age]]&lt;=34),"25-34",IF(AND(data[[#This Row],[Age]]&gt;35,data[[#This Row],[Age]]&lt;=44),"35-44",IF(data[[#This Row],[Age]]&gt;44,"45+",IF(data[[#This Row],[Age]]&lt;18,"below 18 ")))))</f>
        <v>35-44</v>
      </c>
    </row>
    <row r="1452" spans="1:31" x14ac:dyDescent="0.25">
      <c r="A1452" t="s">
        <v>1505</v>
      </c>
      <c r="B1452">
        <v>40</v>
      </c>
      <c r="C1452" t="s">
        <v>31</v>
      </c>
      <c r="D1452" t="s">
        <v>39</v>
      </c>
      <c r="E1452" t="s">
        <v>33</v>
      </c>
      <c r="F1452" t="s">
        <v>34</v>
      </c>
      <c r="G1452">
        <v>4.5</v>
      </c>
      <c r="H1452">
        <v>1</v>
      </c>
      <c r="I1452">
        <v>3</v>
      </c>
      <c r="J1452" t="s">
        <v>42</v>
      </c>
      <c r="K1452" t="s">
        <v>36</v>
      </c>
      <c r="L1452">
        <v>76</v>
      </c>
      <c r="M1452">
        <v>6.5</v>
      </c>
      <c r="N1452">
        <v>5.3</v>
      </c>
      <c r="O1452">
        <v>5.8</v>
      </c>
      <c r="P1452">
        <v>7.2</v>
      </c>
      <c r="R1452" t="s">
        <v>35</v>
      </c>
      <c r="S1452">
        <v>5.2</v>
      </c>
      <c r="T1452">
        <v>5</v>
      </c>
      <c r="U1452">
        <v>8.3000000000000007</v>
      </c>
      <c r="V1452">
        <v>4.4000000000000004</v>
      </c>
      <c r="X1452">
        <v>8.3000000000000007</v>
      </c>
      <c r="Z1452">
        <v>3.8</v>
      </c>
      <c r="AA1452">
        <v>3.8</v>
      </c>
      <c r="AB1452">
        <v>4.4000000000000004</v>
      </c>
      <c r="AC1452">
        <v>5.7</v>
      </c>
      <c r="AD1452" t="s">
        <v>45</v>
      </c>
      <c r="AE1452" t="str">
        <f>IF(AND(data[[#This Row],[Age]]&gt;=18,data[[#This Row],[Age]]&lt;=24),"18-24",IF(AND(data[[#This Row],[Age]]&gt;=25,data[[#This Row],[Age]]&lt;=34),"25-34",IF(AND(data[[#This Row],[Age]]&gt;35,data[[#This Row],[Age]]&lt;=44),"35-44",IF(data[[#This Row],[Age]]&gt;44,"45+",IF(data[[#This Row],[Age]]&lt;18,"below 18 ")))))</f>
        <v>35-44</v>
      </c>
    </row>
    <row r="1453" spans="1:31" x14ac:dyDescent="0.25">
      <c r="A1453" t="s">
        <v>1506</v>
      </c>
      <c r="B1453">
        <v>36</v>
      </c>
      <c r="C1453" t="s">
        <v>31</v>
      </c>
      <c r="D1453" t="s">
        <v>39</v>
      </c>
      <c r="F1453" t="s">
        <v>48</v>
      </c>
      <c r="G1453">
        <v>0.5</v>
      </c>
      <c r="H1453">
        <v>5</v>
      </c>
      <c r="I1453">
        <v>2</v>
      </c>
      <c r="J1453" t="s">
        <v>35</v>
      </c>
      <c r="K1453" t="s">
        <v>62</v>
      </c>
      <c r="L1453">
        <v>75</v>
      </c>
      <c r="M1453">
        <v>6.8</v>
      </c>
      <c r="N1453">
        <v>4.9000000000000004</v>
      </c>
      <c r="O1453">
        <v>8.1</v>
      </c>
      <c r="P1453">
        <v>4.5999999999999996</v>
      </c>
      <c r="Q1453" t="s">
        <v>42</v>
      </c>
      <c r="R1453" t="s">
        <v>35</v>
      </c>
      <c r="S1453">
        <v>1.4</v>
      </c>
      <c r="T1453">
        <v>6.1</v>
      </c>
      <c r="U1453">
        <v>3.8</v>
      </c>
      <c r="V1453">
        <v>4.9000000000000004</v>
      </c>
      <c r="W1453">
        <v>7.4</v>
      </c>
      <c r="X1453">
        <v>4.2</v>
      </c>
      <c r="Y1453">
        <v>2.8</v>
      </c>
      <c r="Z1453">
        <v>7.2</v>
      </c>
      <c r="AA1453">
        <v>3.9</v>
      </c>
      <c r="AB1453">
        <v>2.2999999999999998</v>
      </c>
      <c r="AC1453">
        <v>8.6</v>
      </c>
      <c r="AD1453" t="s">
        <v>37</v>
      </c>
      <c r="AE1453" t="str">
        <f>IF(AND(data[[#This Row],[Age]]&gt;=18,data[[#This Row],[Age]]&lt;=24),"18-24",IF(AND(data[[#This Row],[Age]]&gt;=25,data[[#This Row],[Age]]&lt;=34),"25-34",IF(AND(data[[#This Row],[Age]]&gt;35,data[[#This Row],[Age]]&lt;=44),"35-44",IF(data[[#This Row],[Age]]&gt;44,"45+",IF(data[[#This Row],[Age]]&lt;18,"below 18 ")))))</f>
        <v>35-44</v>
      </c>
    </row>
    <row r="1454" spans="1:31" x14ac:dyDescent="0.25">
      <c r="A1454" t="s">
        <v>1507</v>
      </c>
      <c r="B1454">
        <v>32</v>
      </c>
      <c r="C1454" t="s">
        <v>31</v>
      </c>
      <c r="D1454" t="s">
        <v>39</v>
      </c>
      <c r="E1454" t="s">
        <v>58</v>
      </c>
      <c r="F1454" t="s">
        <v>41</v>
      </c>
      <c r="G1454">
        <v>6.7</v>
      </c>
      <c r="H1454">
        <v>2</v>
      </c>
      <c r="I1454">
        <v>2</v>
      </c>
      <c r="J1454" t="s">
        <v>35</v>
      </c>
      <c r="K1454" t="s">
        <v>52</v>
      </c>
      <c r="L1454">
        <v>53</v>
      </c>
      <c r="M1454">
        <v>7</v>
      </c>
      <c r="N1454">
        <v>3.9</v>
      </c>
      <c r="O1454">
        <v>4.5999999999999996</v>
      </c>
      <c r="P1454">
        <v>7.1</v>
      </c>
      <c r="Q1454" t="s">
        <v>35</v>
      </c>
      <c r="R1454" t="s">
        <v>35</v>
      </c>
      <c r="S1454">
        <v>7.6</v>
      </c>
      <c r="T1454">
        <v>3.8</v>
      </c>
      <c r="U1454">
        <v>2.4</v>
      </c>
      <c r="V1454">
        <v>6.5</v>
      </c>
      <c r="W1454">
        <v>6.6</v>
      </c>
      <c r="X1454">
        <v>7.3</v>
      </c>
      <c r="Y1454">
        <v>7.4</v>
      </c>
      <c r="Z1454">
        <v>5.6</v>
      </c>
      <c r="AA1454">
        <v>2</v>
      </c>
      <c r="AB1454">
        <v>2.2000000000000002</v>
      </c>
      <c r="AC1454">
        <v>6.6</v>
      </c>
      <c r="AD1454" t="s">
        <v>53</v>
      </c>
      <c r="AE1454" t="str">
        <f>IF(AND(data[[#This Row],[Age]]&gt;=18,data[[#This Row],[Age]]&lt;=24),"18-24",IF(AND(data[[#This Row],[Age]]&gt;=25,data[[#This Row],[Age]]&lt;=34),"25-34",IF(AND(data[[#This Row],[Age]]&gt;35,data[[#This Row],[Age]]&lt;=44),"35-44",IF(data[[#This Row],[Age]]&gt;44,"45+",IF(data[[#This Row],[Age]]&lt;18,"below 18 ")))))</f>
        <v>25-34</v>
      </c>
    </row>
    <row r="1455" spans="1:31" x14ac:dyDescent="0.25">
      <c r="A1455" t="s">
        <v>1508</v>
      </c>
      <c r="B1455">
        <v>22</v>
      </c>
      <c r="C1455" t="s">
        <v>47</v>
      </c>
      <c r="D1455" t="s">
        <v>32</v>
      </c>
      <c r="E1455" t="s">
        <v>40</v>
      </c>
      <c r="F1455" t="s">
        <v>70</v>
      </c>
      <c r="G1455">
        <v>5.7</v>
      </c>
      <c r="H1455">
        <v>2</v>
      </c>
      <c r="I1455">
        <v>10</v>
      </c>
      <c r="J1455" t="s">
        <v>42</v>
      </c>
      <c r="K1455" t="s">
        <v>36</v>
      </c>
      <c r="L1455">
        <v>74</v>
      </c>
      <c r="M1455">
        <v>7.4</v>
      </c>
      <c r="N1455">
        <v>8.4</v>
      </c>
      <c r="O1455">
        <v>7.4</v>
      </c>
      <c r="P1455">
        <v>6.5</v>
      </c>
      <c r="Q1455" t="s">
        <v>35</v>
      </c>
      <c r="R1455" t="s">
        <v>42</v>
      </c>
      <c r="S1455">
        <v>6.4</v>
      </c>
      <c r="T1455">
        <v>5.8</v>
      </c>
      <c r="U1455">
        <v>2.2999999999999998</v>
      </c>
      <c r="W1455">
        <v>8.6</v>
      </c>
      <c r="X1455">
        <v>8.1999999999999993</v>
      </c>
      <c r="Y1455">
        <v>5.5</v>
      </c>
      <c r="Z1455">
        <v>5.8</v>
      </c>
      <c r="AA1455">
        <v>0</v>
      </c>
      <c r="AB1455">
        <v>2.2999999999999998</v>
      </c>
      <c r="AC1455">
        <v>3</v>
      </c>
      <c r="AD1455" t="s">
        <v>43</v>
      </c>
      <c r="AE1455" t="str">
        <f>IF(AND(data[[#This Row],[Age]]&gt;=18,data[[#This Row],[Age]]&lt;=24),"18-24",IF(AND(data[[#This Row],[Age]]&gt;=25,data[[#This Row],[Age]]&lt;=34),"25-34",IF(AND(data[[#This Row],[Age]]&gt;35,data[[#This Row],[Age]]&lt;=44),"35-44",IF(data[[#This Row],[Age]]&gt;44,"45+",IF(data[[#This Row],[Age]]&lt;18,"below 18 ")))))</f>
        <v>18-24</v>
      </c>
    </row>
    <row r="1456" spans="1:31" x14ac:dyDescent="0.25">
      <c r="A1456" t="s">
        <v>1509</v>
      </c>
      <c r="B1456">
        <v>37</v>
      </c>
      <c r="C1456" t="s">
        <v>50</v>
      </c>
      <c r="D1456" t="s">
        <v>39</v>
      </c>
      <c r="E1456" t="s">
        <v>33</v>
      </c>
      <c r="F1456" t="s">
        <v>51</v>
      </c>
      <c r="G1456">
        <v>7.1</v>
      </c>
      <c r="H1456">
        <v>2</v>
      </c>
      <c r="I1456">
        <v>2</v>
      </c>
      <c r="J1456" t="s">
        <v>35</v>
      </c>
      <c r="K1456" t="s">
        <v>36</v>
      </c>
      <c r="L1456">
        <v>51</v>
      </c>
      <c r="M1456">
        <v>10</v>
      </c>
      <c r="N1456">
        <v>7.4</v>
      </c>
      <c r="O1456">
        <v>3.1</v>
      </c>
      <c r="P1456">
        <v>4.3</v>
      </c>
      <c r="Q1456" t="s">
        <v>42</v>
      </c>
      <c r="R1456" t="s">
        <v>42</v>
      </c>
      <c r="S1456">
        <v>2.4</v>
      </c>
      <c r="T1456">
        <v>3.6</v>
      </c>
      <c r="U1456">
        <v>4.7</v>
      </c>
      <c r="V1456">
        <v>4.7</v>
      </c>
      <c r="W1456">
        <v>4.3</v>
      </c>
      <c r="X1456">
        <v>3.7</v>
      </c>
      <c r="Y1456">
        <v>5.8</v>
      </c>
      <c r="Z1456">
        <v>4.0999999999999996</v>
      </c>
      <c r="AA1456">
        <v>3.6</v>
      </c>
      <c r="AB1456">
        <v>5.3</v>
      </c>
      <c r="AC1456">
        <v>4.9000000000000004</v>
      </c>
      <c r="AD1456" t="s">
        <v>43</v>
      </c>
      <c r="AE1456" t="str">
        <f>IF(AND(data[[#This Row],[Age]]&gt;=18,data[[#This Row],[Age]]&lt;=24),"18-24",IF(AND(data[[#This Row],[Age]]&gt;=25,data[[#This Row],[Age]]&lt;=34),"25-34",IF(AND(data[[#This Row],[Age]]&gt;35,data[[#This Row],[Age]]&lt;=44),"35-44",IF(data[[#This Row],[Age]]&gt;44,"45+",IF(data[[#This Row],[Age]]&lt;18,"below 18 ")))))</f>
        <v>35-44</v>
      </c>
    </row>
    <row r="1457" spans="1:31" x14ac:dyDescent="0.25">
      <c r="A1457" t="s">
        <v>1510</v>
      </c>
      <c r="B1457">
        <v>21</v>
      </c>
      <c r="C1457" t="s">
        <v>31</v>
      </c>
      <c r="D1457" t="s">
        <v>57</v>
      </c>
      <c r="E1457" t="s">
        <v>58</v>
      </c>
      <c r="F1457" t="s">
        <v>70</v>
      </c>
      <c r="G1457">
        <v>4</v>
      </c>
      <c r="H1457">
        <v>6</v>
      </c>
      <c r="I1457">
        <v>6</v>
      </c>
      <c r="J1457" t="s">
        <v>35</v>
      </c>
      <c r="K1457" t="s">
        <v>36</v>
      </c>
      <c r="L1457">
        <v>5</v>
      </c>
      <c r="M1457">
        <v>1.6</v>
      </c>
      <c r="N1457">
        <v>2.9</v>
      </c>
      <c r="O1457">
        <v>4.5</v>
      </c>
      <c r="P1457">
        <v>2.2999999999999998</v>
      </c>
      <c r="Q1457" t="s">
        <v>35</v>
      </c>
      <c r="R1457" t="s">
        <v>35</v>
      </c>
      <c r="S1457">
        <v>4.3</v>
      </c>
      <c r="T1457">
        <v>5.4</v>
      </c>
      <c r="U1457">
        <v>5</v>
      </c>
      <c r="V1457">
        <v>5.8</v>
      </c>
      <c r="W1457">
        <v>5.9</v>
      </c>
      <c r="X1457">
        <v>6.6</v>
      </c>
      <c r="Y1457">
        <v>2.9</v>
      </c>
      <c r="AA1457">
        <v>1.3</v>
      </c>
      <c r="AB1457">
        <v>1.6</v>
      </c>
      <c r="AC1457">
        <v>8.9</v>
      </c>
      <c r="AD1457" t="s">
        <v>37</v>
      </c>
      <c r="AE1457" t="str">
        <f>IF(AND(data[[#This Row],[Age]]&gt;=18,data[[#This Row],[Age]]&lt;=24),"18-24",IF(AND(data[[#This Row],[Age]]&gt;=25,data[[#This Row],[Age]]&lt;=34),"25-34",IF(AND(data[[#This Row],[Age]]&gt;35,data[[#This Row],[Age]]&lt;=44),"35-44",IF(data[[#This Row],[Age]]&gt;44,"45+",IF(data[[#This Row],[Age]]&lt;18,"below 18 ")))))</f>
        <v>18-24</v>
      </c>
    </row>
    <row r="1458" spans="1:31" x14ac:dyDescent="0.25">
      <c r="A1458" t="s">
        <v>1511</v>
      </c>
      <c r="B1458">
        <v>30</v>
      </c>
      <c r="C1458" t="s">
        <v>47</v>
      </c>
      <c r="D1458" t="s">
        <v>39</v>
      </c>
      <c r="E1458" t="s">
        <v>58</v>
      </c>
      <c r="F1458" t="s">
        <v>59</v>
      </c>
      <c r="G1458">
        <v>8.8000000000000007</v>
      </c>
      <c r="H1458">
        <v>6</v>
      </c>
      <c r="I1458">
        <v>5</v>
      </c>
      <c r="J1458" t="s">
        <v>35</v>
      </c>
      <c r="K1458" t="s">
        <v>36</v>
      </c>
      <c r="L1458">
        <v>80</v>
      </c>
      <c r="M1458">
        <v>4.8</v>
      </c>
      <c r="N1458">
        <v>5.6</v>
      </c>
      <c r="P1458">
        <v>7.6</v>
      </c>
      <c r="Q1458" t="s">
        <v>42</v>
      </c>
      <c r="R1458" t="s">
        <v>42</v>
      </c>
      <c r="S1458">
        <v>2</v>
      </c>
      <c r="T1458">
        <v>3.5</v>
      </c>
      <c r="U1458">
        <v>6.8</v>
      </c>
      <c r="V1458">
        <v>7.8</v>
      </c>
      <c r="W1458">
        <v>2.9</v>
      </c>
      <c r="X1458">
        <v>5</v>
      </c>
      <c r="Y1458">
        <v>3.5</v>
      </c>
      <c r="Z1458">
        <v>6.5</v>
      </c>
      <c r="AA1458">
        <v>1.3</v>
      </c>
      <c r="AB1458">
        <v>3.3</v>
      </c>
      <c r="AC1458">
        <v>4.2</v>
      </c>
      <c r="AD1458" t="s">
        <v>43</v>
      </c>
      <c r="AE1458" t="str">
        <f>IF(AND(data[[#This Row],[Age]]&gt;=18,data[[#This Row],[Age]]&lt;=24),"18-24",IF(AND(data[[#This Row],[Age]]&gt;=25,data[[#This Row],[Age]]&lt;=34),"25-34",IF(AND(data[[#This Row],[Age]]&gt;35,data[[#This Row],[Age]]&lt;=44),"35-44",IF(data[[#This Row],[Age]]&gt;44,"45+",IF(data[[#This Row],[Age]]&lt;18,"below 18 ")))))</f>
        <v>25-34</v>
      </c>
    </row>
    <row r="1459" spans="1:31" x14ac:dyDescent="0.25">
      <c r="A1459" t="s">
        <v>1512</v>
      </c>
      <c r="B1459">
        <v>43</v>
      </c>
      <c r="C1459" t="s">
        <v>31</v>
      </c>
      <c r="D1459" t="s">
        <v>64</v>
      </c>
      <c r="E1459" t="s">
        <v>33</v>
      </c>
      <c r="F1459" t="s">
        <v>34</v>
      </c>
      <c r="G1459">
        <v>7.2</v>
      </c>
      <c r="H1459">
        <v>6</v>
      </c>
      <c r="I1459">
        <v>3</v>
      </c>
      <c r="J1459" t="s">
        <v>42</v>
      </c>
      <c r="K1459" t="s">
        <v>62</v>
      </c>
      <c r="L1459">
        <v>96</v>
      </c>
      <c r="M1459">
        <v>5.6</v>
      </c>
      <c r="N1459">
        <v>4.7</v>
      </c>
      <c r="O1459">
        <v>4.7</v>
      </c>
      <c r="P1459">
        <v>4</v>
      </c>
      <c r="Q1459" t="s">
        <v>35</v>
      </c>
      <c r="R1459" t="s">
        <v>42</v>
      </c>
      <c r="S1459">
        <v>5.0999999999999996</v>
      </c>
      <c r="T1459">
        <v>4.4000000000000004</v>
      </c>
      <c r="U1459">
        <v>4.0999999999999996</v>
      </c>
      <c r="W1459">
        <v>5.8</v>
      </c>
      <c r="X1459">
        <v>6.6</v>
      </c>
      <c r="Y1459">
        <v>6.1</v>
      </c>
      <c r="Z1459">
        <v>6.6</v>
      </c>
      <c r="AA1459">
        <v>1.3</v>
      </c>
      <c r="AB1459">
        <v>1.1000000000000001</v>
      </c>
      <c r="AC1459">
        <v>6.3</v>
      </c>
      <c r="AD1459" t="s">
        <v>53</v>
      </c>
      <c r="AE1459" t="str">
        <f>IF(AND(data[[#This Row],[Age]]&gt;=18,data[[#This Row],[Age]]&lt;=24),"18-24",IF(AND(data[[#This Row],[Age]]&gt;=25,data[[#This Row],[Age]]&lt;=34),"25-34",IF(AND(data[[#This Row],[Age]]&gt;35,data[[#This Row],[Age]]&lt;=44),"35-44",IF(data[[#This Row],[Age]]&gt;44,"45+",IF(data[[#This Row],[Age]]&lt;18,"below 18 ")))))</f>
        <v>35-44</v>
      </c>
    </row>
    <row r="1460" spans="1:31" x14ac:dyDescent="0.25">
      <c r="A1460" t="s">
        <v>1513</v>
      </c>
      <c r="B1460">
        <v>42</v>
      </c>
      <c r="C1460" t="s">
        <v>50</v>
      </c>
      <c r="D1460" t="s">
        <v>39</v>
      </c>
      <c r="E1460" t="s">
        <v>58</v>
      </c>
      <c r="F1460" t="s">
        <v>51</v>
      </c>
      <c r="G1460">
        <v>0.7</v>
      </c>
      <c r="H1460">
        <v>2</v>
      </c>
      <c r="I1460">
        <v>2</v>
      </c>
      <c r="J1460" t="s">
        <v>35</v>
      </c>
      <c r="K1460" t="s">
        <v>36</v>
      </c>
      <c r="L1460">
        <v>54</v>
      </c>
      <c r="M1460">
        <v>4.8</v>
      </c>
      <c r="N1460">
        <v>4.2</v>
      </c>
      <c r="O1460">
        <v>3.7</v>
      </c>
      <c r="P1460">
        <v>0</v>
      </c>
      <c r="Q1460" t="s">
        <v>35</v>
      </c>
      <c r="R1460" t="s">
        <v>42</v>
      </c>
      <c r="S1460">
        <v>0.3</v>
      </c>
      <c r="T1460">
        <v>3.2</v>
      </c>
      <c r="U1460">
        <v>2.7</v>
      </c>
      <c r="V1460">
        <v>5.9</v>
      </c>
      <c r="W1460">
        <v>4.0999999999999996</v>
      </c>
      <c r="X1460">
        <v>7.6</v>
      </c>
      <c r="Y1460">
        <v>8.9</v>
      </c>
      <c r="Z1460">
        <v>1.2</v>
      </c>
      <c r="AA1460">
        <v>1.2</v>
      </c>
      <c r="AB1460">
        <v>3.2</v>
      </c>
      <c r="AC1460">
        <v>7.2</v>
      </c>
      <c r="AD1460" t="s">
        <v>37</v>
      </c>
      <c r="AE1460" t="str">
        <f>IF(AND(data[[#This Row],[Age]]&gt;=18,data[[#This Row],[Age]]&lt;=24),"18-24",IF(AND(data[[#This Row],[Age]]&gt;=25,data[[#This Row],[Age]]&lt;=34),"25-34",IF(AND(data[[#This Row],[Age]]&gt;35,data[[#This Row],[Age]]&lt;=44),"35-44",IF(data[[#This Row],[Age]]&gt;44,"45+",IF(data[[#This Row],[Age]]&lt;18,"below 18 ")))))</f>
        <v>35-44</v>
      </c>
    </row>
    <row r="1461" spans="1:31" x14ac:dyDescent="0.25">
      <c r="A1461" t="s">
        <v>1514</v>
      </c>
      <c r="B1461">
        <v>18</v>
      </c>
      <c r="C1461" t="s">
        <v>31</v>
      </c>
      <c r="D1461" t="s">
        <v>39</v>
      </c>
      <c r="E1461" t="s">
        <v>58</v>
      </c>
      <c r="F1461" t="s">
        <v>41</v>
      </c>
      <c r="G1461">
        <v>0.7</v>
      </c>
      <c r="H1461">
        <v>3</v>
      </c>
      <c r="I1461">
        <v>7</v>
      </c>
      <c r="J1461" t="s">
        <v>35</v>
      </c>
      <c r="K1461" t="s">
        <v>52</v>
      </c>
      <c r="L1461">
        <v>98</v>
      </c>
      <c r="M1461">
        <v>5.8</v>
      </c>
      <c r="N1461">
        <v>5.0999999999999996</v>
      </c>
      <c r="O1461">
        <v>6.4</v>
      </c>
      <c r="P1461">
        <v>7.2</v>
      </c>
      <c r="Q1461" t="s">
        <v>42</v>
      </c>
      <c r="R1461" t="s">
        <v>35</v>
      </c>
      <c r="S1461">
        <v>7.2</v>
      </c>
      <c r="T1461">
        <v>8</v>
      </c>
      <c r="U1461">
        <v>4.8</v>
      </c>
      <c r="V1461">
        <v>3.9</v>
      </c>
      <c r="W1461">
        <v>6.6</v>
      </c>
      <c r="X1461">
        <v>5.6</v>
      </c>
      <c r="Y1461">
        <v>5.2</v>
      </c>
      <c r="Z1461">
        <v>7.9</v>
      </c>
      <c r="AB1461">
        <v>4</v>
      </c>
      <c r="AC1461">
        <v>7.3</v>
      </c>
      <c r="AD1461" t="s">
        <v>37</v>
      </c>
      <c r="AE1461" t="str">
        <f>IF(AND(data[[#This Row],[Age]]&gt;=18,data[[#This Row],[Age]]&lt;=24),"18-24",IF(AND(data[[#This Row],[Age]]&gt;=25,data[[#This Row],[Age]]&lt;=34),"25-34",IF(AND(data[[#This Row],[Age]]&gt;35,data[[#This Row],[Age]]&lt;=44),"35-44",IF(data[[#This Row],[Age]]&gt;44,"45+",IF(data[[#This Row],[Age]]&lt;18,"below 18 ")))))</f>
        <v>18-24</v>
      </c>
    </row>
    <row r="1462" spans="1:31" x14ac:dyDescent="0.25">
      <c r="A1462" t="s">
        <v>1515</v>
      </c>
      <c r="B1462">
        <v>28</v>
      </c>
      <c r="C1462" t="s">
        <v>31</v>
      </c>
      <c r="D1462" t="s">
        <v>32</v>
      </c>
      <c r="E1462" t="s">
        <v>33</v>
      </c>
      <c r="F1462" t="s">
        <v>70</v>
      </c>
      <c r="G1462">
        <v>5.0999999999999996</v>
      </c>
      <c r="H1462">
        <v>5</v>
      </c>
      <c r="I1462">
        <v>0</v>
      </c>
      <c r="J1462" t="s">
        <v>35</v>
      </c>
      <c r="K1462" t="s">
        <v>52</v>
      </c>
      <c r="L1462">
        <v>19</v>
      </c>
      <c r="M1462">
        <v>7</v>
      </c>
      <c r="N1462">
        <v>5.4</v>
      </c>
      <c r="O1462">
        <v>4.4000000000000004</v>
      </c>
      <c r="P1462">
        <v>4</v>
      </c>
      <c r="Q1462" t="s">
        <v>35</v>
      </c>
      <c r="R1462" t="s">
        <v>42</v>
      </c>
      <c r="S1462">
        <v>4</v>
      </c>
      <c r="T1462">
        <v>2.4</v>
      </c>
      <c r="U1462">
        <v>6.4</v>
      </c>
      <c r="V1462">
        <v>1.6</v>
      </c>
      <c r="W1462">
        <v>4.5</v>
      </c>
      <c r="X1462">
        <v>5.2</v>
      </c>
      <c r="Y1462">
        <v>1.6</v>
      </c>
      <c r="Z1462">
        <v>4.0999999999999996</v>
      </c>
      <c r="AA1462">
        <v>6.3</v>
      </c>
      <c r="AB1462">
        <v>3.7</v>
      </c>
      <c r="AC1462">
        <v>6.2</v>
      </c>
      <c r="AD1462" t="s">
        <v>53</v>
      </c>
      <c r="AE1462" t="str">
        <f>IF(AND(data[[#This Row],[Age]]&gt;=18,data[[#This Row],[Age]]&lt;=24),"18-24",IF(AND(data[[#This Row],[Age]]&gt;=25,data[[#This Row],[Age]]&lt;=34),"25-34",IF(AND(data[[#This Row],[Age]]&gt;35,data[[#This Row],[Age]]&lt;=44),"35-44",IF(data[[#This Row],[Age]]&gt;44,"45+",IF(data[[#This Row],[Age]]&lt;18,"below 18 ")))))</f>
        <v>25-34</v>
      </c>
    </row>
    <row r="1463" spans="1:31" x14ac:dyDescent="0.25">
      <c r="A1463" t="s">
        <v>1516</v>
      </c>
      <c r="B1463">
        <v>24</v>
      </c>
      <c r="C1463" t="s">
        <v>31</v>
      </c>
      <c r="D1463" t="s">
        <v>32</v>
      </c>
      <c r="E1463" t="s">
        <v>58</v>
      </c>
      <c r="F1463" t="s">
        <v>41</v>
      </c>
      <c r="G1463">
        <v>1.5</v>
      </c>
      <c r="H1463">
        <v>4</v>
      </c>
      <c r="I1463">
        <v>3</v>
      </c>
      <c r="J1463" t="s">
        <v>35</v>
      </c>
      <c r="K1463" t="s">
        <v>36</v>
      </c>
      <c r="L1463">
        <v>67</v>
      </c>
      <c r="M1463">
        <v>7.6</v>
      </c>
      <c r="N1463">
        <v>5.9</v>
      </c>
      <c r="O1463">
        <v>5.5</v>
      </c>
      <c r="P1463">
        <v>6.5</v>
      </c>
      <c r="Q1463" t="s">
        <v>35</v>
      </c>
      <c r="R1463" t="s">
        <v>35</v>
      </c>
      <c r="T1463">
        <v>0.4</v>
      </c>
      <c r="U1463">
        <v>7.8</v>
      </c>
      <c r="V1463">
        <v>9.5</v>
      </c>
      <c r="X1463">
        <v>3</v>
      </c>
      <c r="Y1463">
        <v>0.8</v>
      </c>
      <c r="AA1463">
        <v>4.4000000000000004</v>
      </c>
      <c r="AB1463">
        <v>4.5999999999999996</v>
      </c>
      <c r="AC1463">
        <v>6.4</v>
      </c>
      <c r="AD1463" t="s">
        <v>53</v>
      </c>
      <c r="AE1463" t="str">
        <f>IF(AND(data[[#This Row],[Age]]&gt;=18,data[[#This Row],[Age]]&lt;=24),"18-24",IF(AND(data[[#This Row],[Age]]&gt;=25,data[[#This Row],[Age]]&lt;=34),"25-34",IF(AND(data[[#This Row],[Age]]&gt;35,data[[#This Row],[Age]]&lt;=44),"35-44",IF(data[[#This Row],[Age]]&gt;44,"45+",IF(data[[#This Row],[Age]]&lt;18,"below 18 ")))))</f>
        <v>18-24</v>
      </c>
    </row>
    <row r="1464" spans="1:31" x14ac:dyDescent="0.25">
      <c r="A1464" t="s">
        <v>1517</v>
      </c>
      <c r="B1464">
        <v>40</v>
      </c>
      <c r="C1464" t="s">
        <v>31</v>
      </c>
      <c r="D1464" t="s">
        <v>39</v>
      </c>
      <c r="E1464" t="s">
        <v>33</v>
      </c>
      <c r="F1464" t="s">
        <v>34</v>
      </c>
      <c r="G1464">
        <v>4.2</v>
      </c>
      <c r="H1464">
        <v>6</v>
      </c>
      <c r="I1464">
        <v>1</v>
      </c>
      <c r="J1464" t="s">
        <v>35</v>
      </c>
      <c r="K1464" t="s">
        <v>36</v>
      </c>
      <c r="L1464">
        <v>48</v>
      </c>
      <c r="M1464">
        <v>6.8</v>
      </c>
      <c r="N1464">
        <v>9.1999999999999993</v>
      </c>
      <c r="O1464">
        <v>8.6999999999999993</v>
      </c>
      <c r="P1464">
        <v>5.0999999999999996</v>
      </c>
      <c r="Q1464" t="s">
        <v>42</v>
      </c>
      <c r="R1464" t="s">
        <v>42</v>
      </c>
      <c r="S1464">
        <v>6.3</v>
      </c>
      <c r="T1464">
        <v>9.6</v>
      </c>
      <c r="U1464">
        <v>0</v>
      </c>
      <c r="V1464">
        <v>8.8000000000000007</v>
      </c>
      <c r="W1464">
        <v>4.7</v>
      </c>
      <c r="X1464">
        <v>7</v>
      </c>
      <c r="Y1464">
        <v>1.2</v>
      </c>
      <c r="Z1464">
        <v>5.3</v>
      </c>
      <c r="AA1464">
        <v>1.1000000000000001</v>
      </c>
      <c r="AB1464">
        <v>2.5</v>
      </c>
      <c r="AC1464">
        <v>4.7</v>
      </c>
      <c r="AD1464" t="s">
        <v>43</v>
      </c>
      <c r="AE1464" t="str">
        <f>IF(AND(data[[#This Row],[Age]]&gt;=18,data[[#This Row],[Age]]&lt;=24),"18-24",IF(AND(data[[#This Row],[Age]]&gt;=25,data[[#This Row],[Age]]&lt;=34),"25-34",IF(AND(data[[#This Row],[Age]]&gt;35,data[[#This Row],[Age]]&lt;=44),"35-44",IF(data[[#This Row],[Age]]&gt;44,"45+",IF(data[[#This Row],[Age]]&lt;18,"below 18 ")))))</f>
        <v>35-44</v>
      </c>
    </row>
    <row r="1465" spans="1:31" x14ac:dyDescent="0.25">
      <c r="A1465" t="s">
        <v>1518</v>
      </c>
      <c r="B1465">
        <v>29</v>
      </c>
      <c r="C1465" t="s">
        <v>31</v>
      </c>
      <c r="D1465" t="s">
        <v>39</v>
      </c>
      <c r="E1465" t="s">
        <v>33</v>
      </c>
      <c r="F1465" t="s">
        <v>48</v>
      </c>
      <c r="G1465">
        <v>4.0999999999999996</v>
      </c>
      <c r="H1465">
        <v>3</v>
      </c>
      <c r="I1465">
        <v>2</v>
      </c>
      <c r="J1465" t="s">
        <v>35</v>
      </c>
      <c r="K1465" t="s">
        <v>36</v>
      </c>
      <c r="L1465">
        <v>9</v>
      </c>
      <c r="M1465">
        <v>4</v>
      </c>
      <c r="N1465">
        <v>3.2</v>
      </c>
      <c r="O1465">
        <v>7.5</v>
      </c>
      <c r="P1465">
        <v>7.6</v>
      </c>
      <c r="Q1465" t="s">
        <v>42</v>
      </c>
      <c r="R1465" t="s">
        <v>42</v>
      </c>
      <c r="S1465">
        <v>4.2</v>
      </c>
      <c r="T1465">
        <v>0.7</v>
      </c>
      <c r="U1465">
        <v>3.7</v>
      </c>
      <c r="V1465">
        <v>5.6</v>
      </c>
      <c r="W1465">
        <v>6.4</v>
      </c>
      <c r="X1465">
        <v>3.4</v>
      </c>
      <c r="Y1465">
        <v>5.4</v>
      </c>
      <c r="Z1465">
        <v>7</v>
      </c>
      <c r="AA1465">
        <v>3.2</v>
      </c>
      <c r="AB1465">
        <v>5.3</v>
      </c>
      <c r="AC1465">
        <v>8</v>
      </c>
      <c r="AD1465" t="s">
        <v>37</v>
      </c>
      <c r="AE1465" t="str">
        <f>IF(AND(data[[#This Row],[Age]]&gt;=18,data[[#This Row],[Age]]&lt;=24),"18-24",IF(AND(data[[#This Row],[Age]]&gt;=25,data[[#This Row],[Age]]&lt;=34),"25-34",IF(AND(data[[#This Row],[Age]]&gt;35,data[[#This Row],[Age]]&lt;=44),"35-44",IF(data[[#This Row],[Age]]&gt;44,"45+",IF(data[[#This Row],[Age]]&lt;18,"below 18 ")))))</f>
        <v>25-34</v>
      </c>
    </row>
    <row r="1466" spans="1:31" x14ac:dyDescent="0.25">
      <c r="A1466" t="s">
        <v>1519</v>
      </c>
      <c r="B1466">
        <v>28</v>
      </c>
      <c r="C1466" t="s">
        <v>50</v>
      </c>
      <c r="D1466" t="s">
        <v>39</v>
      </c>
      <c r="E1466" t="s">
        <v>40</v>
      </c>
      <c r="F1466" t="s">
        <v>41</v>
      </c>
      <c r="G1466">
        <v>3.8</v>
      </c>
      <c r="H1466">
        <v>4</v>
      </c>
      <c r="I1466">
        <v>1</v>
      </c>
      <c r="J1466" t="s">
        <v>35</v>
      </c>
      <c r="K1466" t="s">
        <v>62</v>
      </c>
      <c r="L1466">
        <v>45</v>
      </c>
      <c r="M1466">
        <v>9</v>
      </c>
      <c r="N1466">
        <v>8</v>
      </c>
      <c r="O1466">
        <v>7.2</v>
      </c>
      <c r="P1466">
        <v>3.8</v>
      </c>
      <c r="Q1466" t="s">
        <v>42</v>
      </c>
      <c r="R1466" t="s">
        <v>35</v>
      </c>
      <c r="S1466">
        <v>4.5999999999999996</v>
      </c>
      <c r="T1466">
        <v>1.7</v>
      </c>
      <c r="U1466">
        <v>3.4</v>
      </c>
      <c r="V1466">
        <v>7.5</v>
      </c>
      <c r="W1466">
        <v>3.5</v>
      </c>
      <c r="X1466">
        <v>7</v>
      </c>
      <c r="Z1466">
        <v>6.9</v>
      </c>
      <c r="AA1466">
        <v>2.2999999999999998</v>
      </c>
      <c r="AB1466">
        <v>3.6</v>
      </c>
      <c r="AC1466">
        <v>7.6</v>
      </c>
      <c r="AD1466" t="s">
        <v>37</v>
      </c>
      <c r="AE1466" t="str">
        <f>IF(AND(data[[#This Row],[Age]]&gt;=18,data[[#This Row],[Age]]&lt;=24),"18-24",IF(AND(data[[#This Row],[Age]]&gt;=25,data[[#This Row],[Age]]&lt;=34),"25-34",IF(AND(data[[#This Row],[Age]]&gt;35,data[[#This Row],[Age]]&lt;=44),"35-44",IF(data[[#This Row],[Age]]&gt;44,"45+",IF(data[[#This Row],[Age]]&lt;18,"below 18 ")))))</f>
        <v>25-34</v>
      </c>
    </row>
    <row r="1467" spans="1:31" x14ac:dyDescent="0.25">
      <c r="A1467" t="s">
        <v>1520</v>
      </c>
      <c r="B1467">
        <v>24</v>
      </c>
      <c r="D1467" t="s">
        <v>39</v>
      </c>
      <c r="E1467" t="s">
        <v>33</v>
      </c>
      <c r="F1467" t="s">
        <v>48</v>
      </c>
      <c r="G1467">
        <v>7.8</v>
      </c>
      <c r="H1467">
        <v>6</v>
      </c>
      <c r="I1467">
        <v>2</v>
      </c>
      <c r="J1467" t="s">
        <v>42</v>
      </c>
      <c r="K1467" t="s">
        <v>52</v>
      </c>
      <c r="L1467">
        <v>103</v>
      </c>
      <c r="M1467">
        <v>7.5</v>
      </c>
      <c r="N1467">
        <v>5.4</v>
      </c>
      <c r="O1467">
        <v>8.5</v>
      </c>
      <c r="P1467">
        <v>5.7</v>
      </c>
      <c r="Q1467" t="s">
        <v>42</v>
      </c>
      <c r="R1467" t="s">
        <v>42</v>
      </c>
      <c r="S1467">
        <v>6.1</v>
      </c>
      <c r="T1467">
        <v>2.8</v>
      </c>
      <c r="U1467">
        <v>6.6</v>
      </c>
      <c r="V1467">
        <v>2</v>
      </c>
      <c r="W1467">
        <v>5.7</v>
      </c>
      <c r="X1467">
        <v>9</v>
      </c>
      <c r="Y1467">
        <v>1.5</v>
      </c>
      <c r="Z1467">
        <v>5</v>
      </c>
      <c r="AA1467">
        <v>1.4</v>
      </c>
      <c r="AB1467">
        <v>4.9000000000000004</v>
      </c>
      <c r="AC1467">
        <v>4.4000000000000004</v>
      </c>
      <c r="AD1467" t="s">
        <v>43</v>
      </c>
      <c r="AE1467" t="str">
        <f>IF(AND(data[[#This Row],[Age]]&gt;=18,data[[#This Row],[Age]]&lt;=24),"18-24",IF(AND(data[[#This Row],[Age]]&gt;=25,data[[#This Row],[Age]]&lt;=34),"25-34",IF(AND(data[[#This Row],[Age]]&gt;35,data[[#This Row],[Age]]&lt;=44),"35-44",IF(data[[#This Row],[Age]]&gt;44,"45+",IF(data[[#This Row],[Age]]&lt;18,"below 18 ")))))</f>
        <v>18-24</v>
      </c>
    </row>
    <row r="1468" spans="1:31" x14ac:dyDescent="0.25">
      <c r="A1468" t="s">
        <v>1521</v>
      </c>
      <c r="B1468">
        <v>23</v>
      </c>
      <c r="C1468" t="s">
        <v>31</v>
      </c>
      <c r="D1468" t="s">
        <v>32</v>
      </c>
      <c r="E1468" t="s">
        <v>33</v>
      </c>
      <c r="F1468" t="s">
        <v>70</v>
      </c>
      <c r="G1468">
        <v>5.8</v>
      </c>
      <c r="H1468">
        <v>2</v>
      </c>
      <c r="I1468">
        <v>1</v>
      </c>
      <c r="J1468" t="s">
        <v>35</v>
      </c>
      <c r="K1468" t="s">
        <v>36</v>
      </c>
      <c r="L1468">
        <v>98</v>
      </c>
      <c r="M1468">
        <v>3.7</v>
      </c>
      <c r="N1468">
        <v>5.5</v>
      </c>
      <c r="O1468">
        <v>1.3</v>
      </c>
      <c r="P1468">
        <v>7.1</v>
      </c>
      <c r="Q1468" t="s">
        <v>42</v>
      </c>
      <c r="R1468" t="s">
        <v>35</v>
      </c>
      <c r="S1468">
        <v>6.7</v>
      </c>
      <c r="T1468">
        <v>4.0999999999999996</v>
      </c>
      <c r="U1468">
        <v>3.6</v>
      </c>
      <c r="V1468">
        <v>6.6</v>
      </c>
      <c r="X1468">
        <v>7.4</v>
      </c>
      <c r="Y1468">
        <v>2.4</v>
      </c>
      <c r="Z1468">
        <v>3.9</v>
      </c>
      <c r="AB1468">
        <v>3.8</v>
      </c>
      <c r="AC1468">
        <v>6.8</v>
      </c>
      <c r="AD1468" t="s">
        <v>53</v>
      </c>
      <c r="AE1468" t="str">
        <f>IF(AND(data[[#This Row],[Age]]&gt;=18,data[[#This Row],[Age]]&lt;=24),"18-24",IF(AND(data[[#This Row],[Age]]&gt;=25,data[[#This Row],[Age]]&lt;=34),"25-34",IF(AND(data[[#This Row],[Age]]&gt;35,data[[#This Row],[Age]]&lt;=44),"35-44",IF(data[[#This Row],[Age]]&gt;44,"45+",IF(data[[#This Row],[Age]]&lt;18,"below 18 ")))))</f>
        <v>18-24</v>
      </c>
    </row>
    <row r="1469" spans="1:31" x14ac:dyDescent="0.25">
      <c r="A1469" t="s">
        <v>1522</v>
      </c>
      <c r="B1469">
        <v>23</v>
      </c>
      <c r="C1469" t="s">
        <v>47</v>
      </c>
      <c r="D1469" t="s">
        <v>32</v>
      </c>
      <c r="E1469" t="s">
        <v>58</v>
      </c>
      <c r="F1469" t="s">
        <v>34</v>
      </c>
      <c r="G1469">
        <v>5.9</v>
      </c>
      <c r="H1469">
        <v>4</v>
      </c>
      <c r="I1469">
        <v>6</v>
      </c>
      <c r="J1469" t="s">
        <v>42</v>
      </c>
      <c r="K1469" t="s">
        <v>62</v>
      </c>
      <c r="L1469">
        <v>63</v>
      </c>
      <c r="M1469">
        <v>6.6</v>
      </c>
      <c r="N1469">
        <v>5.2</v>
      </c>
      <c r="O1469">
        <v>7.5</v>
      </c>
      <c r="P1469">
        <v>6.1</v>
      </c>
      <c r="Q1469" t="s">
        <v>35</v>
      </c>
      <c r="R1469" t="s">
        <v>42</v>
      </c>
      <c r="S1469">
        <v>7.7</v>
      </c>
      <c r="T1469">
        <v>6.3</v>
      </c>
      <c r="V1469">
        <v>6</v>
      </c>
      <c r="W1469">
        <v>5.3</v>
      </c>
      <c r="X1469">
        <v>5</v>
      </c>
      <c r="Y1469">
        <v>6.8</v>
      </c>
      <c r="Z1469">
        <v>7.3</v>
      </c>
      <c r="AA1469">
        <v>2.7</v>
      </c>
      <c r="AB1469">
        <v>3.3</v>
      </c>
      <c r="AC1469">
        <v>5.8</v>
      </c>
      <c r="AD1469" t="s">
        <v>45</v>
      </c>
      <c r="AE1469" t="str">
        <f>IF(AND(data[[#This Row],[Age]]&gt;=18,data[[#This Row],[Age]]&lt;=24),"18-24",IF(AND(data[[#This Row],[Age]]&gt;=25,data[[#This Row],[Age]]&lt;=34),"25-34",IF(AND(data[[#This Row],[Age]]&gt;35,data[[#This Row],[Age]]&lt;=44),"35-44",IF(data[[#This Row],[Age]]&gt;44,"45+",IF(data[[#This Row],[Age]]&lt;18,"below 18 ")))))</f>
        <v>18-24</v>
      </c>
    </row>
    <row r="1470" spans="1:31" x14ac:dyDescent="0.25">
      <c r="A1470" t="s">
        <v>1523</v>
      </c>
      <c r="B1470">
        <v>21</v>
      </c>
      <c r="C1470" t="s">
        <v>47</v>
      </c>
      <c r="D1470" t="s">
        <v>39</v>
      </c>
      <c r="E1470" t="s">
        <v>58</v>
      </c>
      <c r="F1470" t="s">
        <v>48</v>
      </c>
      <c r="G1470">
        <v>5</v>
      </c>
      <c r="H1470">
        <v>3</v>
      </c>
      <c r="I1470">
        <v>3</v>
      </c>
      <c r="J1470" t="s">
        <v>42</v>
      </c>
      <c r="K1470" t="s">
        <v>52</v>
      </c>
      <c r="L1470">
        <v>5</v>
      </c>
      <c r="M1470">
        <v>8.6</v>
      </c>
      <c r="N1470">
        <v>2.9</v>
      </c>
      <c r="O1470">
        <v>4.3</v>
      </c>
      <c r="P1470">
        <v>8.3000000000000007</v>
      </c>
      <c r="Q1470" t="s">
        <v>42</v>
      </c>
      <c r="R1470" t="s">
        <v>35</v>
      </c>
      <c r="S1470">
        <v>1.7</v>
      </c>
      <c r="T1470">
        <v>3.7</v>
      </c>
      <c r="U1470">
        <v>5.4</v>
      </c>
      <c r="V1470">
        <v>6.4</v>
      </c>
      <c r="W1470">
        <v>4.5999999999999996</v>
      </c>
      <c r="X1470">
        <v>5.0999999999999996</v>
      </c>
      <c r="Y1470">
        <v>6.1</v>
      </c>
      <c r="Z1470">
        <v>7.8</v>
      </c>
      <c r="AA1470">
        <v>4.5999999999999996</v>
      </c>
      <c r="AB1470">
        <v>5.2</v>
      </c>
      <c r="AC1470">
        <v>7.5</v>
      </c>
      <c r="AD1470" t="s">
        <v>37</v>
      </c>
      <c r="AE1470" t="str">
        <f>IF(AND(data[[#This Row],[Age]]&gt;=18,data[[#This Row],[Age]]&lt;=24),"18-24",IF(AND(data[[#This Row],[Age]]&gt;=25,data[[#This Row],[Age]]&lt;=34),"25-34",IF(AND(data[[#This Row],[Age]]&gt;35,data[[#This Row],[Age]]&lt;=44),"35-44",IF(data[[#This Row],[Age]]&gt;44,"45+",IF(data[[#This Row],[Age]]&lt;18,"below 18 ")))))</f>
        <v>18-24</v>
      </c>
    </row>
    <row r="1471" spans="1:31" x14ac:dyDescent="0.25">
      <c r="A1471" t="s">
        <v>1524</v>
      </c>
      <c r="B1471">
        <v>35</v>
      </c>
      <c r="C1471" t="s">
        <v>31</v>
      </c>
      <c r="D1471" t="s">
        <v>39</v>
      </c>
      <c r="E1471" t="s">
        <v>58</v>
      </c>
      <c r="F1471" t="s">
        <v>41</v>
      </c>
      <c r="G1471">
        <v>11</v>
      </c>
      <c r="H1471">
        <v>4</v>
      </c>
      <c r="I1471">
        <v>7</v>
      </c>
      <c r="J1471" t="s">
        <v>42</v>
      </c>
      <c r="K1471" t="s">
        <v>36</v>
      </c>
      <c r="L1471">
        <v>18</v>
      </c>
      <c r="M1471">
        <v>5.6</v>
      </c>
      <c r="N1471">
        <v>8.1</v>
      </c>
      <c r="O1471">
        <v>3.7</v>
      </c>
      <c r="P1471">
        <v>2.5</v>
      </c>
      <c r="Q1471" t="s">
        <v>35</v>
      </c>
      <c r="R1471" t="s">
        <v>35</v>
      </c>
      <c r="S1471">
        <v>9.9</v>
      </c>
      <c r="T1471">
        <v>2.1</v>
      </c>
      <c r="U1471">
        <v>7.2</v>
      </c>
      <c r="V1471">
        <v>5</v>
      </c>
      <c r="W1471">
        <v>7.7</v>
      </c>
      <c r="X1471">
        <v>8.8000000000000007</v>
      </c>
      <c r="Y1471">
        <v>5</v>
      </c>
      <c r="Z1471">
        <v>5.3</v>
      </c>
      <c r="AA1471">
        <v>6.7</v>
      </c>
      <c r="AB1471">
        <v>0</v>
      </c>
      <c r="AC1471">
        <v>4.7</v>
      </c>
      <c r="AD1471" t="s">
        <v>43</v>
      </c>
      <c r="AE1471" t="b">
        <f>IF(AND(data[[#This Row],[Age]]&gt;=18,data[[#This Row],[Age]]&lt;=24),"18-24",IF(AND(data[[#This Row],[Age]]&gt;=25,data[[#This Row],[Age]]&lt;=34),"25-34",IF(AND(data[[#This Row],[Age]]&gt;35,data[[#This Row],[Age]]&lt;=44),"35-44",IF(data[[#This Row],[Age]]&gt;44,"45+",IF(data[[#This Row],[Age]]&lt;18,"below 18 ")))))</f>
        <v>0</v>
      </c>
    </row>
    <row r="1472" spans="1:31" x14ac:dyDescent="0.25">
      <c r="A1472" t="s">
        <v>1525</v>
      </c>
      <c r="B1472">
        <v>22</v>
      </c>
      <c r="C1472" t="s">
        <v>50</v>
      </c>
      <c r="D1472" t="s">
        <v>57</v>
      </c>
      <c r="E1472" t="s">
        <v>33</v>
      </c>
      <c r="F1472" t="s">
        <v>41</v>
      </c>
      <c r="G1472">
        <v>7.4</v>
      </c>
      <c r="H1472">
        <v>2</v>
      </c>
      <c r="I1472">
        <v>2</v>
      </c>
      <c r="J1472" t="s">
        <v>42</v>
      </c>
      <c r="K1472" t="s">
        <v>36</v>
      </c>
      <c r="L1472">
        <v>43</v>
      </c>
      <c r="M1472">
        <v>6.8</v>
      </c>
      <c r="N1472">
        <v>6</v>
      </c>
      <c r="O1472">
        <v>2.6</v>
      </c>
      <c r="P1472">
        <v>3.7</v>
      </c>
      <c r="Q1472" t="s">
        <v>42</v>
      </c>
      <c r="R1472" t="s">
        <v>42</v>
      </c>
      <c r="S1472">
        <v>7.5</v>
      </c>
      <c r="T1472">
        <v>4.2</v>
      </c>
      <c r="U1472">
        <v>4.0999999999999996</v>
      </c>
      <c r="V1472">
        <v>2</v>
      </c>
      <c r="W1472">
        <v>6.5</v>
      </c>
      <c r="X1472">
        <v>5</v>
      </c>
      <c r="Y1472">
        <v>5</v>
      </c>
      <c r="Z1472">
        <v>7.7</v>
      </c>
      <c r="AA1472">
        <v>6.3</v>
      </c>
      <c r="AB1472">
        <v>0</v>
      </c>
      <c r="AC1472">
        <v>4.9000000000000004</v>
      </c>
      <c r="AD1472" t="s">
        <v>43</v>
      </c>
      <c r="AE1472" t="str">
        <f>IF(AND(data[[#This Row],[Age]]&gt;=18,data[[#This Row],[Age]]&lt;=24),"18-24",IF(AND(data[[#This Row],[Age]]&gt;=25,data[[#This Row],[Age]]&lt;=34),"25-34",IF(AND(data[[#This Row],[Age]]&gt;35,data[[#This Row],[Age]]&lt;=44),"35-44",IF(data[[#This Row],[Age]]&gt;44,"45+",IF(data[[#This Row],[Age]]&lt;18,"below 18 ")))))</f>
        <v>18-24</v>
      </c>
    </row>
    <row r="1473" spans="1:31" x14ac:dyDescent="0.25">
      <c r="A1473" t="s">
        <v>1526</v>
      </c>
      <c r="B1473">
        <v>35</v>
      </c>
      <c r="C1473" t="s">
        <v>31</v>
      </c>
      <c r="D1473" t="s">
        <v>39</v>
      </c>
      <c r="E1473" t="s">
        <v>33</v>
      </c>
      <c r="F1473" t="s">
        <v>34</v>
      </c>
      <c r="G1473">
        <v>3</v>
      </c>
      <c r="H1473">
        <v>2</v>
      </c>
      <c r="I1473">
        <v>3</v>
      </c>
      <c r="J1473" t="s">
        <v>42</v>
      </c>
      <c r="K1473" t="s">
        <v>36</v>
      </c>
      <c r="L1473">
        <v>93</v>
      </c>
      <c r="M1473">
        <v>9.9</v>
      </c>
      <c r="N1473">
        <v>6.7</v>
      </c>
      <c r="O1473">
        <v>7.9</v>
      </c>
      <c r="P1473">
        <v>7</v>
      </c>
      <c r="Q1473" t="s">
        <v>42</v>
      </c>
      <c r="R1473" t="s">
        <v>42</v>
      </c>
      <c r="S1473">
        <v>5.2</v>
      </c>
      <c r="T1473">
        <v>2.8</v>
      </c>
      <c r="U1473">
        <v>5.2</v>
      </c>
      <c r="V1473">
        <v>6.1</v>
      </c>
      <c r="W1473">
        <v>5.7</v>
      </c>
      <c r="X1473">
        <v>6.4</v>
      </c>
      <c r="Y1473">
        <v>4.8</v>
      </c>
      <c r="Z1473">
        <v>6.8</v>
      </c>
      <c r="AA1473">
        <v>6.7</v>
      </c>
      <c r="AB1473">
        <v>1.8</v>
      </c>
      <c r="AC1473">
        <v>5.0999999999999996</v>
      </c>
      <c r="AD1473" t="s">
        <v>43</v>
      </c>
      <c r="AE1473" t="b">
        <f>IF(AND(data[[#This Row],[Age]]&gt;=18,data[[#This Row],[Age]]&lt;=24),"18-24",IF(AND(data[[#This Row],[Age]]&gt;=25,data[[#This Row],[Age]]&lt;=34),"25-34",IF(AND(data[[#This Row],[Age]]&gt;35,data[[#This Row],[Age]]&lt;=44),"35-44",IF(data[[#This Row],[Age]]&gt;44,"45+",IF(data[[#This Row],[Age]]&lt;18,"below 18 ")))))</f>
        <v>0</v>
      </c>
    </row>
    <row r="1474" spans="1:31" x14ac:dyDescent="0.25">
      <c r="A1474" t="s">
        <v>1527</v>
      </c>
      <c r="B1474">
        <v>23</v>
      </c>
      <c r="C1474" t="s">
        <v>47</v>
      </c>
      <c r="D1474" t="s">
        <v>32</v>
      </c>
      <c r="E1474" t="s">
        <v>58</v>
      </c>
      <c r="F1474" t="s">
        <v>34</v>
      </c>
      <c r="G1474">
        <v>5.7</v>
      </c>
      <c r="H1474">
        <v>7</v>
      </c>
      <c r="I1474">
        <v>2</v>
      </c>
      <c r="J1474" t="s">
        <v>42</v>
      </c>
      <c r="K1474" t="s">
        <v>36</v>
      </c>
      <c r="L1474">
        <v>78</v>
      </c>
      <c r="M1474">
        <v>4.8</v>
      </c>
      <c r="N1474">
        <v>5.5</v>
      </c>
      <c r="O1474">
        <v>3.3</v>
      </c>
      <c r="P1474">
        <v>7</v>
      </c>
      <c r="Q1474" t="s">
        <v>42</v>
      </c>
      <c r="R1474" t="s">
        <v>42</v>
      </c>
      <c r="S1474">
        <v>9.3000000000000007</v>
      </c>
      <c r="T1474">
        <v>2.7</v>
      </c>
      <c r="U1474">
        <v>5.2</v>
      </c>
      <c r="V1474">
        <v>7.7</v>
      </c>
      <c r="W1474">
        <v>6.2</v>
      </c>
      <c r="X1474">
        <v>6.9</v>
      </c>
      <c r="Y1474">
        <v>9.5</v>
      </c>
      <c r="Z1474">
        <v>9.3000000000000007</v>
      </c>
      <c r="AA1474">
        <v>3.3</v>
      </c>
      <c r="AB1474">
        <v>0.5</v>
      </c>
      <c r="AC1474">
        <v>4.8</v>
      </c>
      <c r="AD1474" t="s">
        <v>43</v>
      </c>
      <c r="AE1474" t="str">
        <f>IF(AND(data[[#This Row],[Age]]&gt;=18,data[[#This Row],[Age]]&lt;=24),"18-24",IF(AND(data[[#This Row],[Age]]&gt;=25,data[[#This Row],[Age]]&lt;=34),"25-34",IF(AND(data[[#This Row],[Age]]&gt;35,data[[#This Row],[Age]]&lt;=44),"35-44",IF(data[[#This Row],[Age]]&gt;44,"45+",IF(data[[#This Row],[Age]]&lt;18,"below 18 ")))))</f>
        <v>18-24</v>
      </c>
    </row>
    <row r="1475" spans="1:31" x14ac:dyDescent="0.25">
      <c r="A1475" t="s">
        <v>1528</v>
      </c>
      <c r="B1475">
        <v>31</v>
      </c>
      <c r="C1475" t="s">
        <v>31</v>
      </c>
      <c r="D1475" t="s">
        <v>39</v>
      </c>
      <c r="E1475" t="s">
        <v>58</v>
      </c>
      <c r="F1475" t="s">
        <v>48</v>
      </c>
      <c r="G1475">
        <v>2.9</v>
      </c>
      <c r="H1475">
        <v>1</v>
      </c>
      <c r="I1475">
        <v>1</v>
      </c>
      <c r="J1475" t="s">
        <v>42</v>
      </c>
      <c r="K1475" t="s">
        <v>36</v>
      </c>
      <c r="L1475">
        <v>34</v>
      </c>
      <c r="M1475">
        <v>5.8</v>
      </c>
      <c r="N1475">
        <v>7</v>
      </c>
      <c r="O1475">
        <v>5.8</v>
      </c>
      <c r="P1475">
        <v>4.2</v>
      </c>
      <c r="Q1475" t="s">
        <v>42</v>
      </c>
      <c r="R1475" t="s">
        <v>35</v>
      </c>
      <c r="S1475">
        <v>7.1</v>
      </c>
      <c r="U1475">
        <v>7</v>
      </c>
      <c r="V1475">
        <v>3.5</v>
      </c>
      <c r="W1475">
        <v>9.5</v>
      </c>
      <c r="X1475">
        <v>5.5</v>
      </c>
      <c r="Y1475">
        <v>7.5</v>
      </c>
      <c r="Z1475">
        <v>4.8</v>
      </c>
      <c r="AA1475">
        <v>2.1</v>
      </c>
      <c r="AB1475">
        <v>4.2</v>
      </c>
      <c r="AC1475">
        <v>7.3</v>
      </c>
      <c r="AD1475" t="s">
        <v>53</v>
      </c>
      <c r="AE1475" t="str">
        <f>IF(AND(data[[#This Row],[Age]]&gt;=18,data[[#This Row],[Age]]&lt;=24),"18-24",IF(AND(data[[#This Row],[Age]]&gt;=25,data[[#This Row],[Age]]&lt;=34),"25-34",IF(AND(data[[#This Row],[Age]]&gt;35,data[[#This Row],[Age]]&lt;=44),"35-44",IF(data[[#This Row],[Age]]&gt;44,"45+",IF(data[[#This Row],[Age]]&lt;18,"below 18 ")))))</f>
        <v>25-34</v>
      </c>
    </row>
    <row r="1476" spans="1:31" x14ac:dyDescent="0.25">
      <c r="A1476" t="s">
        <v>1529</v>
      </c>
      <c r="B1476">
        <v>15</v>
      </c>
      <c r="C1476" t="s">
        <v>47</v>
      </c>
      <c r="D1476" t="s">
        <v>39</v>
      </c>
      <c r="E1476" t="s">
        <v>33</v>
      </c>
      <c r="F1476" t="s">
        <v>34</v>
      </c>
      <c r="G1476">
        <v>4.0999999999999996</v>
      </c>
      <c r="H1476">
        <v>4</v>
      </c>
      <c r="I1476">
        <v>3</v>
      </c>
      <c r="J1476" t="s">
        <v>35</v>
      </c>
      <c r="K1476" t="s">
        <v>62</v>
      </c>
      <c r="L1476">
        <v>111</v>
      </c>
      <c r="M1476">
        <v>2.5</v>
      </c>
      <c r="N1476">
        <v>5.2</v>
      </c>
      <c r="O1476">
        <v>5.2</v>
      </c>
      <c r="P1476">
        <v>5.0999999999999996</v>
      </c>
      <c r="Q1476" t="s">
        <v>42</v>
      </c>
      <c r="R1476" t="s">
        <v>35</v>
      </c>
      <c r="S1476">
        <v>3.3</v>
      </c>
      <c r="T1476">
        <v>4.5999999999999996</v>
      </c>
      <c r="U1476">
        <v>4.4000000000000004</v>
      </c>
      <c r="V1476">
        <v>5.5</v>
      </c>
      <c r="W1476">
        <v>5.6</v>
      </c>
      <c r="X1476">
        <v>6.8</v>
      </c>
      <c r="Z1476">
        <v>4.4000000000000004</v>
      </c>
      <c r="AA1476">
        <v>1.9</v>
      </c>
      <c r="AB1476">
        <v>0.8</v>
      </c>
      <c r="AC1476">
        <v>8.1</v>
      </c>
      <c r="AD1476" t="s">
        <v>37</v>
      </c>
      <c r="AE1476" t="str">
        <f>IF(AND(data[[#This Row],[Age]]&gt;=18,data[[#This Row],[Age]]&lt;=24),"18-24",IF(AND(data[[#This Row],[Age]]&gt;=25,data[[#This Row],[Age]]&lt;=34),"25-34",IF(AND(data[[#This Row],[Age]]&gt;35,data[[#This Row],[Age]]&lt;=44),"35-44",IF(data[[#This Row],[Age]]&gt;44,"45+",IF(data[[#This Row],[Age]]&lt;18,"below 18 ")))))</f>
        <v xml:space="preserve">below 18 </v>
      </c>
    </row>
    <row r="1477" spans="1:31" x14ac:dyDescent="0.25">
      <c r="A1477" t="s">
        <v>1530</v>
      </c>
      <c r="B1477">
        <v>40</v>
      </c>
      <c r="C1477" t="s">
        <v>50</v>
      </c>
      <c r="D1477" t="s">
        <v>32</v>
      </c>
      <c r="E1477" t="s">
        <v>40</v>
      </c>
      <c r="F1477" t="s">
        <v>41</v>
      </c>
      <c r="G1477">
        <v>4.3</v>
      </c>
      <c r="H1477">
        <v>2</v>
      </c>
      <c r="I1477">
        <v>3</v>
      </c>
      <c r="J1477" t="s">
        <v>35</v>
      </c>
      <c r="K1477" t="s">
        <v>62</v>
      </c>
      <c r="L1477">
        <v>54</v>
      </c>
      <c r="M1477">
        <v>8.1</v>
      </c>
      <c r="N1477">
        <v>4.5999999999999996</v>
      </c>
      <c r="O1477">
        <v>7.4</v>
      </c>
      <c r="P1477">
        <v>7.3</v>
      </c>
      <c r="R1477" t="s">
        <v>42</v>
      </c>
      <c r="S1477">
        <v>6.3</v>
      </c>
      <c r="T1477">
        <v>8.9</v>
      </c>
      <c r="V1477">
        <v>4.7</v>
      </c>
      <c r="W1477">
        <v>7.7</v>
      </c>
      <c r="X1477">
        <v>7.8</v>
      </c>
      <c r="Y1477">
        <v>7.9</v>
      </c>
      <c r="Z1477">
        <v>4.0999999999999996</v>
      </c>
      <c r="AA1477">
        <v>4</v>
      </c>
      <c r="AB1477">
        <v>2.7</v>
      </c>
      <c r="AC1477">
        <v>5.3</v>
      </c>
      <c r="AD1477" t="s">
        <v>43</v>
      </c>
      <c r="AE1477" t="str">
        <f>IF(AND(data[[#This Row],[Age]]&gt;=18,data[[#This Row],[Age]]&lt;=24),"18-24",IF(AND(data[[#This Row],[Age]]&gt;=25,data[[#This Row],[Age]]&lt;=34),"25-34",IF(AND(data[[#This Row],[Age]]&gt;35,data[[#This Row],[Age]]&lt;=44),"35-44",IF(data[[#This Row],[Age]]&gt;44,"45+",IF(data[[#This Row],[Age]]&lt;18,"below 18 ")))))</f>
        <v>35-44</v>
      </c>
    </row>
    <row r="1478" spans="1:31" x14ac:dyDescent="0.25">
      <c r="A1478" t="s">
        <v>1531</v>
      </c>
      <c r="B1478">
        <v>18</v>
      </c>
      <c r="C1478" t="s">
        <v>47</v>
      </c>
      <c r="D1478" t="s">
        <v>39</v>
      </c>
      <c r="E1478" t="s">
        <v>40</v>
      </c>
      <c r="F1478" t="s">
        <v>41</v>
      </c>
      <c r="G1478">
        <v>1.5</v>
      </c>
      <c r="H1478">
        <v>1</v>
      </c>
      <c r="I1478">
        <v>7</v>
      </c>
      <c r="J1478" t="s">
        <v>42</v>
      </c>
      <c r="K1478" t="s">
        <v>62</v>
      </c>
      <c r="L1478">
        <v>49</v>
      </c>
      <c r="M1478">
        <v>5.8</v>
      </c>
      <c r="N1478">
        <v>2.9</v>
      </c>
      <c r="O1478">
        <v>3.1</v>
      </c>
      <c r="P1478">
        <v>5</v>
      </c>
      <c r="Q1478" t="s">
        <v>42</v>
      </c>
      <c r="R1478" t="s">
        <v>42</v>
      </c>
      <c r="S1478">
        <v>1.1000000000000001</v>
      </c>
      <c r="T1478">
        <v>0</v>
      </c>
      <c r="U1478">
        <v>3.1</v>
      </c>
      <c r="V1478">
        <v>9.6999999999999993</v>
      </c>
      <c r="W1478">
        <v>6.5</v>
      </c>
      <c r="X1478">
        <v>6.7</v>
      </c>
      <c r="Y1478">
        <v>3.6</v>
      </c>
      <c r="Z1478">
        <v>5.3</v>
      </c>
      <c r="AA1478">
        <v>3.4</v>
      </c>
      <c r="AB1478">
        <v>1.3</v>
      </c>
      <c r="AC1478">
        <v>8.1999999999999993</v>
      </c>
      <c r="AD1478" t="s">
        <v>37</v>
      </c>
      <c r="AE1478" t="str">
        <f>IF(AND(data[[#This Row],[Age]]&gt;=18,data[[#This Row],[Age]]&lt;=24),"18-24",IF(AND(data[[#This Row],[Age]]&gt;=25,data[[#This Row],[Age]]&lt;=34),"25-34",IF(AND(data[[#This Row],[Age]]&gt;35,data[[#This Row],[Age]]&lt;=44),"35-44",IF(data[[#This Row],[Age]]&gt;44,"45+",IF(data[[#This Row],[Age]]&lt;18,"below 18 ")))))</f>
        <v>18-24</v>
      </c>
    </row>
    <row r="1479" spans="1:31" x14ac:dyDescent="0.25">
      <c r="A1479" t="s">
        <v>1532</v>
      </c>
      <c r="B1479">
        <v>36</v>
      </c>
      <c r="C1479" t="s">
        <v>31</v>
      </c>
      <c r="D1479" t="s">
        <v>32</v>
      </c>
      <c r="E1479" t="s">
        <v>33</v>
      </c>
      <c r="F1479" t="s">
        <v>51</v>
      </c>
      <c r="G1479">
        <v>0.5</v>
      </c>
      <c r="H1479">
        <v>1</v>
      </c>
      <c r="I1479">
        <v>5</v>
      </c>
      <c r="J1479" t="s">
        <v>35</v>
      </c>
      <c r="K1479" t="s">
        <v>52</v>
      </c>
      <c r="L1479">
        <v>17</v>
      </c>
      <c r="M1479">
        <v>7</v>
      </c>
      <c r="N1479">
        <v>5.5</v>
      </c>
      <c r="O1479">
        <v>3.9</v>
      </c>
      <c r="P1479">
        <v>6.5</v>
      </c>
      <c r="Q1479" t="s">
        <v>42</v>
      </c>
      <c r="R1479" t="s">
        <v>42</v>
      </c>
      <c r="S1479">
        <v>3.3</v>
      </c>
      <c r="T1479">
        <v>7.8</v>
      </c>
      <c r="U1479">
        <v>3.7</v>
      </c>
      <c r="V1479">
        <v>6</v>
      </c>
      <c r="W1479">
        <v>5.7</v>
      </c>
      <c r="X1479">
        <v>6.9</v>
      </c>
      <c r="Y1479">
        <v>4.0999999999999996</v>
      </c>
      <c r="Z1479">
        <v>9</v>
      </c>
      <c r="AA1479">
        <v>3.3</v>
      </c>
      <c r="AB1479">
        <v>5.9</v>
      </c>
      <c r="AC1479">
        <v>8.9</v>
      </c>
      <c r="AD1479" t="s">
        <v>37</v>
      </c>
      <c r="AE1479" t="str">
        <f>IF(AND(data[[#This Row],[Age]]&gt;=18,data[[#This Row],[Age]]&lt;=24),"18-24",IF(AND(data[[#This Row],[Age]]&gt;=25,data[[#This Row],[Age]]&lt;=34),"25-34",IF(AND(data[[#This Row],[Age]]&gt;35,data[[#This Row],[Age]]&lt;=44),"35-44",IF(data[[#This Row],[Age]]&gt;44,"45+",IF(data[[#This Row],[Age]]&lt;18,"below 18 ")))))</f>
        <v>35-44</v>
      </c>
    </row>
    <row r="1480" spans="1:31" x14ac:dyDescent="0.25">
      <c r="A1480" t="s">
        <v>1533</v>
      </c>
      <c r="B1480">
        <v>20</v>
      </c>
      <c r="C1480" t="s">
        <v>47</v>
      </c>
      <c r="D1480" t="s">
        <v>39</v>
      </c>
      <c r="E1480" t="s">
        <v>58</v>
      </c>
      <c r="F1480" t="s">
        <v>51</v>
      </c>
      <c r="G1480">
        <v>1.9</v>
      </c>
      <c r="H1480">
        <v>1</v>
      </c>
      <c r="I1480">
        <v>3</v>
      </c>
      <c r="J1480" t="s">
        <v>35</v>
      </c>
      <c r="K1480" t="s">
        <v>62</v>
      </c>
      <c r="L1480">
        <v>47</v>
      </c>
      <c r="M1480">
        <v>6</v>
      </c>
      <c r="N1480">
        <v>8.5</v>
      </c>
      <c r="O1480">
        <v>4.3</v>
      </c>
      <c r="P1480">
        <v>5.9</v>
      </c>
      <c r="Q1480" t="s">
        <v>42</v>
      </c>
      <c r="R1480" t="s">
        <v>35</v>
      </c>
      <c r="S1480">
        <v>1.5</v>
      </c>
      <c r="T1480">
        <v>7.2</v>
      </c>
      <c r="U1480">
        <v>6.9</v>
      </c>
      <c r="V1480">
        <v>4.7</v>
      </c>
      <c r="X1480">
        <v>7.7</v>
      </c>
      <c r="Y1480">
        <v>0.9</v>
      </c>
      <c r="Z1480">
        <v>5.2</v>
      </c>
      <c r="AA1480">
        <v>5.0999999999999996</v>
      </c>
      <c r="AB1480">
        <v>3.8</v>
      </c>
      <c r="AC1480">
        <v>6.5</v>
      </c>
      <c r="AD1480" t="s">
        <v>37</v>
      </c>
      <c r="AE1480" t="str">
        <f>IF(AND(data[[#This Row],[Age]]&gt;=18,data[[#This Row],[Age]]&lt;=24),"18-24",IF(AND(data[[#This Row],[Age]]&gt;=25,data[[#This Row],[Age]]&lt;=34),"25-34",IF(AND(data[[#This Row],[Age]]&gt;35,data[[#This Row],[Age]]&lt;=44),"35-44",IF(data[[#This Row],[Age]]&gt;44,"45+",IF(data[[#This Row],[Age]]&lt;18,"below 18 ")))))</f>
        <v>18-24</v>
      </c>
    </row>
    <row r="1481" spans="1:31" x14ac:dyDescent="0.25">
      <c r="A1481" t="s">
        <v>1534</v>
      </c>
      <c r="B1481">
        <v>38</v>
      </c>
      <c r="C1481" t="s">
        <v>47</v>
      </c>
      <c r="D1481" t="s">
        <v>39</v>
      </c>
      <c r="E1481" t="s">
        <v>58</v>
      </c>
      <c r="F1481" t="s">
        <v>70</v>
      </c>
      <c r="G1481">
        <v>5.7</v>
      </c>
      <c r="H1481">
        <v>2</v>
      </c>
      <c r="I1481">
        <v>6</v>
      </c>
      <c r="J1481" t="s">
        <v>42</v>
      </c>
      <c r="K1481" t="s">
        <v>36</v>
      </c>
      <c r="L1481">
        <v>28</v>
      </c>
      <c r="M1481">
        <v>0</v>
      </c>
      <c r="N1481">
        <v>9.9</v>
      </c>
      <c r="O1481">
        <v>5.5</v>
      </c>
      <c r="P1481">
        <v>6.9</v>
      </c>
      <c r="Q1481" t="s">
        <v>35</v>
      </c>
      <c r="R1481" t="s">
        <v>35</v>
      </c>
      <c r="S1481">
        <v>3.8</v>
      </c>
      <c r="T1481">
        <v>2.8</v>
      </c>
      <c r="U1481">
        <v>6.1</v>
      </c>
      <c r="V1481">
        <v>6.5</v>
      </c>
      <c r="W1481">
        <v>4.3</v>
      </c>
      <c r="X1481">
        <v>5.7</v>
      </c>
      <c r="Y1481">
        <v>0.8</v>
      </c>
      <c r="Z1481">
        <v>10</v>
      </c>
      <c r="AA1481">
        <v>0.1</v>
      </c>
      <c r="AB1481">
        <v>2.1</v>
      </c>
      <c r="AC1481">
        <v>6.2</v>
      </c>
      <c r="AD1481" t="s">
        <v>53</v>
      </c>
      <c r="AE1481" t="str">
        <f>IF(AND(data[[#This Row],[Age]]&gt;=18,data[[#This Row],[Age]]&lt;=24),"18-24",IF(AND(data[[#This Row],[Age]]&gt;=25,data[[#This Row],[Age]]&lt;=34),"25-34",IF(AND(data[[#This Row],[Age]]&gt;35,data[[#This Row],[Age]]&lt;=44),"35-44",IF(data[[#This Row],[Age]]&gt;44,"45+",IF(data[[#This Row],[Age]]&lt;18,"below 18 ")))))</f>
        <v>35-44</v>
      </c>
    </row>
    <row r="1482" spans="1:31" x14ac:dyDescent="0.25">
      <c r="A1482" t="s">
        <v>1535</v>
      </c>
      <c r="B1482">
        <v>16</v>
      </c>
      <c r="C1482" t="s">
        <v>31</v>
      </c>
      <c r="D1482" t="s">
        <v>32</v>
      </c>
      <c r="E1482" t="s">
        <v>33</v>
      </c>
      <c r="F1482" t="s">
        <v>59</v>
      </c>
      <c r="G1482">
        <v>0.5</v>
      </c>
      <c r="H1482">
        <v>6</v>
      </c>
      <c r="I1482">
        <v>0</v>
      </c>
      <c r="J1482" t="s">
        <v>42</v>
      </c>
      <c r="K1482" t="s">
        <v>36</v>
      </c>
      <c r="L1482">
        <v>76</v>
      </c>
      <c r="M1482">
        <v>8.3000000000000007</v>
      </c>
      <c r="N1482">
        <v>1.5</v>
      </c>
      <c r="O1482">
        <v>5.5</v>
      </c>
      <c r="P1482">
        <v>5.3</v>
      </c>
      <c r="Q1482" t="s">
        <v>35</v>
      </c>
      <c r="R1482" t="s">
        <v>42</v>
      </c>
      <c r="S1482">
        <v>4.7</v>
      </c>
      <c r="T1482">
        <v>4.9000000000000004</v>
      </c>
      <c r="U1482">
        <v>7.5</v>
      </c>
      <c r="V1482">
        <v>6.8</v>
      </c>
      <c r="W1482">
        <v>6.8</v>
      </c>
      <c r="X1482">
        <v>3.9</v>
      </c>
      <c r="Z1482">
        <v>5.9</v>
      </c>
      <c r="AA1482">
        <v>4</v>
      </c>
      <c r="AB1482">
        <v>5.3</v>
      </c>
      <c r="AC1482">
        <v>6</v>
      </c>
      <c r="AD1482" t="s">
        <v>45</v>
      </c>
      <c r="AE1482" t="str">
        <f>IF(AND(data[[#This Row],[Age]]&gt;=18,data[[#This Row],[Age]]&lt;=24),"18-24",IF(AND(data[[#This Row],[Age]]&gt;=25,data[[#This Row],[Age]]&lt;=34),"25-34",IF(AND(data[[#This Row],[Age]]&gt;35,data[[#This Row],[Age]]&lt;=44),"35-44",IF(data[[#This Row],[Age]]&gt;44,"45+",IF(data[[#This Row],[Age]]&lt;18,"below 18 ")))))</f>
        <v xml:space="preserve">below 18 </v>
      </c>
    </row>
    <row r="1483" spans="1:31" x14ac:dyDescent="0.25">
      <c r="A1483" t="s">
        <v>1536</v>
      </c>
      <c r="B1483">
        <v>23</v>
      </c>
      <c r="C1483" t="s">
        <v>47</v>
      </c>
      <c r="D1483" t="s">
        <v>32</v>
      </c>
      <c r="E1483" t="s">
        <v>33</v>
      </c>
      <c r="F1483" t="s">
        <v>70</v>
      </c>
      <c r="G1483">
        <v>5.8</v>
      </c>
      <c r="H1483">
        <v>3</v>
      </c>
      <c r="I1483">
        <v>5</v>
      </c>
      <c r="J1483" t="s">
        <v>42</v>
      </c>
      <c r="K1483" t="s">
        <v>62</v>
      </c>
      <c r="L1483">
        <v>72</v>
      </c>
      <c r="M1483">
        <v>6.8</v>
      </c>
      <c r="N1483">
        <v>5.2</v>
      </c>
      <c r="O1483">
        <v>5.8</v>
      </c>
      <c r="P1483">
        <v>1.3</v>
      </c>
      <c r="Q1483" t="s">
        <v>42</v>
      </c>
      <c r="R1483" t="s">
        <v>35</v>
      </c>
      <c r="S1483">
        <v>5</v>
      </c>
      <c r="T1483">
        <v>2.6</v>
      </c>
      <c r="U1483">
        <v>6.2</v>
      </c>
      <c r="V1483">
        <v>4</v>
      </c>
      <c r="W1483">
        <v>6.8</v>
      </c>
      <c r="Y1483">
        <v>4.5999999999999996</v>
      </c>
      <c r="Z1483">
        <v>5.8</v>
      </c>
      <c r="AA1483">
        <v>4.8</v>
      </c>
      <c r="AB1483">
        <v>2.9</v>
      </c>
      <c r="AC1483">
        <v>7.6</v>
      </c>
      <c r="AD1483" t="s">
        <v>37</v>
      </c>
      <c r="AE1483" t="str">
        <f>IF(AND(data[[#This Row],[Age]]&gt;=18,data[[#This Row],[Age]]&lt;=24),"18-24",IF(AND(data[[#This Row],[Age]]&gt;=25,data[[#This Row],[Age]]&lt;=34),"25-34",IF(AND(data[[#This Row],[Age]]&gt;35,data[[#This Row],[Age]]&lt;=44),"35-44",IF(data[[#This Row],[Age]]&gt;44,"45+",IF(data[[#This Row],[Age]]&lt;18,"below 18 ")))))</f>
        <v>18-24</v>
      </c>
    </row>
    <row r="1484" spans="1:31" x14ac:dyDescent="0.25">
      <c r="A1484" t="s">
        <v>1537</v>
      </c>
      <c r="B1484">
        <v>44</v>
      </c>
      <c r="C1484" t="s">
        <v>31</v>
      </c>
      <c r="D1484" t="s">
        <v>39</v>
      </c>
      <c r="E1484" t="s">
        <v>58</v>
      </c>
      <c r="F1484" t="s">
        <v>34</v>
      </c>
      <c r="G1484">
        <v>0.5</v>
      </c>
      <c r="H1484">
        <v>5</v>
      </c>
      <c r="I1484">
        <v>3</v>
      </c>
      <c r="J1484" t="s">
        <v>35</v>
      </c>
      <c r="K1484" t="s">
        <v>62</v>
      </c>
      <c r="L1484">
        <v>14</v>
      </c>
      <c r="M1484">
        <v>4.8</v>
      </c>
      <c r="N1484">
        <v>5.4</v>
      </c>
      <c r="O1484">
        <v>6.4</v>
      </c>
      <c r="P1484">
        <v>5.7</v>
      </c>
      <c r="Q1484" t="s">
        <v>35</v>
      </c>
      <c r="R1484" t="s">
        <v>35</v>
      </c>
      <c r="S1484">
        <v>6.4</v>
      </c>
      <c r="T1484">
        <v>6</v>
      </c>
      <c r="U1484">
        <v>6.4</v>
      </c>
      <c r="V1484">
        <v>7.4</v>
      </c>
      <c r="X1484">
        <v>5.6</v>
      </c>
      <c r="Y1484">
        <v>5.3</v>
      </c>
      <c r="Z1484">
        <v>5.4</v>
      </c>
      <c r="AA1484">
        <v>1</v>
      </c>
      <c r="AB1484">
        <v>2.8</v>
      </c>
      <c r="AC1484">
        <v>7.6</v>
      </c>
      <c r="AD1484" t="s">
        <v>37</v>
      </c>
      <c r="AE1484" t="str">
        <f>IF(AND(data[[#This Row],[Age]]&gt;=18,data[[#This Row],[Age]]&lt;=24),"18-24",IF(AND(data[[#This Row],[Age]]&gt;=25,data[[#This Row],[Age]]&lt;=34),"25-34",IF(AND(data[[#This Row],[Age]]&gt;35,data[[#This Row],[Age]]&lt;=44),"35-44",IF(data[[#This Row],[Age]]&gt;44,"45+",IF(data[[#This Row],[Age]]&lt;18,"below 18 ")))))</f>
        <v>35-44</v>
      </c>
    </row>
    <row r="1485" spans="1:31" x14ac:dyDescent="0.25">
      <c r="A1485" t="s">
        <v>1538</v>
      </c>
      <c r="B1485">
        <v>28</v>
      </c>
      <c r="C1485" t="s">
        <v>47</v>
      </c>
      <c r="D1485" t="s">
        <v>32</v>
      </c>
      <c r="F1485" t="s">
        <v>51</v>
      </c>
      <c r="G1485">
        <v>2.8</v>
      </c>
      <c r="H1485">
        <v>5</v>
      </c>
      <c r="I1485">
        <v>2</v>
      </c>
      <c r="J1485" t="s">
        <v>42</v>
      </c>
      <c r="K1485" t="s">
        <v>52</v>
      </c>
      <c r="L1485">
        <v>30</v>
      </c>
      <c r="M1485">
        <v>6.9</v>
      </c>
      <c r="N1485">
        <v>5.8</v>
      </c>
      <c r="O1485">
        <v>5.0999999999999996</v>
      </c>
      <c r="P1485">
        <v>4</v>
      </c>
      <c r="Q1485" t="s">
        <v>42</v>
      </c>
      <c r="R1485" t="s">
        <v>42</v>
      </c>
      <c r="S1485">
        <v>7.9</v>
      </c>
      <c r="T1485">
        <v>3.1</v>
      </c>
      <c r="U1485">
        <v>5.3</v>
      </c>
      <c r="V1485">
        <v>2.7</v>
      </c>
      <c r="W1485">
        <v>5.6</v>
      </c>
      <c r="X1485">
        <v>5.6</v>
      </c>
      <c r="Y1485">
        <v>4.8</v>
      </c>
      <c r="AB1485">
        <v>3.7</v>
      </c>
      <c r="AC1485">
        <v>5.5</v>
      </c>
      <c r="AD1485" t="s">
        <v>43</v>
      </c>
      <c r="AE1485" t="str">
        <f>IF(AND(data[[#This Row],[Age]]&gt;=18,data[[#This Row],[Age]]&lt;=24),"18-24",IF(AND(data[[#This Row],[Age]]&gt;=25,data[[#This Row],[Age]]&lt;=34),"25-34",IF(AND(data[[#This Row],[Age]]&gt;35,data[[#This Row],[Age]]&lt;=44),"35-44",IF(data[[#This Row],[Age]]&gt;44,"45+",IF(data[[#This Row],[Age]]&lt;18,"below 18 ")))))</f>
        <v>25-34</v>
      </c>
    </row>
    <row r="1486" spans="1:31" x14ac:dyDescent="0.25">
      <c r="A1486" t="s">
        <v>1539</v>
      </c>
      <c r="B1486">
        <v>30</v>
      </c>
      <c r="C1486" t="s">
        <v>31</v>
      </c>
      <c r="E1486" t="s">
        <v>40</v>
      </c>
      <c r="F1486" t="s">
        <v>41</v>
      </c>
      <c r="G1486">
        <v>3.3</v>
      </c>
      <c r="H1486">
        <v>3</v>
      </c>
      <c r="I1486">
        <v>2</v>
      </c>
      <c r="J1486" t="s">
        <v>35</v>
      </c>
      <c r="K1486" t="s">
        <v>36</v>
      </c>
      <c r="L1486">
        <v>40</v>
      </c>
      <c r="M1486">
        <v>3.9</v>
      </c>
      <c r="N1486">
        <v>6.2</v>
      </c>
      <c r="O1486">
        <v>6.8</v>
      </c>
      <c r="P1486">
        <v>7.9</v>
      </c>
      <c r="Q1486" t="s">
        <v>42</v>
      </c>
      <c r="R1486" t="s">
        <v>42</v>
      </c>
      <c r="S1486">
        <v>5</v>
      </c>
      <c r="T1486">
        <v>2.7</v>
      </c>
      <c r="U1486">
        <v>3.2</v>
      </c>
      <c r="V1486">
        <v>3.8</v>
      </c>
      <c r="W1486">
        <v>3.2</v>
      </c>
      <c r="X1486">
        <v>5.8</v>
      </c>
      <c r="Y1486">
        <v>3.1</v>
      </c>
      <c r="Z1486">
        <v>3</v>
      </c>
      <c r="AA1486">
        <v>2.5</v>
      </c>
      <c r="AB1486">
        <v>4.5999999999999996</v>
      </c>
      <c r="AC1486">
        <v>5.5</v>
      </c>
      <c r="AD1486" t="s">
        <v>45</v>
      </c>
      <c r="AE1486" t="str">
        <f>IF(AND(data[[#This Row],[Age]]&gt;=18,data[[#This Row],[Age]]&lt;=24),"18-24",IF(AND(data[[#This Row],[Age]]&gt;=25,data[[#This Row],[Age]]&lt;=34),"25-34",IF(AND(data[[#This Row],[Age]]&gt;35,data[[#This Row],[Age]]&lt;=44),"35-44",IF(data[[#This Row],[Age]]&gt;44,"45+",IF(data[[#This Row],[Age]]&lt;18,"below 18 ")))))</f>
        <v>25-34</v>
      </c>
    </row>
    <row r="1487" spans="1:31" x14ac:dyDescent="0.25">
      <c r="A1487" t="s">
        <v>1540</v>
      </c>
      <c r="B1487">
        <v>39</v>
      </c>
      <c r="D1487" t="s">
        <v>64</v>
      </c>
      <c r="E1487" t="s">
        <v>58</v>
      </c>
      <c r="F1487" t="s">
        <v>51</v>
      </c>
      <c r="G1487">
        <v>6.1</v>
      </c>
      <c r="H1487">
        <v>5</v>
      </c>
      <c r="I1487">
        <v>2</v>
      </c>
      <c r="J1487" t="s">
        <v>42</v>
      </c>
      <c r="K1487" t="s">
        <v>52</v>
      </c>
      <c r="L1487">
        <v>16</v>
      </c>
      <c r="M1487">
        <v>10</v>
      </c>
      <c r="N1487">
        <v>4.7</v>
      </c>
      <c r="O1487">
        <v>2.7</v>
      </c>
      <c r="P1487">
        <v>10</v>
      </c>
      <c r="Q1487" t="s">
        <v>35</v>
      </c>
      <c r="R1487" t="s">
        <v>35</v>
      </c>
      <c r="S1487">
        <v>6.8</v>
      </c>
      <c r="T1487">
        <v>3.9</v>
      </c>
      <c r="U1487">
        <v>6.3</v>
      </c>
      <c r="W1487">
        <v>4.8</v>
      </c>
      <c r="X1487">
        <v>6.8</v>
      </c>
      <c r="Y1487">
        <v>3.4</v>
      </c>
      <c r="Z1487">
        <v>4.2</v>
      </c>
      <c r="AA1487">
        <v>3.5</v>
      </c>
      <c r="AB1487">
        <v>1.7</v>
      </c>
      <c r="AC1487">
        <v>5.3</v>
      </c>
      <c r="AD1487" t="s">
        <v>45</v>
      </c>
      <c r="AE1487" t="str">
        <f>IF(AND(data[[#This Row],[Age]]&gt;=18,data[[#This Row],[Age]]&lt;=24),"18-24",IF(AND(data[[#This Row],[Age]]&gt;=25,data[[#This Row],[Age]]&lt;=34),"25-34",IF(AND(data[[#This Row],[Age]]&gt;35,data[[#This Row],[Age]]&lt;=44),"35-44",IF(data[[#This Row],[Age]]&gt;44,"45+",IF(data[[#This Row],[Age]]&lt;18,"below 18 ")))))</f>
        <v>35-44</v>
      </c>
    </row>
    <row r="1488" spans="1:31" x14ac:dyDescent="0.25">
      <c r="A1488" t="s">
        <v>1541</v>
      </c>
      <c r="B1488">
        <v>29</v>
      </c>
      <c r="C1488" t="s">
        <v>47</v>
      </c>
      <c r="D1488" t="s">
        <v>32</v>
      </c>
      <c r="E1488" t="s">
        <v>33</v>
      </c>
      <c r="F1488" t="s">
        <v>41</v>
      </c>
      <c r="G1488">
        <v>4.5</v>
      </c>
      <c r="H1488">
        <v>3</v>
      </c>
      <c r="I1488">
        <v>6</v>
      </c>
      <c r="J1488" t="s">
        <v>42</v>
      </c>
      <c r="K1488" t="s">
        <v>62</v>
      </c>
      <c r="L1488">
        <v>60</v>
      </c>
      <c r="M1488">
        <v>7.2</v>
      </c>
      <c r="N1488">
        <v>6</v>
      </c>
      <c r="O1488">
        <v>4.7</v>
      </c>
      <c r="P1488">
        <v>7.5</v>
      </c>
      <c r="Q1488" t="s">
        <v>42</v>
      </c>
      <c r="R1488" t="s">
        <v>42</v>
      </c>
      <c r="S1488">
        <v>4.4000000000000004</v>
      </c>
      <c r="T1488">
        <v>0</v>
      </c>
      <c r="U1488">
        <v>4.8</v>
      </c>
      <c r="W1488">
        <v>5.8</v>
      </c>
      <c r="X1488">
        <v>4.2</v>
      </c>
      <c r="Y1488">
        <v>3.7</v>
      </c>
      <c r="Z1488">
        <v>4.4000000000000004</v>
      </c>
      <c r="AA1488">
        <v>3.9</v>
      </c>
      <c r="AB1488">
        <v>2</v>
      </c>
      <c r="AC1488">
        <v>4.8</v>
      </c>
      <c r="AD1488" t="s">
        <v>43</v>
      </c>
      <c r="AE1488" t="str">
        <f>IF(AND(data[[#This Row],[Age]]&gt;=18,data[[#This Row],[Age]]&lt;=24),"18-24",IF(AND(data[[#This Row],[Age]]&gt;=25,data[[#This Row],[Age]]&lt;=34),"25-34",IF(AND(data[[#This Row],[Age]]&gt;35,data[[#This Row],[Age]]&lt;=44),"35-44",IF(data[[#This Row],[Age]]&gt;44,"45+",IF(data[[#This Row],[Age]]&lt;18,"below 18 ")))))</f>
        <v>25-34</v>
      </c>
    </row>
    <row r="1489" spans="1:31" x14ac:dyDescent="0.25">
      <c r="A1489" t="s">
        <v>1542</v>
      </c>
      <c r="B1489">
        <v>31</v>
      </c>
      <c r="C1489" t="s">
        <v>31</v>
      </c>
      <c r="D1489" t="s">
        <v>64</v>
      </c>
      <c r="E1489" t="s">
        <v>40</v>
      </c>
      <c r="F1489" t="s">
        <v>51</v>
      </c>
      <c r="G1489">
        <v>2.1</v>
      </c>
      <c r="H1489">
        <v>4</v>
      </c>
      <c r="I1489">
        <v>2</v>
      </c>
      <c r="J1489" t="s">
        <v>35</v>
      </c>
      <c r="K1489" t="s">
        <v>62</v>
      </c>
      <c r="L1489">
        <v>46</v>
      </c>
      <c r="M1489">
        <v>1.6</v>
      </c>
      <c r="N1489">
        <v>4.4000000000000004</v>
      </c>
      <c r="O1489">
        <v>2.5</v>
      </c>
      <c r="P1489">
        <v>4.7</v>
      </c>
      <c r="Q1489" t="s">
        <v>42</v>
      </c>
      <c r="R1489" t="s">
        <v>42</v>
      </c>
      <c r="S1489">
        <v>5.8</v>
      </c>
      <c r="T1489">
        <v>9.5</v>
      </c>
      <c r="U1489">
        <v>5.8</v>
      </c>
      <c r="V1489">
        <v>6.2</v>
      </c>
      <c r="W1489">
        <v>4.8</v>
      </c>
      <c r="X1489">
        <v>7.6</v>
      </c>
      <c r="Y1489">
        <v>6.5</v>
      </c>
      <c r="Z1489">
        <v>0.9</v>
      </c>
      <c r="AA1489">
        <v>5.9</v>
      </c>
      <c r="AB1489">
        <v>1.4</v>
      </c>
      <c r="AC1489">
        <v>8.5</v>
      </c>
      <c r="AD1489" t="s">
        <v>37</v>
      </c>
      <c r="AE1489" t="str">
        <f>IF(AND(data[[#This Row],[Age]]&gt;=18,data[[#This Row],[Age]]&lt;=24),"18-24",IF(AND(data[[#This Row],[Age]]&gt;=25,data[[#This Row],[Age]]&lt;=34),"25-34",IF(AND(data[[#This Row],[Age]]&gt;35,data[[#This Row],[Age]]&lt;=44),"35-44",IF(data[[#This Row],[Age]]&gt;44,"45+",IF(data[[#This Row],[Age]]&lt;18,"below 18 ")))))</f>
        <v>25-34</v>
      </c>
    </row>
    <row r="1490" spans="1:31" x14ac:dyDescent="0.25">
      <c r="A1490" t="s">
        <v>1543</v>
      </c>
      <c r="B1490">
        <v>22</v>
      </c>
      <c r="C1490" t="s">
        <v>47</v>
      </c>
      <c r="D1490" t="s">
        <v>39</v>
      </c>
      <c r="E1490" t="s">
        <v>58</v>
      </c>
      <c r="F1490" t="s">
        <v>48</v>
      </c>
      <c r="G1490">
        <v>3.2</v>
      </c>
      <c r="H1490">
        <v>5</v>
      </c>
      <c r="I1490">
        <v>6</v>
      </c>
      <c r="J1490" t="s">
        <v>42</v>
      </c>
      <c r="K1490" t="s">
        <v>62</v>
      </c>
      <c r="L1490">
        <v>69</v>
      </c>
      <c r="M1490">
        <v>5.8</v>
      </c>
      <c r="N1490">
        <v>6.9</v>
      </c>
      <c r="O1490">
        <v>1.6</v>
      </c>
      <c r="P1490">
        <v>5.3</v>
      </c>
      <c r="Q1490" t="s">
        <v>42</v>
      </c>
      <c r="R1490" t="s">
        <v>42</v>
      </c>
      <c r="S1490">
        <v>6.2</v>
      </c>
      <c r="T1490">
        <v>5.8</v>
      </c>
      <c r="U1490">
        <v>4.5</v>
      </c>
      <c r="V1490">
        <v>7.1</v>
      </c>
      <c r="W1490">
        <v>7.2</v>
      </c>
      <c r="X1490">
        <v>5.9</v>
      </c>
      <c r="Y1490">
        <v>6.2</v>
      </c>
      <c r="Z1490">
        <v>2.9</v>
      </c>
      <c r="AA1490">
        <v>0.5</v>
      </c>
      <c r="AB1490">
        <v>0.2</v>
      </c>
      <c r="AC1490">
        <v>6.2</v>
      </c>
      <c r="AD1490" t="s">
        <v>53</v>
      </c>
      <c r="AE1490" t="str">
        <f>IF(AND(data[[#This Row],[Age]]&gt;=18,data[[#This Row],[Age]]&lt;=24),"18-24",IF(AND(data[[#This Row],[Age]]&gt;=25,data[[#This Row],[Age]]&lt;=34),"25-34",IF(AND(data[[#This Row],[Age]]&gt;35,data[[#This Row],[Age]]&lt;=44),"35-44",IF(data[[#This Row],[Age]]&gt;44,"45+",IF(data[[#This Row],[Age]]&lt;18,"below 18 ")))))</f>
        <v>18-24</v>
      </c>
    </row>
    <row r="1491" spans="1:31" x14ac:dyDescent="0.25">
      <c r="A1491" t="s">
        <v>1544</v>
      </c>
      <c r="B1491">
        <v>26</v>
      </c>
      <c r="C1491" t="s">
        <v>47</v>
      </c>
      <c r="D1491" t="s">
        <v>39</v>
      </c>
      <c r="E1491" t="s">
        <v>40</v>
      </c>
      <c r="F1491" t="s">
        <v>70</v>
      </c>
      <c r="G1491">
        <v>5</v>
      </c>
      <c r="H1491">
        <v>2</v>
      </c>
      <c r="I1491">
        <v>5</v>
      </c>
      <c r="J1491" t="s">
        <v>35</v>
      </c>
      <c r="K1491" t="s">
        <v>62</v>
      </c>
      <c r="L1491">
        <v>56</v>
      </c>
      <c r="M1491">
        <v>9.1999999999999993</v>
      </c>
      <c r="N1491">
        <v>4.5</v>
      </c>
      <c r="O1491">
        <v>2.8</v>
      </c>
      <c r="P1491">
        <v>4.9000000000000004</v>
      </c>
      <c r="Q1491" t="s">
        <v>42</v>
      </c>
      <c r="R1491" t="s">
        <v>35</v>
      </c>
      <c r="S1491">
        <v>6.3</v>
      </c>
      <c r="T1491">
        <v>6.7</v>
      </c>
      <c r="U1491">
        <v>6</v>
      </c>
      <c r="V1491">
        <v>2.5</v>
      </c>
      <c r="W1491">
        <v>8.4</v>
      </c>
      <c r="X1491">
        <v>5.5</v>
      </c>
      <c r="Z1491">
        <v>3.6</v>
      </c>
      <c r="AA1491">
        <v>5.9</v>
      </c>
      <c r="AB1491">
        <v>5.3</v>
      </c>
      <c r="AC1491">
        <v>7.3</v>
      </c>
      <c r="AD1491" t="s">
        <v>37</v>
      </c>
      <c r="AE1491" t="str">
        <f>IF(AND(data[[#This Row],[Age]]&gt;=18,data[[#This Row],[Age]]&lt;=24),"18-24",IF(AND(data[[#This Row],[Age]]&gt;=25,data[[#This Row],[Age]]&lt;=34),"25-34",IF(AND(data[[#This Row],[Age]]&gt;35,data[[#This Row],[Age]]&lt;=44),"35-44",IF(data[[#This Row],[Age]]&gt;44,"45+",IF(data[[#This Row],[Age]]&lt;18,"below 18 ")))))</f>
        <v>25-34</v>
      </c>
    </row>
    <row r="1492" spans="1:31" x14ac:dyDescent="0.25">
      <c r="A1492" t="s">
        <v>1545</v>
      </c>
      <c r="B1492">
        <v>31</v>
      </c>
      <c r="C1492" t="s">
        <v>47</v>
      </c>
      <c r="D1492" t="s">
        <v>39</v>
      </c>
      <c r="E1492" t="s">
        <v>58</v>
      </c>
      <c r="F1492" t="s">
        <v>59</v>
      </c>
      <c r="G1492">
        <v>6.9</v>
      </c>
      <c r="H1492">
        <v>2</v>
      </c>
      <c r="I1492">
        <v>2</v>
      </c>
      <c r="J1492" t="s">
        <v>42</v>
      </c>
      <c r="K1492" t="s">
        <v>62</v>
      </c>
      <c r="L1492">
        <v>5</v>
      </c>
      <c r="M1492">
        <v>6.3</v>
      </c>
      <c r="N1492">
        <v>5.3</v>
      </c>
      <c r="O1492">
        <v>5.9</v>
      </c>
      <c r="P1492">
        <v>6</v>
      </c>
      <c r="Q1492" t="s">
        <v>35</v>
      </c>
      <c r="R1492" t="s">
        <v>42</v>
      </c>
      <c r="S1492">
        <v>3.1</v>
      </c>
      <c r="T1492">
        <v>4.3</v>
      </c>
      <c r="U1492">
        <v>6</v>
      </c>
      <c r="V1492">
        <v>5.4</v>
      </c>
      <c r="W1492">
        <v>2.2000000000000002</v>
      </c>
      <c r="X1492">
        <v>5.6</v>
      </c>
      <c r="Y1492">
        <v>5.2</v>
      </c>
      <c r="Z1492">
        <v>6</v>
      </c>
      <c r="AA1492">
        <v>2.2000000000000002</v>
      </c>
      <c r="AB1492">
        <v>2.9</v>
      </c>
      <c r="AC1492">
        <v>5.9</v>
      </c>
      <c r="AD1492" t="s">
        <v>45</v>
      </c>
      <c r="AE1492" t="str">
        <f>IF(AND(data[[#This Row],[Age]]&gt;=18,data[[#This Row],[Age]]&lt;=24),"18-24",IF(AND(data[[#This Row],[Age]]&gt;=25,data[[#This Row],[Age]]&lt;=34),"25-34",IF(AND(data[[#This Row],[Age]]&gt;35,data[[#This Row],[Age]]&lt;=44),"35-44",IF(data[[#This Row],[Age]]&gt;44,"45+",IF(data[[#This Row],[Age]]&lt;18,"below 18 ")))))</f>
        <v>25-34</v>
      </c>
    </row>
    <row r="1493" spans="1:31" x14ac:dyDescent="0.25">
      <c r="A1493" t="s">
        <v>1546</v>
      </c>
      <c r="B1493">
        <v>21</v>
      </c>
      <c r="C1493" t="s">
        <v>50</v>
      </c>
      <c r="D1493" t="s">
        <v>39</v>
      </c>
      <c r="E1493" t="s">
        <v>58</v>
      </c>
      <c r="F1493" t="s">
        <v>41</v>
      </c>
      <c r="G1493">
        <v>5.0999999999999996</v>
      </c>
      <c r="H1493">
        <v>3</v>
      </c>
      <c r="I1493">
        <v>3</v>
      </c>
      <c r="J1493" t="s">
        <v>35</v>
      </c>
      <c r="K1493" t="s">
        <v>36</v>
      </c>
      <c r="L1493">
        <v>76</v>
      </c>
      <c r="M1493">
        <v>1.4</v>
      </c>
      <c r="N1493">
        <v>2.8</v>
      </c>
      <c r="O1493">
        <v>3.8</v>
      </c>
      <c r="P1493">
        <v>5.3</v>
      </c>
      <c r="Q1493" t="s">
        <v>42</v>
      </c>
      <c r="R1493" t="s">
        <v>35</v>
      </c>
      <c r="S1493">
        <v>5.4</v>
      </c>
      <c r="T1493">
        <v>7.1</v>
      </c>
      <c r="U1493">
        <v>3.2</v>
      </c>
      <c r="V1493">
        <v>6.2</v>
      </c>
      <c r="W1493">
        <v>4.7</v>
      </c>
      <c r="X1493">
        <v>6.5</v>
      </c>
      <c r="Y1493">
        <v>2.5</v>
      </c>
      <c r="Z1493">
        <v>8.5</v>
      </c>
      <c r="AA1493">
        <v>0.5</v>
      </c>
      <c r="AB1493">
        <v>4.7</v>
      </c>
      <c r="AC1493">
        <v>9.3000000000000007</v>
      </c>
      <c r="AD1493" t="s">
        <v>37</v>
      </c>
      <c r="AE1493" t="str">
        <f>IF(AND(data[[#This Row],[Age]]&gt;=18,data[[#This Row],[Age]]&lt;=24),"18-24",IF(AND(data[[#This Row],[Age]]&gt;=25,data[[#This Row],[Age]]&lt;=34),"25-34",IF(AND(data[[#This Row],[Age]]&gt;35,data[[#This Row],[Age]]&lt;=44),"35-44",IF(data[[#This Row],[Age]]&gt;44,"45+",IF(data[[#This Row],[Age]]&lt;18,"below 18 ")))))</f>
        <v>18-24</v>
      </c>
    </row>
    <row r="1494" spans="1:31" x14ac:dyDescent="0.25">
      <c r="A1494" t="s">
        <v>1547</v>
      </c>
      <c r="B1494">
        <v>44</v>
      </c>
      <c r="C1494" t="s">
        <v>31</v>
      </c>
      <c r="D1494" t="s">
        <v>32</v>
      </c>
      <c r="E1494" t="s">
        <v>58</v>
      </c>
      <c r="F1494" t="s">
        <v>41</v>
      </c>
      <c r="G1494">
        <v>4.3</v>
      </c>
      <c r="H1494">
        <v>4</v>
      </c>
      <c r="I1494">
        <v>3</v>
      </c>
      <c r="J1494" t="s">
        <v>35</v>
      </c>
      <c r="K1494" t="s">
        <v>36</v>
      </c>
      <c r="L1494">
        <v>67</v>
      </c>
      <c r="M1494">
        <v>3.5</v>
      </c>
      <c r="N1494">
        <v>0.9</v>
      </c>
      <c r="O1494">
        <v>3.2</v>
      </c>
      <c r="P1494">
        <v>2.9</v>
      </c>
      <c r="Q1494" t="s">
        <v>42</v>
      </c>
      <c r="R1494" t="s">
        <v>42</v>
      </c>
      <c r="S1494">
        <v>7.3</v>
      </c>
      <c r="T1494">
        <v>5.4</v>
      </c>
      <c r="U1494">
        <v>7.3</v>
      </c>
      <c r="V1494">
        <v>7.5</v>
      </c>
      <c r="W1494">
        <v>7.1</v>
      </c>
      <c r="X1494">
        <v>5.6</v>
      </c>
      <c r="Y1494">
        <v>4.7</v>
      </c>
      <c r="Z1494">
        <v>7.2</v>
      </c>
      <c r="AA1494">
        <v>1.7</v>
      </c>
      <c r="AB1494">
        <v>2.5</v>
      </c>
      <c r="AC1494">
        <v>6.9</v>
      </c>
      <c r="AD1494" t="s">
        <v>53</v>
      </c>
      <c r="AE1494" t="str">
        <f>IF(AND(data[[#This Row],[Age]]&gt;=18,data[[#This Row],[Age]]&lt;=24),"18-24",IF(AND(data[[#This Row],[Age]]&gt;=25,data[[#This Row],[Age]]&lt;=34),"25-34",IF(AND(data[[#This Row],[Age]]&gt;35,data[[#This Row],[Age]]&lt;=44),"35-44",IF(data[[#This Row],[Age]]&gt;44,"45+",IF(data[[#This Row],[Age]]&lt;18,"below 18 ")))))</f>
        <v>35-44</v>
      </c>
    </row>
    <row r="1495" spans="1:31" x14ac:dyDescent="0.25">
      <c r="A1495" t="s">
        <v>1548</v>
      </c>
      <c r="B1495">
        <v>16</v>
      </c>
      <c r="C1495" t="s">
        <v>31</v>
      </c>
      <c r="D1495" t="s">
        <v>39</v>
      </c>
      <c r="E1495" t="s">
        <v>58</v>
      </c>
      <c r="F1495" t="s">
        <v>34</v>
      </c>
      <c r="G1495">
        <v>3.9</v>
      </c>
      <c r="H1495">
        <v>3</v>
      </c>
      <c r="I1495">
        <v>4</v>
      </c>
      <c r="J1495" t="s">
        <v>42</v>
      </c>
      <c r="K1495" t="s">
        <v>62</v>
      </c>
      <c r="L1495">
        <v>90</v>
      </c>
      <c r="M1495">
        <v>6.2</v>
      </c>
      <c r="N1495">
        <v>3.3</v>
      </c>
      <c r="O1495">
        <v>8.5</v>
      </c>
      <c r="P1495">
        <v>5</v>
      </c>
      <c r="Q1495" t="s">
        <v>35</v>
      </c>
      <c r="R1495" t="s">
        <v>35</v>
      </c>
      <c r="S1495">
        <v>5.5</v>
      </c>
      <c r="T1495">
        <v>1.6</v>
      </c>
      <c r="U1495">
        <v>3.4</v>
      </c>
      <c r="V1495">
        <v>7.4</v>
      </c>
      <c r="W1495">
        <v>5.8</v>
      </c>
      <c r="X1495">
        <v>7.9</v>
      </c>
      <c r="Y1495">
        <v>5.6</v>
      </c>
      <c r="Z1495">
        <v>6.8</v>
      </c>
      <c r="AA1495">
        <v>3.4</v>
      </c>
      <c r="AB1495">
        <v>3.7</v>
      </c>
      <c r="AC1495">
        <v>7.4</v>
      </c>
      <c r="AD1495" t="s">
        <v>53</v>
      </c>
      <c r="AE1495" t="str">
        <f>IF(AND(data[[#This Row],[Age]]&gt;=18,data[[#This Row],[Age]]&lt;=24),"18-24",IF(AND(data[[#This Row],[Age]]&gt;=25,data[[#This Row],[Age]]&lt;=34),"25-34",IF(AND(data[[#This Row],[Age]]&gt;35,data[[#This Row],[Age]]&lt;=44),"35-44",IF(data[[#This Row],[Age]]&gt;44,"45+",IF(data[[#This Row],[Age]]&lt;18,"below 18 ")))))</f>
        <v xml:space="preserve">below 18 </v>
      </c>
    </row>
    <row r="1496" spans="1:31" x14ac:dyDescent="0.25">
      <c r="A1496" t="s">
        <v>1549</v>
      </c>
      <c r="B1496">
        <v>27</v>
      </c>
      <c r="C1496" t="s">
        <v>47</v>
      </c>
      <c r="D1496" t="s">
        <v>39</v>
      </c>
      <c r="E1496" t="s">
        <v>33</v>
      </c>
      <c r="F1496" t="s">
        <v>41</v>
      </c>
      <c r="G1496">
        <v>7.9</v>
      </c>
      <c r="H1496">
        <v>2</v>
      </c>
      <c r="I1496">
        <v>8</v>
      </c>
      <c r="J1496" t="s">
        <v>42</v>
      </c>
      <c r="K1496" t="s">
        <v>62</v>
      </c>
      <c r="L1496">
        <v>101</v>
      </c>
      <c r="M1496">
        <v>1.5</v>
      </c>
      <c r="N1496">
        <v>8.8000000000000007</v>
      </c>
      <c r="O1496">
        <v>3.9</v>
      </c>
      <c r="P1496">
        <v>7</v>
      </c>
      <c r="Q1496" t="s">
        <v>35</v>
      </c>
      <c r="R1496" t="s">
        <v>42</v>
      </c>
      <c r="S1496">
        <v>3.6</v>
      </c>
      <c r="T1496">
        <v>4.3</v>
      </c>
      <c r="U1496">
        <v>4.9000000000000004</v>
      </c>
      <c r="V1496">
        <v>2.6</v>
      </c>
      <c r="W1496">
        <v>8.1</v>
      </c>
      <c r="X1496">
        <v>4.9000000000000004</v>
      </c>
      <c r="Y1496">
        <v>5.4</v>
      </c>
      <c r="Z1496">
        <v>10</v>
      </c>
      <c r="AA1496">
        <v>1.5</v>
      </c>
      <c r="AB1496">
        <v>2</v>
      </c>
      <c r="AC1496">
        <v>6.8</v>
      </c>
      <c r="AD1496" t="s">
        <v>53</v>
      </c>
      <c r="AE1496" t="str">
        <f>IF(AND(data[[#This Row],[Age]]&gt;=18,data[[#This Row],[Age]]&lt;=24),"18-24",IF(AND(data[[#This Row],[Age]]&gt;=25,data[[#This Row],[Age]]&lt;=34),"25-34",IF(AND(data[[#This Row],[Age]]&gt;35,data[[#This Row],[Age]]&lt;=44),"35-44",IF(data[[#This Row],[Age]]&gt;44,"45+",IF(data[[#This Row],[Age]]&lt;18,"below 18 ")))))</f>
        <v>25-34</v>
      </c>
    </row>
    <row r="1497" spans="1:31" x14ac:dyDescent="0.25">
      <c r="A1497" t="s">
        <v>1550</v>
      </c>
      <c r="B1497">
        <v>40</v>
      </c>
      <c r="C1497" t="s">
        <v>31</v>
      </c>
      <c r="D1497" t="s">
        <v>32</v>
      </c>
      <c r="E1497" t="s">
        <v>33</v>
      </c>
      <c r="F1497" t="s">
        <v>51</v>
      </c>
      <c r="G1497">
        <v>2.7</v>
      </c>
      <c r="H1497">
        <v>2</v>
      </c>
      <c r="I1497">
        <v>4</v>
      </c>
      <c r="J1497" t="s">
        <v>35</v>
      </c>
      <c r="K1497" t="s">
        <v>52</v>
      </c>
      <c r="L1497">
        <v>61</v>
      </c>
      <c r="M1497">
        <v>8.8000000000000007</v>
      </c>
      <c r="N1497">
        <v>8.6</v>
      </c>
      <c r="O1497">
        <v>3.7</v>
      </c>
      <c r="P1497">
        <v>6.7</v>
      </c>
      <c r="Q1497" t="s">
        <v>35</v>
      </c>
      <c r="R1497" t="s">
        <v>35</v>
      </c>
      <c r="S1497">
        <v>6.2</v>
      </c>
      <c r="T1497">
        <v>5.4</v>
      </c>
      <c r="U1497">
        <v>3.3</v>
      </c>
      <c r="V1497">
        <v>7.4</v>
      </c>
      <c r="W1497">
        <v>8.5</v>
      </c>
      <c r="X1497">
        <v>6.7</v>
      </c>
      <c r="Y1497">
        <v>4.5</v>
      </c>
      <c r="Z1497">
        <v>7.6</v>
      </c>
      <c r="AA1497">
        <v>2.2999999999999998</v>
      </c>
      <c r="AB1497">
        <v>2.2999999999999998</v>
      </c>
      <c r="AC1497">
        <v>6.5</v>
      </c>
      <c r="AD1497" t="s">
        <v>45</v>
      </c>
      <c r="AE1497" t="str">
        <f>IF(AND(data[[#This Row],[Age]]&gt;=18,data[[#This Row],[Age]]&lt;=24),"18-24",IF(AND(data[[#This Row],[Age]]&gt;=25,data[[#This Row],[Age]]&lt;=34),"25-34",IF(AND(data[[#This Row],[Age]]&gt;35,data[[#This Row],[Age]]&lt;=44),"35-44",IF(data[[#This Row],[Age]]&gt;44,"45+",IF(data[[#This Row],[Age]]&lt;18,"below 18 ")))))</f>
        <v>35-44</v>
      </c>
    </row>
    <row r="1498" spans="1:31" x14ac:dyDescent="0.25">
      <c r="A1498" t="s">
        <v>1551</v>
      </c>
      <c r="B1498">
        <v>23</v>
      </c>
      <c r="C1498" t="s">
        <v>50</v>
      </c>
      <c r="D1498" t="s">
        <v>39</v>
      </c>
      <c r="E1498" t="s">
        <v>40</v>
      </c>
      <c r="F1498" t="s">
        <v>34</v>
      </c>
      <c r="G1498">
        <v>3.5</v>
      </c>
      <c r="H1498">
        <v>3</v>
      </c>
      <c r="I1498">
        <v>6</v>
      </c>
      <c r="J1498" t="s">
        <v>42</v>
      </c>
      <c r="K1498" t="s">
        <v>36</v>
      </c>
      <c r="L1498">
        <v>75</v>
      </c>
      <c r="M1498">
        <v>3.3</v>
      </c>
      <c r="N1498">
        <v>6.5</v>
      </c>
      <c r="O1498">
        <v>2.9</v>
      </c>
      <c r="P1498">
        <v>5.9</v>
      </c>
      <c r="Q1498" t="s">
        <v>42</v>
      </c>
      <c r="R1498" t="s">
        <v>35</v>
      </c>
      <c r="S1498">
        <v>2.7</v>
      </c>
      <c r="U1498">
        <v>4.2</v>
      </c>
      <c r="V1498">
        <v>1.9</v>
      </c>
      <c r="W1498">
        <v>7.2</v>
      </c>
      <c r="X1498">
        <v>6.9</v>
      </c>
      <c r="Y1498">
        <v>7.2</v>
      </c>
      <c r="AA1498">
        <v>2.8</v>
      </c>
      <c r="AB1498">
        <v>2</v>
      </c>
      <c r="AC1498">
        <v>6.4</v>
      </c>
      <c r="AD1498" t="s">
        <v>53</v>
      </c>
      <c r="AE1498" t="str">
        <f>IF(AND(data[[#This Row],[Age]]&gt;=18,data[[#This Row],[Age]]&lt;=24),"18-24",IF(AND(data[[#This Row],[Age]]&gt;=25,data[[#This Row],[Age]]&lt;=34),"25-34",IF(AND(data[[#This Row],[Age]]&gt;35,data[[#This Row],[Age]]&lt;=44),"35-44",IF(data[[#This Row],[Age]]&gt;44,"45+",IF(data[[#This Row],[Age]]&lt;18,"below 18 ")))))</f>
        <v>18-24</v>
      </c>
    </row>
    <row r="1499" spans="1:31" x14ac:dyDescent="0.25">
      <c r="A1499" t="s">
        <v>1552</v>
      </c>
      <c r="B1499">
        <v>39</v>
      </c>
      <c r="C1499" t="s">
        <v>47</v>
      </c>
      <c r="D1499" t="s">
        <v>39</v>
      </c>
      <c r="E1499" t="s">
        <v>58</v>
      </c>
      <c r="F1499" t="s">
        <v>41</v>
      </c>
      <c r="G1499">
        <v>5.3</v>
      </c>
      <c r="H1499">
        <v>2</v>
      </c>
      <c r="I1499">
        <v>3</v>
      </c>
      <c r="J1499" t="s">
        <v>42</v>
      </c>
      <c r="K1499" t="s">
        <v>52</v>
      </c>
      <c r="L1499">
        <v>87</v>
      </c>
      <c r="M1499">
        <v>3.2</v>
      </c>
      <c r="N1499">
        <v>7.7</v>
      </c>
      <c r="O1499">
        <v>9.6</v>
      </c>
      <c r="P1499">
        <v>7.1</v>
      </c>
      <c r="Q1499" t="s">
        <v>42</v>
      </c>
      <c r="R1499" t="s">
        <v>42</v>
      </c>
      <c r="S1499">
        <v>8.4</v>
      </c>
      <c r="T1499">
        <v>2.2999999999999998</v>
      </c>
      <c r="U1499">
        <v>0.4</v>
      </c>
      <c r="V1499">
        <v>2.4</v>
      </c>
      <c r="W1499">
        <v>5.0999999999999996</v>
      </c>
      <c r="Y1499">
        <v>6.4</v>
      </c>
      <c r="Z1499">
        <v>7.8</v>
      </c>
      <c r="AA1499">
        <v>2.6</v>
      </c>
      <c r="AB1499">
        <v>4.8</v>
      </c>
      <c r="AC1499">
        <v>4.7</v>
      </c>
      <c r="AD1499" t="s">
        <v>43</v>
      </c>
      <c r="AE1499" t="str">
        <f>IF(AND(data[[#This Row],[Age]]&gt;=18,data[[#This Row],[Age]]&lt;=24),"18-24",IF(AND(data[[#This Row],[Age]]&gt;=25,data[[#This Row],[Age]]&lt;=34),"25-34",IF(AND(data[[#This Row],[Age]]&gt;35,data[[#This Row],[Age]]&lt;=44),"35-44",IF(data[[#This Row],[Age]]&gt;44,"45+",IF(data[[#This Row],[Age]]&lt;18,"below 18 ")))))</f>
        <v>35-44</v>
      </c>
    </row>
    <row r="1500" spans="1:31" x14ac:dyDescent="0.25">
      <c r="A1500" t="s">
        <v>1553</v>
      </c>
      <c r="B1500">
        <v>26</v>
      </c>
      <c r="C1500" t="s">
        <v>47</v>
      </c>
      <c r="D1500" t="s">
        <v>64</v>
      </c>
      <c r="E1500" t="s">
        <v>58</v>
      </c>
      <c r="F1500" t="s">
        <v>59</v>
      </c>
      <c r="G1500">
        <v>7.3</v>
      </c>
      <c r="H1500">
        <v>4</v>
      </c>
      <c r="I1500">
        <v>0</v>
      </c>
      <c r="J1500" t="s">
        <v>42</v>
      </c>
      <c r="K1500" t="s">
        <v>36</v>
      </c>
      <c r="L1500">
        <v>90</v>
      </c>
      <c r="M1500">
        <v>3</v>
      </c>
      <c r="N1500">
        <v>7.3</v>
      </c>
      <c r="O1500">
        <v>3.1</v>
      </c>
      <c r="P1500">
        <v>1.2</v>
      </c>
      <c r="Q1500" t="s">
        <v>42</v>
      </c>
      <c r="R1500" t="s">
        <v>42</v>
      </c>
      <c r="S1500">
        <v>5.8</v>
      </c>
      <c r="T1500">
        <v>8.8000000000000007</v>
      </c>
      <c r="U1500">
        <v>7.5</v>
      </c>
      <c r="V1500">
        <v>6.6</v>
      </c>
      <c r="W1500">
        <v>6.4</v>
      </c>
      <c r="X1500">
        <v>4.2</v>
      </c>
      <c r="Y1500">
        <v>9.1</v>
      </c>
      <c r="Z1500">
        <v>6.4</v>
      </c>
      <c r="AA1500">
        <v>3.6</v>
      </c>
      <c r="AB1500">
        <v>2.1</v>
      </c>
      <c r="AC1500">
        <v>6.4</v>
      </c>
      <c r="AD1500" t="s">
        <v>45</v>
      </c>
      <c r="AE1500" t="str">
        <f>IF(AND(data[[#This Row],[Age]]&gt;=18,data[[#This Row],[Age]]&lt;=24),"18-24",IF(AND(data[[#This Row],[Age]]&gt;=25,data[[#This Row],[Age]]&lt;=34),"25-34",IF(AND(data[[#This Row],[Age]]&gt;35,data[[#This Row],[Age]]&lt;=44),"35-44",IF(data[[#This Row],[Age]]&gt;44,"45+",IF(data[[#This Row],[Age]]&lt;18,"below 18 ")))))</f>
        <v>25-34</v>
      </c>
    </row>
    <row r="1501" spans="1:31" x14ac:dyDescent="0.25">
      <c r="A1501" t="s">
        <v>1554</v>
      </c>
      <c r="B1501">
        <v>16</v>
      </c>
      <c r="C1501" t="s">
        <v>47</v>
      </c>
      <c r="D1501" t="s">
        <v>32</v>
      </c>
      <c r="E1501" t="s">
        <v>33</v>
      </c>
      <c r="F1501" t="s">
        <v>51</v>
      </c>
      <c r="G1501">
        <v>0.7</v>
      </c>
      <c r="H1501">
        <v>3</v>
      </c>
      <c r="I1501">
        <v>2</v>
      </c>
      <c r="J1501" t="s">
        <v>35</v>
      </c>
      <c r="K1501" t="s">
        <v>36</v>
      </c>
      <c r="L1501">
        <v>68</v>
      </c>
      <c r="M1501">
        <v>8.4</v>
      </c>
      <c r="N1501">
        <v>6.9</v>
      </c>
      <c r="O1501">
        <v>8.3000000000000007</v>
      </c>
      <c r="P1501">
        <v>5.4</v>
      </c>
      <c r="Q1501" t="s">
        <v>35</v>
      </c>
      <c r="R1501" t="s">
        <v>35</v>
      </c>
      <c r="S1501">
        <v>2.8</v>
      </c>
      <c r="T1501">
        <v>2</v>
      </c>
      <c r="U1501">
        <v>5.9</v>
      </c>
      <c r="V1501">
        <v>8.5</v>
      </c>
      <c r="W1501">
        <v>5.3</v>
      </c>
      <c r="X1501">
        <v>7.2</v>
      </c>
      <c r="Y1501">
        <v>3.4</v>
      </c>
      <c r="Z1501">
        <v>2.2999999999999998</v>
      </c>
      <c r="AA1501">
        <v>3.9</v>
      </c>
      <c r="AB1501">
        <v>3.1</v>
      </c>
      <c r="AC1501">
        <v>6.1</v>
      </c>
      <c r="AD1501" t="s">
        <v>53</v>
      </c>
      <c r="AE1501" t="str">
        <f>IF(AND(data[[#This Row],[Age]]&gt;=18,data[[#This Row],[Age]]&lt;=24),"18-24",IF(AND(data[[#This Row],[Age]]&gt;=25,data[[#This Row],[Age]]&lt;=34),"25-34",IF(AND(data[[#This Row],[Age]]&gt;35,data[[#This Row],[Age]]&lt;=44),"35-44",IF(data[[#This Row],[Age]]&gt;44,"45+",IF(data[[#This Row],[Age]]&lt;18,"below 18 ")))))</f>
        <v xml:space="preserve">below 18 </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7F205-C666-4972-8892-688448123A0A}">
  <sheetPr codeName="Sheet5"/>
  <dimension ref="A1:L4"/>
  <sheetViews>
    <sheetView workbookViewId="0">
      <selection sqref="A1:L2"/>
    </sheetView>
  </sheetViews>
  <sheetFormatPr defaultRowHeight="15" x14ac:dyDescent="0.25"/>
  <sheetData>
    <row r="1" spans="1:12" x14ac:dyDescent="0.25">
      <c r="A1" s="4" t="s">
        <v>1564</v>
      </c>
      <c r="B1" s="5"/>
      <c r="C1" s="5"/>
      <c r="D1" s="5"/>
      <c r="E1" s="5"/>
      <c r="F1" s="5"/>
      <c r="G1" s="5"/>
      <c r="H1" s="5"/>
      <c r="I1" s="5"/>
      <c r="J1" s="5"/>
      <c r="K1" s="5"/>
      <c r="L1" s="5"/>
    </row>
    <row r="2" spans="1:12" x14ac:dyDescent="0.25">
      <c r="A2" s="5"/>
      <c r="B2" s="5"/>
      <c r="C2" s="5"/>
      <c r="D2" s="5"/>
      <c r="E2" s="5"/>
      <c r="F2" s="5"/>
      <c r="G2" s="5"/>
      <c r="H2" s="5"/>
      <c r="I2" s="5"/>
      <c r="J2" s="5"/>
      <c r="K2" s="5"/>
      <c r="L2" s="5"/>
    </row>
    <row r="4" spans="1:12" x14ac:dyDescent="0.25">
      <c r="H4">
        <f>GETPIVOTDATA("User_ID",pivots!$A$29)</f>
        <v>46</v>
      </c>
      <c r="I4">
        <v>1500</v>
      </c>
    </row>
  </sheetData>
  <mergeCells count="1">
    <mergeCell ref="A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KPIS</vt:lpstr>
      <vt:lpstr>dashboard2</vt:lpstr>
      <vt:lpstr>social_media_addiction_mental_w</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 sha</cp:lastModifiedBy>
  <dcterms:modified xsi:type="dcterms:W3CDTF">2026-08-05T13:10:52Z</dcterms:modified>
</cp:coreProperties>
</file>