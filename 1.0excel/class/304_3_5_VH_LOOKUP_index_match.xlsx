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ds_materials\1.0excel\class\"/>
    </mc:Choice>
  </mc:AlternateContent>
  <xr:revisionPtr revIDLastSave="0" documentId="8_{EA4B1205-B04F-435C-A20C-A9413BD1E8F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vlookups" sheetId="2" r:id="rId1"/>
    <sheet name="Sheet2" sheetId="11" r:id="rId2"/>
    <sheet name="Sheet4" sheetId="13" r:id="rId3"/>
    <sheet name="Sheet3" sheetId="12" r:id="rId4"/>
    <sheet name="Sheet1" sheetId="10" r:id="rId5"/>
    <sheet name="302" sheetId="9" r:id="rId6"/>
    <sheet name="hlookup" sheetId="3" r:id="rId7"/>
    <sheet name="index" sheetId="4" r:id="rId8"/>
    <sheet name="match" sheetId="5" r:id="rId9"/>
    <sheet name="index-match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1" l="1"/>
  <c r="L11" i="11"/>
  <c r="H9" i="11"/>
  <c r="E5" i="12"/>
  <c r="D5" i="12"/>
  <c r="H6" i="11"/>
  <c r="H3" i="11"/>
  <c r="H2" i="11"/>
  <c r="F8" i="5"/>
  <c r="E6" i="5"/>
  <c r="C9" i="4"/>
  <c r="F8" i="4"/>
  <c r="D7" i="4"/>
  <c r="C9" i="10"/>
  <c r="B9" i="10"/>
  <c r="D23" i="2"/>
  <c r="C23" i="2" a="1"/>
  <c r="B23" i="2"/>
  <c r="I8" i="2"/>
  <c r="H8" i="2"/>
  <c r="K6" i="2"/>
  <c r="K5" i="2"/>
  <c r="K4" i="2"/>
  <c r="H4" i="2"/>
  <c r="C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<sst xmlns="http://schemas.openxmlformats.org/spreadsheetml/2006/main" count="275" uniqueCount="94">
  <si>
    <t>Below is a list of the employees who work in your company:</t>
  </si>
  <si>
    <t>Employee ID</t>
  </si>
  <si>
    <t>Name</t>
  </si>
  <si>
    <t>Location</t>
  </si>
  <si>
    <t>Salary</t>
  </si>
  <si>
    <t>Age</t>
  </si>
  <si>
    <t>William 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</si>
  <si>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</si>
  <si>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</si>
  <si>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</si>
  <si>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</si>
  <si>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</si>
  <si>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</si>
  <si>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</si>
  <si>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</si>
  <si>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</si>
  <si>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</si>
  <si>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</si>
  <si>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</si>
  <si>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Usa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</si>
  <si>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</si>
  <si>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</si>
  <si>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</si>
  <si>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</si>
  <si>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</si>
  <si>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</si>
  <si>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</si>
  <si>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</si>
  <si>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</si>
  <si>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Data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</si>
  <si>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</si>
  <si>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</si>
  <si>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</si>
  <si>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</si>
  <si>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</si>
  <si>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</si>
  <si>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</si>
  <si>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</si>
  <si>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</si>
  <si>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</si>
  <si>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</si>
  <si>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</si>
  <si>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</si>
  <si>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</si>
  <si>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</si>
  <si>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</si>
  <si>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Bonus</t>
  </si>
  <si>
    <t>Total Pay</t>
  </si>
  <si>
    <t>What is the department of employee with ID 102?</t>
  </si>
  <si>
    <t>hlookup</t>
  </si>
  <si>
    <t>bonous</t>
  </si>
  <si>
    <t>id</t>
  </si>
  <si>
    <t>Enter function here:</t>
  </si>
  <si>
    <t>What is the salary of employee with ID 105?</t>
  </si>
  <si>
    <t>Use INDEX formula to return name the 4th company in the list</t>
  </si>
  <si>
    <t>Alphabet</t>
  </si>
  <si>
    <t>Barclays</t>
  </si>
  <si>
    <t>Corning</t>
  </si>
  <si>
    <t>Dell</t>
  </si>
  <si>
    <t>Exxon Mobile</t>
  </si>
  <si>
    <t>Facebook</t>
  </si>
  <si>
    <t>Answer:</t>
  </si>
  <si>
    <t>&lt;- Insert formula here</t>
  </si>
  <si>
    <r>
      <rPr>
        <sz val="11"/>
        <color rgb="FF000000"/>
        <rFont val="Calibri"/>
        <family val="2"/>
        <scheme val="minor"/>
      </rPr>
      <t xml:space="preserve">Use MATCH to return the position number of the letter </t>
    </r>
    <r>
      <rPr>
        <b/>
        <sz val="11"/>
        <color rgb="FF000000"/>
        <rFont val="Calibri"/>
        <family val="2"/>
        <scheme val="minor"/>
      </rPr>
      <t>F</t>
    </r>
    <r>
      <rPr>
        <sz val="11"/>
        <color rgb="FF000000"/>
        <rFont val="Calibri"/>
        <family val="2"/>
        <scheme val="minor"/>
      </rPr>
      <t xml:space="preserve"> in the following array:</t>
    </r>
  </si>
  <si>
    <t>Letter:</t>
  </si>
  <si>
    <t>A</t>
  </si>
  <si>
    <t>Z</t>
  </si>
  <si>
    <t>C</t>
  </si>
  <si>
    <t>X</t>
  </si>
  <si>
    <t>Y</t>
  </si>
  <si>
    <t>F</t>
  </si>
  <si>
    <t>W</t>
  </si>
  <si>
    <t>Using Index&amp;Match, find the ID Number of David</t>
  </si>
  <si>
    <t>ID Number</t>
  </si>
  <si>
    <t>Yoav</t>
  </si>
  <si>
    <t>Bob</t>
  </si>
  <si>
    <t>Rami</t>
  </si>
  <si>
    <t>David</t>
  </si>
  <si>
    <t>Lev</t>
  </si>
  <si>
    <t>Frank</t>
  </si>
  <si>
    <t>Name:</t>
  </si>
  <si>
    <t>vlookup</t>
  </si>
  <si>
    <t>find the salary of employee 50217</t>
  </si>
  <si>
    <t>find the salary of employee Williamr Black</t>
  </si>
  <si>
    <t>locations</t>
  </si>
  <si>
    <t>salary</t>
  </si>
  <si>
    <t>name</t>
  </si>
  <si>
    <t>index</t>
  </si>
  <si>
    <t>take index number and return value</t>
  </si>
  <si>
    <t xml:space="preserve">match </t>
  </si>
  <si>
    <t>take a value and return index number</t>
  </si>
  <si>
    <t>based on the locations find the emp name , and  salary using index match</t>
  </si>
  <si>
    <t>usa</t>
  </si>
  <si>
    <t>eric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</si>
</sst>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/>
    <xf numFmtId="0" fontId="5" fillId="3" borderId="2" xfId="0" applyFont="1" applyFill="1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5" fillId="3" borderId="4" xfId="0" applyFont="1" applyFill="1" applyBorder="1"/>
    <xf numFmtId="0" fontId="5" fillId="3" borderId="0" xfId="0" applyFont="1" applyFill="1"/>
    <xf numFmtId="0" fontId="6" fillId="0" borderId="5" xfId="0" applyFont="1" applyBorder="1" applyAlignment="1">
      <alignment horizontal="left"/>
    </xf>
    <xf numFmtId="0" fontId="0" fillId="4" borderId="0" xfId="0" applyFill="1"/>
    <xf numFmtId="0" fontId="10" fillId="0" borderId="0" xfId="0" applyFont="1"/>
    <xf numFmtId="0" fontId="6" fillId="5" borderId="0" xfId="0" applyFont="1" applyFill="1"/>
    <xf numFmtId="0" fontId="4" fillId="0" borderId="0" xfId="0" applyFont="1"/>
    <xf numFmtId="0" fontId="4" fillId="6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showFormulas="1" zoomScale="97" zoomScaleNormal="160" workbookViewId="0">
      <selection activeCell="A3" sqref="A3:E15"/>
    </sheetView>
  </sheetViews>
  <sheetFormatPr defaultColWidth="9" defaultRowHeight="15"/>
  <cols>
    <col min="1" max="1" width="24.140625" customWidth="1"/>
    <col min="2" max="2" width="14.28515625" customWidth="1"/>
    <col min="3" max="3" width="10.42578125" bestFit="1" customWidth="1"/>
    <col min="4" max="4" width="21.7109375" customWidth="1"/>
    <col min="7" max="7" width="15.42578125" customWidth="1"/>
    <col min="8" max="8" width="17.5703125" customWidth="1"/>
    <col min="9" max="9" width="9.42578125" customWidth="1"/>
    <col min="11" max="11" width="20.7109375" bestFit="1" customWidth="1"/>
  </cols>
  <sheetData>
    <row r="1" spans="1:11">
      <c r="A1" s="25" t="s">
        <v>0</v>
      </c>
      <c r="B1" s="25"/>
      <c r="C1" s="25"/>
      <c r="D1" s="25"/>
      <c r="E1" s="2"/>
    </row>
    <row r="2" spans="1:11">
      <c r="A2" s="2"/>
      <c r="B2" s="2"/>
      <c r="C2" s="2"/>
      <c r="D2" s="2"/>
      <c r="E2" s="2"/>
      <c r="G2" s="20" t="s">
        <v>81</v>
      </c>
      <c r="H2" s="20" t="s">
        <v>49</v>
      </c>
    </row>
    <row r="3" spans="1:11">
      <c r="A3" s="14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G3" s="15" t="s">
        <v>82</v>
      </c>
      <c r="H3" s="15"/>
      <c r="I3" s="15"/>
      <c r="J3" s="15"/>
      <c r="K3" s="21" t="s">
        <v>85</v>
      </c>
    </row>
    <row r="4" spans="1:11">
      <c r="A4" s="16">
        <v>56815</v>
      </c>
      <c r="B4" s="12" t="s">
        <v>6</v>
      </c>
      <c r="C4" s="12" t="s">
        <v>7</v>
      </c>
      <c r="D4" s="13">
        <v>13836</v>
      </c>
      <c r="E4" s="13">
        <v>25</v>
      </c>
      <c r="G4">
        <v>50217</v>
      </c>
      <c r="H4">
        <f>VLOOKUP(G4,A3:E15,4,0)</f>
        <v>16406</v>
      </c>
      <c r="K4">
        <f>MATCH(K3,A3:E3,0)</f>
        <v>4</v>
      </c>
    </row>
    <row r="5" spans="1:11">
      <c r="A5" s="16">
        <v>51186</v>
      </c>
      <c r="B5" s="12" t="s">
        <v>8</v>
      </c>
      <c r="C5" s="12" t="s">
        <v>9</v>
      </c>
      <c r="D5" s="13">
        <v>11771</v>
      </c>
      <c r="E5" s="13">
        <v>32</v>
      </c>
      <c r="K5">
        <f>VLOOKUP(G4,A4:E13,K4,0)</f>
        <v>16406</v>
      </c>
    </row>
    <row r="6" spans="1:11">
      <c r="A6" s="16">
        <v>51511</v>
      </c>
      <c r="B6" s="12" t="s">
        <v>10</v>
      </c>
      <c r="C6" s="12" t="s">
        <v>11</v>
      </c>
      <c r="D6" s="13">
        <v>13046</v>
      </c>
      <c r="E6" s="13">
        <v>35</v>
      </c>
      <c r="K6">
        <f>VLOOKUP(G4,A3:D15,MATCH(K3,A3:E3,0),0)</f>
        <v>16406</v>
      </c>
    </row>
    <row r="7" spans="1:11">
      <c r="A7" s="16">
        <v>50890</v>
      </c>
      <c r="B7" s="12" t="s">
        <v>12</v>
      </c>
      <c r="C7" s="12" t="s">
        <v>13</v>
      </c>
      <c r="D7" s="13">
        <v>18276</v>
      </c>
      <c r="E7" s="13">
        <v>32</v>
      </c>
      <c r="F7" s="20" t="s">
        <v>83</v>
      </c>
      <c r="H7" s="20" t="s">
        <v>85</v>
      </c>
      <c r="I7" s="20" t="s">
        <v>84</v>
      </c>
    </row>
    <row r="8" spans="1:11">
      <c r="A8" s="16">
        <v>53700</v>
      </c>
      <c r="B8" s="12" t="s">
        <v>14</v>
      </c>
      <c r="C8" s="12" t="s">
        <v>15</v>
      </c>
      <c r="D8" s="13">
        <v>19327</v>
      </c>
      <c r="E8" s="13">
        <v>26</v>
      </c>
      <c r="G8" s="12" t="s">
        <v>18</v>
      </c>
      <c r="H8">
        <f>VLOOKUP(G8,B3:E15,3,0)</f>
        <v>10387</v>
      </c>
      <c r="I8" t="str">
        <f>VLOOKUP(G8,B3:E15,2,0)</f>
        <v>Usa</v>
      </c>
    </row>
    <row r="9" spans="1:11">
      <c r="A9" s="16">
        <v>55879</v>
      </c>
      <c r="B9" s="12" t="s">
        <v>16</v>
      </c>
      <c r="C9" s="12" t="s">
        <v>17</v>
      </c>
      <c r="D9" s="13">
        <v>18996</v>
      </c>
      <c r="E9" s="13">
        <v>35</v>
      </c>
      <c r="J9" s="20" t="s">
        <v>86</v>
      </c>
    </row>
    <row r="10" spans="1:11">
      <c r="A10" s="16">
        <v>59848</v>
      </c>
      <c r="B10" s="12" t="s">
        <v>18</v>
      </c>
      <c r="C10" s="12" t="s">
        <v>19</v>
      </c>
      <c r="D10" s="13">
        <v>10387</v>
      </c>
      <c r="E10" s="13">
        <v>25</v>
      </c>
      <c r="I10" s="20" t="s">
        <v>26</v>
      </c>
    </row>
    <row r="11" spans="1:11">
      <c r="A11" s="16">
        <v>58369</v>
      </c>
      <c r="B11" s="12" t="s">
        <v>20</v>
      </c>
      <c r="C11" s="12" t="s">
        <v>17</v>
      </c>
      <c r="D11" s="13">
        <v>12566</v>
      </c>
      <c r="E11" s="13">
        <v>37</v>
      </c>
    </row>
    <row r="12" spans="1:11">
      <c r="A12" s="16">
        <v>50217</v>
      </c>
      <c r="B12" s="12" t="s">
        <v>21</v>
      </c>
      <c r="C12" s="12" t="s">
        <v>22</v>
      </c>
      <c r="D12" s="13">
        <v>16406</v>
      </c>
      <c r="E12" s="13">
        <v>42</v>
      </c>
    </row>
    <row r="13" spans="1:11">
      <c r="A13" s="16">
        <v>50695</v>
      </c>
      <c r="B13" s="12" t="s">
        <v>23</v>
      </c>
      <c r="C13" s="12" t="s">
        <v>13</v>
      </c>
      <c r="D13" s="13">
        <v>15784</v>
      </c>
      <c r="E13" s="13">
        <v>43</v>
      </c>
    </row>
    <row r="14" spans="1:11">
      <c r="A14" s="16">
        <v>59673</v>
      </c>
      <c r="B14" s="12" t="s">
        <v>24</v>
      </c>
      <c r="C14" s="12" t="s">
        <v>7</v>
      </c>
      <c r="D14" s="13">
        <v>10959</v>
      </c>
      <c r="E14" s="13">
        <v>30</v>
      </c>
    </row>
    <row r="15" spans="1:11">
      <c r="A15" s="16">
        <v>52130</v>
      </c>
      <c r="B15" s="12" t="s">
        <v>25</v>
      </c>
      <c r="C15" s="12" t="s">
        <v>26</v>
      </c>
      <c r="D15" s="13">
        <v>14562</v>
      </c>
      <c r="E15" s="13">
        <v>32</v>
      </c>
      <c r="H15" s="17"/>
      <c r="I15" s="17"/>
    </row>
    <row r="16" spans="1:11">
      <c r="A16" s="2"/>
      <c r="B16" s="2"/>
      <c r="C16" s="2"/>
      <c r="D16" s="2"/>
      <c r="E16" s="2"/>
      <c r="H16" s="17"/>
      <c r="I16" s="17"/>
    </row>
    <row r="17" spans="1:5">
      <c r="A17" s="2" t="s">
        <v>27</v>
      </c>
      <c r="B17" s="18"/>
      <c r="C17" s="18"/>
      <c r="D17" s="19"/>
      <c r="E17" s="2"/>
    </row>
    <row r="18" spans="1:5">
      <c r="A18" s="2"/>
      <c r="B18" s="2"/>
      <c r="C18" s="2"/>
      <c r="D18" s="2"/>
      <c r="E18" s="2"/>
    </row>
    <row r="19" spans="1:5">
      <c r="A19" s="2" t="s">
        <v>28</v>
      </c>
      <c r="B19" s="18"/>
      <c r="C19" s="2"/>
      <c r="D19" s="19"/>
      <c r="E19" s="2"/>
    </row>
    <row r="20" spans="1:5">
      <c r="A20" s="2"/>
      <c r="B20" s="2"/>
      <c r="C20" s="2"/>
      <c r="D20" s="2"/>
      <c r="E20" s="2"/>
    </row>
    <row r="21" spans="1:5" ht="51.75" customHeight="1">
      <c r="B21" s="23" t="s">
        <v>91</v>
      </c>
      <c r="C21" s="22" t="s">
        <v>86</v>
      </c>
      <c r="D21" s="22" t="s">
        <v>85</v>
      </c>
    </row>
    <row r="22" spans="1:5">
      <c r="B22" s="22" t="s">
        <v>92</v>
      </c>
    </row>
    <row r="23" spans="1:5">
      <c r="B23">
        <f>MATCH(B22,C4:C15,0)</f>
        <v>7</v>
      </c>
      <c r="C23" t="str" cm="1">
        <f t="array" ref="C23">INDEX(B4:B15,B23)</f>
        <v>Paul Bell</v>
      </c>
      <c r="D23">
        <f>INDEX(D4:D15,MATCH(B22,C4:C15,0))</f>
        <v>10387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D3BE-E6C9-4310-9F19-E61CABBF2040}">
  <sheetPr codeName="Sheet2"/>
  <dimension ref="A1:O20"/>
  <sheetViews>
    <sheetView zoomScale="107" workbookViewId="0">
      <selection sqref="A1:E13"/>
    </sheetView>
  </sheetViews>
  <sheetFormatPr defaultRowHeight="15"/>
  <cols>
    <col min="1" max="1" width="12.140625" bestFit="1" customWidth="1"/>
    <col min="2" max="2" width="17.5703125" bestFit="1" customWidth="1"/>
    <col min="3" max="3" width="10.42578125" bestFit="1" customWidth="1"/>
    <col min="4" max="4" width="6.28515625" bestFit="1" customWidth="1"/>
    <col min="5" max="5" width="12.140625" customWidth="1"/>
    <col min="10" max="10" width="16.7109375" customWidth="1"/>
    <col min="12" max="12" width="14.7109375" customWidth="1"/>
    <col min="15" max="15" width="19.7109375" customWidth="1"/>
    <col min="16" max="16" width="28" customWidth="1"/>
  </cols>
  <sheetData>
    <row r="1" spans="1:15">
      <c r="A1" s="14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G1" s="26" t="s">
        <v>51</v>
      </c>
      <c r="H1" s="26" t="s">
        <v>85</v>
      </c>
    </row>
    <row r="2" spans="1:15">
      <c r="A2" s="16">
        <v>56815</v>
      </c>
      <c r="B2" s="12" t="s">
        <v>6</v>
      </c>
      <c r="C2" s="12" t="s">
        <v>7</v>
      </c>
      <c r="D2" s="13">
        <v>13836</v>
      </c>
      <c r="E2" s="13">
        <v>25</v>
      </c>
      <c r="G2">
        <v>51511</v>
      </c>
      <c r="H2">
        <f>VLOOKUP(G2,$A$1:$E$13,4,0)</f>
        <v>13046</v>
      </c>
    </row>
    <row r="3" spans="1:15">
      <c r="A3" s="16">
        <v>51186</v>
      </c>
      <c r="B3" s="12" t="s">
        <v>8</v>
      </c>
      <c r="C3" s="12" t="s">
        <v>9</v>
      </c>
      <c r="D3" s="13">
        <v>11771</v>
      </c>
      <c r="E3" s="13">
        <v>32</v>
      </c>
      <c r="G3">
        <v>50217</v>
      </c>
      <c r="H3">
        <f>VLOOKUP(G3,$A$1:$E$13,4,0)</f>
        <v>16406</v>
      </c>
    </row>
    <row r="4" spans="1:15">
      <c r="A4" s="16">
        <v>51511</v>
      </c>
      <c r="B4" s="12" t="s">
        <v>10</v>
      </c>
      <c r="C4" s="12" t="s">
        <v>11</v>
      </c>
      <c r="D4" s="13">
        <v>13046</v>
      </c>
      <c r="E4" s="13">
        <v>35</v>
      </c>
    </row>
    <row r="5" spans="1:15">
      <c r="A5" s="16">
        <v>50890</v>
      </c>
      <c r="B5" s="12" t="s">
        <v>12</v>
      </c>
      <c r="C5" s="12" t="s">
        <v>13</v>
      </c>
      <c r="D5" s="13">
        <v>18276</v>
      </c>
      <c r="E5" s="13">
        <v>32</v>
      </c>
      <c r="H5" s="26" t="s">
        <v>86</v>
      </c>
    </row>
    <row r="6" spans="1:15">
      <c r="A6" s="16">
        <v>53700</v>
      </c>
      <c r="B6" s="12" t="s">
        <v>14</v>
      </c>
      <c r="C6" s="12" t="s">
        <v>15</v>
      </c>
      <c r="D6" s="13">
        <v>19327</v>
      </c>
      <c r="E6" s="13">
        <v>26</v>
      </c>
      <c r="G6">
        <v>50217</v>
      </c>
      <c r="H6" t="str">
        <f>VLOOKUP(G6,A1:E13,2,0)</f>
        <v>Eric Green</v>
      </c>
    </row>
    <row r="7" spans="1:15">
      <c r="A7" s="16">
        <v>55879</v>
      </c>
      <c r="B7" s="12" t="s">
        <v>16</v>
      </c>
      <c r="C7" s="12" t="s">
        <v>17</v>
      </c>
      <c r="D7" s="13">
        <v>18996</v>
      </c>
      <c r="E7" s="13">
        <v>35</v>
      </c>
      <c r="M7" s="24"/>
      <c r="N7" s="26"/>
      <c r="O7" s="26"/>
    </row>
    <row r="8" spans="1:15">
      <c r="A8" s="16">
        <v>59848</v>
      </c>
      <c r="B8" s="12" t="s">
        <v>18</v>
      </c>
      <c r="C8" s="12" t="s">
        <v>19</v>
      </c>
      <c r="D8" s="13">
        <v>10387</v>
      </c>
      <c r="E8" s="13">
        <v>25</v>
      </c>
      <c r="G8" s="26" t="s">
        <v>86</v>
      </c>
      <c r="H8" s="26" t="s">
        <v>84</v>
      </c>
      <c r="J8" s="26" t="s">
        <v>51</v>
      </c>
      <c r="N8" s="24"/>
    </row>
    <row r="9" spans="1:15">
      <c r="A9" s="16">
        <v>58369</v>
      </c>
      <c r="B9" s="12" t="s">
        <v>20</v>
      </c>
      <c r="C9" s="12" t="s">
        <v>17</v>
      </c>
      <c r="D9" s="13">
        <v>12566</v>
      </c>
      <c r="E9" s="13">
        <v>37</v>
      </c>
      <c r="G9" s="26" t="s">
        <v>93</v>
      </c>
      <c r="H9" t="str">
        <f>VLOOKUP(G9,B1:E13,2,0)</f>
        <v>Warsaw</v>
      </c>
    </row>
    <row r="10" spans="1:15">
      <c r="A10" s="16">
        <v>50217</v>
      </c>
      <c r="B10" s="12" t="s">
        <v>21</v>
      </c>
      <c r="C10" s="12" t="s">
        <v>22</v>
      </c>
      <c r="D10" s="13">
        <v>16406</v>
      </c>
      <c r="E10" s="13">
        <v>42</v>
      </c>
      <c r="K10" s="26" t="s">
        <v>51</v>
      </c>
      <c r="L10" s="26" t="s">
        <v>86</v>
      </c>
      <c r="M10" s="26" t="s">
        <v>85</v>
      </c>
    </row>
    <row r="11" spans="1:15">
      <c r="A11" s="16">
        <v>50695</v>
      </c>
      <c r="B11" s="12" t="s">
        <v>23</v>
      </c>
      <c r="C11" s="12" t="s">
        <v>13</v>
      </c>
      <c r="D11" s="13">
        <v>15784</v>
      </c>
      <c r="E11" s="13">
        <v>43</v>
      </c>
      <c r="K11">
        <v>50217</v>
      </c>
      <c r="L11" t="str">
        <f>HLOOKUP(K11,A16:M20,2,0)</f>
        <v>Eric Green</v>
      </c>
      <c r="M11">
        <f>HLOOKUP(L11,A17:M20,3,0)</f>
        <v>16406</v>
      </c>
    </row>
    <row r="12" spans="1:15">
      <c r="A12" s="16">
        <v>59673</v>
      </c>
      <c r="B12" s="12" t="s">
        <v>24</v>
      </c>
      <c r="C12" s="12" t="s">
        <v>7</v>
      </c>
      <c r="D12" s="13">
        <v>10959</v>
      </c>
      <c r="E12" s="13">
        <v>30</v>
      </c>
      <c r="I12" s="24"/>
    </row>
    <row r="13" spans="1:15">
      <c r="A13" s="16">
        <v>52130</v>
      </c>
      <c r="B13" s="12" t="s">
        <v>25</v>
      </c>
      <c r="C13" s="12" t="s">
        <v>26</v>
      </c>
      <c r="D13" s="13">
        <v>14562</v>
      </c>
      <c r="E13" s="13">
        <v>32</v>
      </c>
      <c r="I13" s="24"/>
    </row>
    <row r="16" spans="1:15">
      <c r="A16" s="14" t="s">
        <v>1</v>
      </c>
      <c r="B16" s="16">
        <v>56815</v>
      </c>
      <c r="C16" s="16">
        <v>51186</v>
      </c>
      <c r="D16" s="16">
        <v>51511</v>
      </c>
      <c r="E16" s="16">
        <v>50890</v>
      </c>
      <c r="F16" s="16">
        <v>53700</v>
      </c>
      <c r="G16" s="16">
        <v>55879</v>
      </c>
      <c r="H16" s="16">
        <v>59848</v>
      </c>
      <c r="I16" s="16">
        <v>58369</v>
      </c>
      <c r="J16" s="16">
        <v>50217</v>
      </c>
      <c r="K16" s="16">
        <v>50695</v>
      </c>
      <c r="L16" s="16">
        <v>59673</v>
      </c>
      <c r="M16" s="16">
        <v>52130</v>
      </c>
    </row>
    <row r="17" spans="1:13">
      <c r="A17" s="11" t="s">
        <v>2</v>
      </c>
      <c r="B17" s="12" t="s">
        <v>6</v>
      </c>
      <c r="C17" s="12" t="s">
        <v>8</v>
      </c>
      <c r="D17" s="12" t="s">
        <v>10</v>
      </c>
      <c r="E17" s="12" t="s">
        <v>12</v>
      </c>
      <c r="F17" s="12" t="s">
        <v>14</v>
      </c>
      <c r="G17" s="12" t="s">
        <v>16</v>
      </c>
      <c r="H17" s="12" t="s">
        <v>18</v>
      </c>
      <c r="I17" s="12" t="s">
        <v>20</v>
      </c>
      <c r="J17" s="12" t="s">
        <v>21</v>
      </c>
      <c r="K17" s="12" t="s">
        <v>23</v>
      </c>
      <c r="L17" s="12" t="s">
        <v>24</v>
      </c>
      <c r="M17" s="12" t="s">
        <v>25</v>
      </c>
    </row>
    <row r="18" spans="1:13">
      <c r="A18" s="11" t="s">
        <v>3</v>
      </c>
      <c r="B18" s="12" t="s">
        <v>7</v>
      </c>
      <c r="C18" s="12" t="s">
        <v>9</v>
      </c>
      <c r="D18" s="12" t="s">
        <v>11</v>
      </c>
      <c r="E18" s="12" t="s">
        <v>13</v>
      </c>
      <c r="F18" s="12" t="s">
        <v>15</v>
      </c>
      <c r="G18" s="12" t="s">
        <v>17</v>
      </c>
      <c r="H18" s="12" t="s">
        <v>19</v>
      </c>
      <c r="I18" s="12" t="s">
        <v>17</v>
      </c>
      <c r="J18" s="12" t="s">
        <v>22</v>
      </c>
      <c r="K18" s="12" t="s">
        <v>13</v>
      </c>
      <c r="L18" s="12" t="s">
        <v>7</v>
      </c>
      <c r="M18" s="12" t="s">
        <v>26</v>
      </c>
    </row>
    <row r="19" spans="1:13">
      <c r="A19" s="11" t="s">
        <v>4</v>
      </c>
      <c r="B19" s="13">
        <v>13836</v>
      </c>
      <c r="C19" s="13">
        <v>11771</v>
      </c>
      <c r="D19" s="13">
        <v>13046</v>
      </c>
      <c r="E19" s="13">
        <v>18276</v>
      </c>
      <c r="F19" s="13">
        <v>19327</v>
      </c>
      <c r="G19" s="13">
        <v>18996</v>
      </c>
      <c r="H19" s="13">
        <v>10387</v>
      </c>
      <c r="I19" s="13">
        <v>12566</v>
      </c>
      <c r="J19" s="13">
        <v>16406</v>
      </c>
      <c r="K19" s="13">
        <v>15784</v>
      </c>
      <c r="L19" s="13">
        <v>10959</v>
      </c>
      <c r="M19" s="13">
        <v>14562</v>
      </c>
    </row>
    <row r="20" spans="1:13">
      <c r="A20" s="11" t="s">
        <v>5</v>
      </c>
      <c r="B20" s="13">
        <v>25</v>
      </c>
      <c r="C20" s="13">
        <v>32</v>
      </c>
      <c r="D20" s="13">
        <v>35</v>
      </c>
      <c r="E20" s="13">
        <v>32</v>
      </c>
      <c r="F20" s="13">
        <v>26</v>
      </c>
      <c r="G20" s="13">
        <v>35</v>
      </c>
      <c r="H20" s="13">
        <v>25</v>
      </c>
      <c r="I20" s="13">
        <v>37</v>
      </c>
      <c r="J20" s="13">
        <v>42</v>
      </c>
      <c r="K20" s="13">
        <v>43</v>
      </c>
      <c r="L20" s="13">
        <v>30</v>
      </c>
      <c r="M20" s="13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10C7-658B-464D-BD66-EB7C3C00A45A}">
  <sheetPr codeName="Sheet3"/>
  <dimension ref="A1:E13"/>
  <sheetViews>
    <sheetView tabSelected="1" zoomScale="161" workbookViewId="0">
      <selection activeCell="H4" sqref="H4"/>
    </sheetView>
  </sheetViews>
  <sheetFormatPr defaultRowHeight="15"/>
  <cols>
    <col min="1" max="1" width="12.140625" bestFit="1" customWidth="1"/>
    <col min="2" max="2" width="10.42578125" customWidth="1"/>
    <col min="3" max="3" width="6.140625" customWidth="1"/>
  </cols>
  <sheetData>
    <row r="1" spans="1:5">
      <c r="A1" s="14" t="s">
        <v>1</v>
      </c>
      <c r="B1" s="11" t="s">
        <v>2</v>
      </c>
      <c r="C1" s="11" t="s">
        <v>3</v>
      </c>
      <c r="D1" s="11" t="s">
        <v>4</v>
      </c>
      <c r="E1" s="11" t="s">
        <v>5</v>
      </c>
    </row>
    <row r="2" spans="1:5">
      <c r="A2" s="16">
        <v>56815</v>
      </c>
      <c r="B2" s="12" t="s">
        <v>6</v>
      </c>
      <c r="C2" s="12" t="s">
        <v>7</v>
      </c>
      <c r="D2" s="13">
        <v>13836</v>
      </c>
      <c r="E2" s="13">
        <v>25</v>
      </c>
    </row>
    <row r="3" spans="1:5">
      <c r="A3" s="16">
        <v>51186</v>
      </c>
      <c r="B3" s="12" t="s">
        <v>8</v>
      </c>
      <c r="C3" s="12" t="s">
        <v>9</v>
      </c>
      <c r="D3" s="13">
        <v>11771</v>
      </c>
      <c r="E3" s="13">
        <v>32</v>
      </c>
    </row>
    <row r="4" spans="1:5">
      <c r="A4" s="16">
        <v>51511</v>
      </c>
      <c r="B4" s="12" t="s">
        <v>10</v>
      </c>
      <c r="C4" s="12" t="s">
        <v>11</v>
      </c>
      <c r="D4" s="13">
        <v>13046</v>
      </c>
      <c r="E4" s="13">
        <v>35</v>
      </c>
    </row>
    <row r="5" spans="1:5">
      <c r="A5" s="16">
        <v>50890</v>
      </c>
      <c r="B5" s="12" t="s">
        <v>12</v>
      </c>
      <c r="C5" s="12" t="s">
        <v>13</v>
      </c>
      <c r="D5" s="13">
        <v>18276</v>
      </c>
      <c r="E5" s="13">
        <v>32</v>
      </c>
    </row>
    <row r="6" spans="1:5">
      <c r="A6" s="16">
        <v>53700</v>
      </c>
      <c r="B6" s="12" t="s">
        <v>14</v>
      </c>
      <c r="C6" s="12" t="s">
        <v>15</v>
      </c>
      <c r="D6" s="13">
        <v>19327</v>
      </c>
      <c r="E6" s="13">
        <v>26</v>
      </c>
    </row>
    <row r="7" spans="1:5">
      <c r="A7" s="16">
        <v>55879</v>
      </c>
      <c r="B7" s="12" t="s">
        <v>16</v>
      </c>
      <c r="C7" s="12" t="s">
        <v>17</v>
      </c>
      <c r="D7" s="13">
        <v>18996</v>
      </c>
      <c r="E7" s="13">
        <v>35</v>
      </c>
    </row>
    <row r="8" spans="1:5">
      <c r="A8" s="16">
        <v>59848</v>
      </c>
      <c r="B8" s="12" t="s">
        <v>18</v>
      </c>
      <c r="C8" s="12" t="s">
        <v>19</v>
      </c>
      <c r="D8" s="13">
        <v>10387</v>
      </c>
      <c r="E8" s="13">
        <v>25</v>
      </c>
    </row>
    <row r="9" spans="1:5">
      <c r="A9" s="16">
        <v>58369</v>
      </c>
      <c r="B9" s="12" t="s">
        <v>20</v>
      </c>
      <c r="C9" s="12" t="s">
        <v>17</v>
      </c>
      <c r="D9" s="13">
        <v>12566</v>
      </c>
      <c r="E9" s="13">
        <v>37</v>
      </c>
    </row>
    <row r="10" spans="1:5">
      <c r="A10" s="16">
        <v>50217</v>
      </c>
      <c r="B10" s="12" t="s">
        <v>21</v>
      </c>
      <c r="C10" s="12" t="s">
        <v>22</v>
      </c>
      <c r="D10" s="13">
        <v>16406</v>
      </c>
      <c r="E10" s="13">
        <v>42</v>
      </c>
    </row>
    <row r="11" spans="1:5">
      <c r="A11" s="16">
        <v>50695</v>
      </c>
      <c r="B11" s="12" t="s">
        <v>23</v>
      </c>
      <c r="C11" s="12" t="s">
        <v>13</v>
      </c>
      <c r="D11" s="13">
        <v>15784</v>
      </c>
      <c r="E11" s="13">
        <v>43</v>
      </c>
    </row>
    <row r="12" spans="1:5">
      <c r="A12" s="16">
        <v>59673</v>
      </c>
      <c r="B12" s="12" t="s">
        <v>24</v>
      </c>
      <c r="C12" s="12" t="s">
        <v>7</v>
      </c>
      <c r="D12" s="13">
        <v>10959</v>
      </c>
      <c r="E12" s="13">
        <v>30</v>
      </c>
    </row>
    <row r="13" spans="1:5">
      <c r="A13" s="16">
        <v>52130</v>
      </c>
      <c r="B13" s="12" t="s">
        <v>25</v>
      </c>
      <c r="C13" s="12" t="s">
        <v>26</v>
      </c>
      <c r="D13" s="13">
        <v>14562</v>
      </c>
      <c r="E13" s="13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21FA-360E-411E-800B-19F3660BF8FB}">
  <sheetPr codeName="Sheet4"/>
  <dimension ref="C4:E5"/>
  <sheetViews>
    <sheetView zoomScale="142" workbookViewId="0">
      <selection activeCell="C5" sqref="C5"/>
    </sheetView>
  </sheetViews>
  <sheetFormatPr defaultRowHeight="15"/>
  <cols>
    <col min="4" max="4" width="19.28515625" customWidth="1"/>
  </cols>
  <sheetData>
    <row r="4" spans="3:5">
      <c r="C4" s="26" t="s">
        <v>51</v>
      </c>
      <c r="D4" s="26" t="s">
        <v>86</v>
      </c>
      <c r="E4" s="26" t="s">
        <v>85</v>
      </c>
    </row>
    <row r="5" spans="3:5">
      <c r="C5">
        <v>52130</v>
      </c>
      <c r="D5" t="str">
        <f>VLOOKUP(C5,Sheet2!A1:E13,2,0)</f>
        <v>Christopher Fallon</v>
      </c>
      <c r="E5">
        <f>VLOOKUP(C5,Sheet2!A1:E13,4,0)</f>
        <v>14562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CEF6-82A2-475E-A1E1-10A351765E11}">
  <sheetPr codeName="Sheet5"/>
  <dimension ref="A1:M9"/>
  <sheetViews>
    <sheetView zoomScale="155" workbookViewId="0">
      <selection activeCell="C10" sqref="C10"/>
    </sheetView>
  </sheetViews>
  <sheetFormatPr defaultRowHeight="15"/>
  <cols>
    <col min="1" max="1" width="12.140625" bestFit="1" customWidth="1"/>
    <col min="2" max="2" width="16.42578125" bestFit="1" customWidth="1"/>
    <col min="3" max="3" width="15.7109375" bestFit="1" customWidth="1"/>
  </cols>
  <sheetData>
    <row r="1" spans="1:13">
      <c r="A1" s="14" t="s">
        <v>1</v>
      </c>
      <c r="B1" s="16">
        <v>56815</v>
      </c>
      <c r="C1" s="16">
        <v>51186</v>
      </c>
      <c r="D1" s="16">
        <v>51511</v>
      </c>
      <c r="E1" s="16">
        <v>50890</v>
      </c>
      <c r="F1" s="16">
        <v>53700</v>
      </c>
      <c r="G1" s="16">
        <v>55879</v>
      </c>
      <c r="H1" s="16">
        <v>59848</v>
      </c>
      <c r="I1" s="16">
        <v>58369</v>
      </c>
      <c r="J1" s="16">
        <v>50217</v>
      </c>
      <c r="K1" s="16">
        <v>50695</v>
      </c>
      <c r="L1" s="16">
        <v>59673</v>
      </c>
      <c r="M1" s="16">
        <v>52130</v>
      </c>
    </row>
    <row r="2" spans="1:13">
      <c r="A2" s="11" t="s">
        <v>2</v>
      </c>
      <c r="B2" s="12" t="s">
        <v>6</v>
      </c>
      <c r="C2" s="12" t="s">
        <v>8</v>
      </c>
      <c r="D2" s="12" t="s">
        <v>10</v>
      </c>
      <c r="E2" s="12" t="s">
        <v>12</v>
      </c>
      <c r="F2" s="12" t="s">
        <v>14</v>
      </c>
      <c r="G2" s="12" t="s">
        <v>16</v>
      </c>
      <c r="H2" s="12" t="s">
        <v>18</v>
      </c>
      <c r="I2" s="12" t="s">
        <v>20</v>
      </c>
      <c r="J2" s="12" t="s">
        <v>21</v>
      </c>
      <c r="K2" s="12" t="s">
        <v>23</v>
      </c>
      <c r="L2" s="12" t="s">
        <v>24</v>
      </c>
      <c r="M2" s="12" t="s">
        <v>25</v>
      </c>
    </row>
    <row r="3" spans="1:13">
      <c r="A3" s="11" t="s">
        <v>3</v>
      </c>
      <c r="B3" s="12" t="s">
        <v>7</v>
      </c>
      <c r="C3" s="12" t="s">
        <v>9</v>
      </c>
      <c r="D3" s="12" t="s">
        <v>11</v>
      </c>
      <c r="E3" s="12" t="s">
        <v>13</v>
      </c>
      <c r="F3" s="12" t="s">
        <v>15</v>
      </c>
      <c r="G3" s="12" t="s">
        <v>17</v>
      </c>
      <c r="H3" s="12" t="s">
        <v>19</v>
      </c>
      <c r="I3" s="12" t="s">
        <v>17</v>
      </c>
      <c r="J3" s="12" t="s">
        <v>22</v>
      </c>
      <c r="K3" s="12" t="s">
        <v>13</v>
      </c>
      <c r="L3" s="12" t="s">
        <v>7</v>
      </c>
      <c r="M3" s="12" t="s">
        <v>26</v>
      </c>
    </row>
    <row r="4" spans="1:13">
      <c r="A4" s="11" t="s">
        <v>4</v>
      </c>
      <c r="B4" s="13">
        <v>13836</v>
      </c>
      <c r="C4" s="13">
        <v>11771</v>
      </c>
      <c r="D4" s="13">
        <v>13046</v>
      </c>
      <c r="E4" s="13">
        <v>18276</v>
      </c>
      <c r="F4" s="13">
        <v>19327</v>
      </c>
      <c r="G4" s="13">
        <v>18996</v>
      </c>
      <c r="H4" s="13">
        <v>10387</v>
      </c>
      <c r="I4" s="13">
        <v>12566</v>
      </c>
      <c r="J4" s="13">
        <v>16406</v>
      </c>
      <c r="K4" s="13">
        <v>15784</v>
      </c>
      <c r="L4" s="13">
        <v>10959</v>
      </c>
      <c r="M4" s="13">
        <v>14562</v>
      </c>
    </row>
    <row r="5" spans="1:13">
      <c r="A5" s="11" t="s">
        <v>5</v>
      </c>
      <c r="B5" s="13">
        <v>25</v>
      </c>
      <c r="C5" s="13">
        <v>32</v>
      </c>
      <c r="D5" s="13">
        <v>35</v>
      </c>
      <c r="E5" s="13">
        <v>32</v>
      </c>
      <c r="F5" s="13">
        <v>26</v>
      </c>
      <c r="G5" s="13">
        <v>35</v>
      </c>
      <c r="H5" s="13">
        <v>25</v>
      </c>
      <c r="I5" s="13">
        <v>37</v>
      </c>
      <c r="J5" s="13">
        <v>42</v>
      </c>
      <c r="K5" s="13">
        <v>43</v>
      </c>
      <c r="L5" s="13">
        <v>30</v>
      </c>
      <c r="M5" s="13">
        <v>32</v>
      </c>
    </row>
    <row r="8" spans="1:13">
      <c r="A8" t="s">
        <v>82</v>
      </c>
      <c r="C8" t="s">
        <v>8</v>
      </c>
    </row>
    <row r="9" spans="1:13">
      <c r="A9">
        <v>50217</v>
      </c>
      <c r="B9">
        <f>HLOOKUP(A9,A1:M5,4,0)</f>
        <v>16406</v>
      </c>
      <c r="C9" t="str">
        <f>HLOOKUP(C8,A2:F5,2,0)</f>
        <v>Berlin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13"/>
  <sheetViews>
    <sheetView zoomScale="205" zoomScaleNormal="205" workbookViewId="0">
      <selection activeCell="F2" sqref="F2:G2"/>
    </sheetView>
  </sheetViews>
  <sheetFormatPr defaultColWidth="9" defaultRowHeight="15"/>
  <cols>
    <col min="1" max="1" width="20.85546875" customWidth="1"/>
    <col min="2" max="2" width="13.28515625" customWidth="1"/>
  </cols>
  <sheetData>
    <row r="1" spans="1:4">
      <c r="A1" s="11" t="s">
        <v>2</v>
      </c>
      <c r="B1" s="11" t="s">
        <v>3</v>
      </c>
      <c r="C1" s="11" t="s">
        <v>4</v>
      </c>
      <c r="D1" s="11" t="s">
        <v>5</v>
      </c>
    </row>
    <row r="2" spans="1:4">
      <c r="A2" s="12" t="s">
        <v>6</v>
      </c>
      <c r="B2" s="12" t="s">
        <v>7</v>
      </c>
      <c r="C2" s="13">
        <v>13836</v>
      </c>
      <c r="D2" s="13">
        <v>25</v>
      </c>
    </row>
    <row r="3" spans="1:4">
      <c r="A3" s="12" t="s">
        <v>8</v>
      </c>
      <c r="B3" s="12" t="s">
        <v>9</v>
      </c>
      <c r="C3" s="13">
        <v>11771</v>
      </c>
      <c r="D3" s="13">
        <v>32</v>
      </c>
    </row>
    <row r="4" spans="1:4">
      <c r="A4" s="12" t="s">
        <v>10</v>
      </c>
      <c r="B4" s="12" t="s">
        <v>11</v>
      </c>
      <c r="C4" s="13">
        <v>13046</v>
      </c>
      <c r="D4" s="13">
        <v>35</v>
      </c>
    </row>
    <row r="5" spans="1:4">
      <c r="A5" s="12" t="s">
        <v>12</v>
      </c>
      <c r="B5" s="12" t="s">
        <v>13</v>
      </c>
      <c r="C5" s="13">
        <v>18276</v>
      </c>
      <c r="D5" s="13">
        <v>32</v>
      </c>
    </row>
    <row r="6" spans="1:4">
      <c r="A6" s="12" t="s">
        <v>14</v>
      </c>
      <c r="B6" s="12" t="s">
        <v>15</v>
      </c>
      <c r="C6" s="13">
        <v>19327</v>
      </c>
      <c r="D6" s="13">
        <v>26</v>
      </c>
    </row>
    <row r="7" spans="1:4">
      <c r="A7" s="12" t="s">
        <v>16</v>
      </c>
      <c r="B7" s="12" t="s">
        <v>17</v>
      </c>
      <c r="C7" s="13">
        <v>18996</v>
      </c>
      <c r="D7" s="13">
        <v>35</v>
      </c>
    </row>
    <row r="8" spans="1:4">
      <c r="A8" s="12" t="s">
        <v>18</v>
      </c>
      <c r="B8" s="12" t="s">
        <v>11</v>
      </c>
      <c r="C8" s="13">
        <v>10387</v>
      </c>
      <c r="D8" s="13">
        <v>25</v>
      </c>
    </row>
    <row r="9" spans="1:4">
      <c r="A9" s="12" t="s">
        <v>20</v>
      </c>
      <c r="B9" s="12" t="s">
        <v>17</v>
      </c>
      <c r="C9" s="13">
        <v>12566</v>
      </c>
      <c r="D9" s="13">
        <v>37</v>
      </c>
    </row>
    <row r="10" spans="1:4">
      <c r="A10" s="12" t="s">
        <v>21</v>
      </c>
      <c r="B10" s="12" t="s">
        <v>22</v>
      </c>
      <c r="C10" s="13">
        <v>16406</v>
      </c>
      <c r="D10" s="13">
        <v>42</v>
      </c>
    </row>
    <row r="11" spans="1:4">
      <c r="A11" s="12" t="s">
        <v>23</v>
      </c>
      <c r="B11" s="12" t="s">
        <v>13</v>
      </c>
      <c r="C11" s="13">
        <v>15784</v>
      </c>
      <c r="D11" s="13">
        <v>43</v>
      </c>
    </row>
    <row r="12" spans="1:4">
      <c r="A12" s="12" t="s">
        <v>24</v>
      </c>
      <c r="B12" s="12" t="s">
        <v>7</v>
      </c>
      <c r="C12" s="13">
        <v>10959</v>
      </c>
      <c r="D12" s="13">
        <v>30</v>
      </c>
    </row>
    <row r="13" spans="1:4">
      <c r="A13" s="12" t="s">
        <v>25</v>
      </c>
      <c r="B13" s="12" t="s">
        <v>26</v>
      </c>
      <c r="C13" s="13">
        <v>14562</v>
      </c>
      <c r="D13" s="13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K15"/>
  <sheetViews>
    <sheetView zoomScale="130" zoomScaleNormal="130" workbookViewId="0">
      <selection activeCell="B13" sqref="B13"/>
    </sheetView>
  </sheetViews>
  <sheetFormatPr defaultColWidth="9" defaultRowHeight="15"/>
  <cols>
    <col min="1" max="1" width="43.42578125" customWidth="1"/>
    <col min="2" max="2" width="24" customWidth="1"/>
    <col min="3" max="3" width="9.7109375" customWidth="1"/>
    <col min="4" max="4" width="11.28515625" customWidth="1"/>
    <col min="6" max="6" width="9.42578125" customWidth="1"/>
    <col min="7" max="7" width="11.140625" customWidth="1"/>
    <col min="8" max="8" width="13.5703125" customWidth="1"/>
    <col min="9" max="9" width="11.28515625" customWidth="1"/>
    <col min="10" max="10" width="11.42578125" customWidth="1"/>
    <col min="11" max="11" width="11.7109375" customWidth="1"/>
  </cols>
  <sheetData>
    <row r="1" spans="1:11">
      <c r="A1" s="6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8" t="s">
        <v>1</v>
      </c>
      <c r="B2" s="8">
        <v>101</v>
      </c>
      <c r="C2" s="8">
        <v>102</v>
      </c>
      <c r="D2" s="8">
        <v>103</v>
      </c>
      <c r="E2" s="8">
        <v>104</v>
      </c>
      <c r="F2" s="8">
        <v>105</v>
      </c>
      <c r="G2" s="8">
        <v>106</v>
      </c>
      <c r="H2" s="8">
        <v>107</v>
      </c>
      <c r="I2" s="8">
        <v>108</v>
      </c>
      <c r="J2" s="8">
        <v>109</v>
      </c>
      <c r="K2" s="8">
        <v>110</v>
      </c>
    </row>
    <row r="3" spans="1:11">
      <c r="A3" s="8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</row>
    <row r="4" spans="1:11">
      <c r="A4" s="8" t="s">
        <v>41</v>
      </c>
      <c r="B4" s="9" t="s">
        <v>42</v>
      </c>
      <c r="C4" s="9" t="s">
        <v>43</v>
      </c>
      <c r="D4" s="9" t="s">
        <v>44</v>
      </c>
      <c r="E4" s="9" t="s">
        <v>45</v>
      </c>
      <c r="F4" s="9" t="s">
        <v>42</v>
      </c>
      <c r="G4" s="9" t="s">
        <v>43</v>
      </c>
      <c r="H4" s="9" t="s">
        <v>44</v>
      </c>
      <c r="I4" s="9" t="s">
        <v>45</v>
      </c>
      <c r="J4" s="9" t="s">
        <v>42</v>
      </c>
      <c r="K4" s="9" t="s">
        <v>43</v>
      </c>
    </row>
    <row r="5" spans="1:11">
      <c r="A5" s="8" t="s">
        <v>4</v>
      </c>
      <c r="B5" s="9">
        <v>50000</v>
      </c>
      <c r="C5" s="9">
        <v>55000</v>
      </c>
      <c r="D5" s="9">
        <v>60000</v>
      </c>
      <c r="E5" s="9">
        <v>65000</v>
      </c>
      <c r="F5" s="9">
        <v>70000</v>
      </c>
      <c r="G5" s="9">
        <v>75000</v>
      </c>
      <c r="H5" s="9">
        <v>80000</v>
      </c>
      <c r="I5" s="9">
        <v>85000</v>
      </c>
      <c r="J5" s="9">
        <v>90000</v>
      </c>
      <c r="K5" s="9">
        <v>95000</v>
      </c>
    </row>
    <row r="6" spans="1:11">
      <c r="A6" s="8" t="s">
        <v>46</v>
      </c>
      <c r="B6" s="9">
        <v>2000</v>
      </c>
      <c r="C6" s="9">
        <v>2500</v>
      </c>
      <c r="D6" s="9">
        <v>3000</v>
      </c>
      <c r="E6" s="9">
        <v>3500</v>
      </c>
      <c r="F6" s="9">
        <v>4000</v>
      </c>
      <c r="G6" s="9">
        <v>4500</v>
      </c>
      <c r="H6" s="9">
        <v>5000</v>
      </c>
      <c r="I6" s="9">
        <v>5500</v>
      </c>
      <c r="J6" s="9">
        <v>6000</v>
      </c>
      <c r="K6" s="9">
        <v>6500</v>
      </c>
    </row>
    <row r="7" spans="1:11">
      <c r="A7" s="8" t="s">
        <v>47</v>
      </c>
      <c r="B7" s="9">
        <v>52000</v>
      </c>
      <c r="C7" s="9">
        <v>57500</v>
      </c>
      <c r="D7" s="9">
        <v>63000</v>
      </c>
      <c r="E7" s="9">
        <v>685000</v>
      </c>
      <c r="F7" s="9">
        <v>74000</v>
      </c>
      <c r="G7" s="9">
        <v>79500</v>
      </c>
      <c r="H7" s="9">
        <v>85000</v>
      </c>
      <c r="I7" s="9">
        <v>90500</v>
      </c>
      <c r="J7" s="9">
        <v>96000</v>
      </c>
      <c r="K7" s="9">
        <v>101500</v>
      </c>
    </row>
    <row r="8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6" t="s">
        <v>48</v>
      </c>
      <c r="B9" s="7" t="s">
        <v>49</v>
      </c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6" t="s">
        <v>50</v>
      </c>
      <c r="C10" s="6" t="s">
        <v>51</v>
      </c>
      <c r="D10" s="7"/>
      <c r="E10" s="7"/>
      <c r="F10" s="7"/>
      <c r="G10" s="7"/>
      <c r="H10" s="7"/>
      <c r="I10" s="7"/>
      <c r="J10" s="7"/>
      <c r="K10" s="7"/>
    </row>
    <row r="11" spans="1:11">
      <c r="A11" s="7" t="s">
        <v>52</v>
      </c>
      <c r="B11" s="10"/>
      <c r="C11" s="7">
        <v>101</v>
      </c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6" t="s">
        <v>53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6"/>
      <c r="C14" s="6"/>
      <c r="D14" s="7"/>
      <c r="E14" s="7"/>
      <c r="F14" s="7"/>
      <c r="G14" s="7"/>
      <c r="H14" s="7"/>
      <c r="I14" s="7"/>
      <c r="J14" s="7"/>
      <c r="K14" s="7"/>
    </row>
    <row r="15" spans="1:11">
      <c r="A15" s="7" t="s">
        <v>52</v>
      </c>
      <c r="B15" s="10"/>
      <c r="C15" s="7"/>
      <c r="D15" s="7"/>
      <c r="E15" s="7"/>
      <c r="F15" s="7"/>
      <c r="G15" s="7"/>
      <c r="H15" s="7"/>
      <c r="I15" s="7"/>
      <c r="J15" s="7"/>
      <c r="K1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F10"/>
  <sheetViews>
    <sheetView zoomScale="175" zoomScaleNormal="175" workbookViewId="0">
      <selection activeCell="F10" sqref="F10"/>
    </sheetView>
  </sheetViews>
  <sheetFormatPr defaultColWidth="9" defaultRowHeight="15"/>
  <sheetData>
    <row r="1" spans="1:6">
      <c r="A1" s="1" t="s">
        <v>54</v>
      </c>
      <c r="B1" s="2"/>
      <c r="C1" s="2"/>
      <c r="D1" s="2"/>
    </row>
    <row r="2" spans="1:6">
      <c r="A2" s="4" t="s">
        <v>55</v>
      </c>
      <c r="B2" s="2"/>
      <c r="C2" s="2"/>
      <c r="D2" s="2"/>
    </row>
    <row r="3" spans="1:6">
      <c r="A3" s="4" t="s">
        <v>56</v>
      </c>
      <c r="B3" s="2"/>
      <c r="C3" s="2"/>
      <c r="D3" s="2"/>
    </row>
    <row r="4" spans="1:6">
      <c r="A4" s="4" t="s">
        <v>57</v>
      </c>
      <c r="B4" s="2"/>
      <c r="C4" s="2"/>
      <c r="D4" s="2"/>
    </row>
    <row r="5" spans="1:6">
      <c r="A5" s="4" t="s">
        <v>58</v>
      </c>
      <c r="B5" s="2"/>
      <c r="C5" s="2"/>
      <c r="D5" s="2"/>
    </row>
    <row r="6" spans="1:6">
      <c r="A6" s="4" t="s">
        <v>59</v>
      </c>
      <c r="B6" s="2"/>
      <c r="C6" s="2"/>
      <c r="D6" s="2"/>
    </row>
    <row r="7" spans="1:6">
      <c r="A7" s="4" t="s">
        <v>60</v>
      </c>
      <c r="B7" s="2"/>
      <c r="C7" s="2"/>
      <c r="D7" s="2" t="str">
        <f>INDEX(A2:A7,4)</f>
        <v>Dell</v>
      </c>
    </row>
    <row r="8" spans="1:6">
      <c r="A8" s="2"/>
      <c r="B8" s="2"/>
      <c r="C8" s="2"/>
      <c r="D8" s="2"/>
      <c r="F8" t="str">
        <f>INDEX(A2:A7,4)</f>
        <v>Dell</v>
      </c>
    </row>
    <row r="9" spans="1:6">
      <c r="A9" s="2"/>
      <c r="B9" s="2"/>
      <c r="C9" s="2" t="str">
        <f>INDEX(A2:A7,4)</f>
        <v>Dell</v>
      </c>
      <c r="D9" s="2"/>
    </row>
    <row r="10" spans="1:6">
      <c r="A10" s="2" t="s">
        <v>61</v>
      </c>
      <c r="B10" s="5"/>
      <c r="C10" s="1" t="s">
        <v>62</v>
      </c>
      <c r="D1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G12"/>
  <sheetViews>
    <sheetView topLeftCell="D1" zoomScale="213" zoomScaleNormal="213" workbookViewId="0">
      <selection activeCell="F4" sqref="F4"/>
    </sheetView>
  </sheetViews>
  <sheetFormatPr defaultColWidth="9" defaultRowHeight="15"/>
  <sheetData>
    <row r="1" spans="1:7">
      <c r="A1" s="2" t="s">
        <v>63</v>
      </c>
      <c r="B1" s="2"/>
    </row>
    <row r="2" spans="1:7">
      <c r="A2" s="2"/>
      <c r="B2" s="1" t="s">
        <v>64</v>
      </c>
      <c r="F2" s="20" t="s">
        <v>87</v>
      </c>
      <c r="G2" s="20" t="s">
        <v>88</v>
      </c>
    </row>
    <row r="3" spans="1:7">
      <c r="A3" s="2"/>
      <c r="B3" s="4" t="s">
        <v>65</v>
      </c>
      <c r="F3" s="20" t="s">
        <v>89</v>
      </c>
      <c r="G3" s="20" t="s">
        <v>90</v>
      </c>
    </row>
    <row r="4" spans="1:7">
      <c r="A4" s="2"/>
      <c r="B4" s="4" t="s">
        <v>66</v>
      </c>
    </row>
    <row r="5" spans="1:7">
      <c r="A5" s="2"/>
      <c r="B5" s="4" t="s">
        <v>67</v>
      </c>
    </row>
    <row r="6" spans="1:7">
      <c r="A6" s="2"/>
      <c r="B6" s="4" t="s">
        <v>68</v>
      </c>
      <c r="E6">
        <f>MATCH("C",B3:B9,0)</f>
        <v>3</v>
      </c>
    </row>
    <row r="7" spans="1:7">
      <c r="A7" s="2"/>
      <c r="B7" s="4" t="s">
        <v>69</v>
      </c>
    </row>
    <row r="8" spans="1:7">
      <c r="A8" s="2"/>
      <c r="B8" s="4" t="s">
        <v>70</v>
      </c>
      <c r="E8" s="20" t="s">
        <v>70</v>
      </c>
      <c r="F8">
        <f>MATCH(E8,B3:B9,0)</f>
        <v>6</v>
      </c>
    </row>
    <row r="9" spans="1:7">
      <c r="A9" s="2"/>
      <c r="B9" s="4" t="s">
        <v>71</v>
      </c>
    </row>
    <row r="10" spans="1:7">
      <c r="A10" s="2"/>
      <c r="B10" s="2"/>
    </row>
    <row r="11" spans="1:7">
      <c r="A11" s="2" t="s">
        <v>61</v>
      </c>
      <c r="B11" s="5"/>
    </row>
    <row r="12" spans="1:7">
      <c r="A12" s="2"/>
      <c r="B1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2"/>
  <sheetViews>
    <sheetView topLeftCell="A8" zoomScale="190" zoomScaleNormal="190" workbookViewId="0">
      <selection sqref="A1:B11"/>
    </sheetView>
  </sheetViews>
  <sheetFormatPr defaultColWidth="9" defaultRowHeight="15"/>
  <cols>
    <col min="1" max="1" width="14.7109375" customWidth="1"/>
  </cols>
  <sheetData>
    <row r="1" spans="1:2">
      <c r="A1" s="1" t="s">
        <v>72</v>
      </c>
      <c r="B1" s="2"/>
    </row>
    <row r="2" spans="1:2">
      <c r="A2" s="3" t="s">
        <v>73</v>
      </c>
      <c r="B2" s="3" t="s">
        <v>2</v>
      </c>
    </row>
    <row r="3" spans="1:2">
      <c r="A3" s="4">
        <v>9584423</v>
      </c>
      <c r="B3" s="4" t="s">
        <v>74</v>
      </c>
    </row>
    <row r="4" spans="1:2">
      <c r="A4" s="4">
        <v>5034521</v>
      </c>
      <c r="B4" s="4" t="s">
        <v>75</v>
      </c>
    </row>
    <row r="5" spans="1:2">
      <c r="A5" s="4">
        <v>9543669</v>
      </c>
      <c r="B5" s="4" t="s">
        <v>76</v>
      </c>
    </row>
    <row r="6" spans="1:2">
      <c r="A6" s="4">
        <v>9995553</v>
      </c>
      <c r="B6" s="4" t="s">
        <v>77</v>
      </c>
    </row>
    <row r="7" spans="1:2">
      <c r="A7" s="4">
        <v>8595323</v>
      </c>
      <c r="B7" s="4" t="s">
        <v>78</v>
      </c>
    </row>
    <row r="8" spans="1:2">
      <c r="A8" s="4">
        <v>9359305</v>
      </c>
      <c r="B8" s="4" t="s">
        <v>79</v>
      </c>
    </row>
    <row r="9" spans="1:2">
      <c r="A9" s="2"/>
      <c r="B9" s="2"/>
    </row>
    <row r="10" spans="1:2">
      <c r="A10" s="2" t="s">
        <v>80</v>
      </c>
      <c r="B10" s="1" t="s">
        <v>77</v>
      </c>
    </row>
    <row r="11" spans="1:2">
      <c r="A11" s="2" t="s">
        <v>61</v>
      </c>
      <c r="B11" s="5"/>
    </row>
    <row r="12" spans="1:2">
      <c r="A12" s="2"/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vlookups</vt:lpstr>
      <vt:lpstr>Sheet2</vt:lpstr>
      <vt:lpstr>Sheet4</vt:lpstr>
      <vt:lpstr>Sheet3</vt:lpstr>
      <vt:lpstr>Sheet1</vt:lpstr>
      <vt:lpstr>302</vt:lpstr>
      <vt:lpstr>hlookup</vt:lpstr>
      <vt:lpstr>index</vt:lpstr>
      <vt:lpstr>match</vt:lpstr>
      <vt:lpstr>index-match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 sha</cp:lastModifiedBy>
  <dcterms:created xsi:type="dcterms:W3CDTF">2024-04-06T05:44:00Z</dcterms:created>
  <dcterms:modified xsi:type="dcterms:W3CDTF">2026-10-22T14:04:15Z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B9EF0289BF5642B58A27A3B3156378EF_12</vt:lpwstr>
  </property>
  <property fmtid="{D5CDD505-2E9C-101B-9397-08002B2CF9AE}" pid="3" name="KSOProductBuildVer">
    <vt:lpwstr>1033-12.2.0.23196</vt:lpwstr>
  </property>
</Properties>
</file>