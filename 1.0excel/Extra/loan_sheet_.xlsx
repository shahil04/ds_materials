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ds_materials\1.0excel\Extra\"/>
    </mc:Choice>
  </mc:AlternateContent>
  <xr:revisionPtr revIDLastSave="0" documentId="13_ncr:1_{D4FAE979-3ACB-4751-9259-93916BE889AF}" xr6:coauthVersionLast="47" xr6:coauthVersionMax="47" xr10:uidLastSave="{00000000-0000-0000-0000-000000000000}"/>
  <bookViews>
    <workbookView xWindow="-120" yWindow="-120" windowWidth="20730" windowHeight="11160" firstSheet="5" activeTab="5" xr2:uid="{00000000-000D-0000-FFFF-FFFF00000000}"/>
  </bookViews>
  <sheets>
    <sheet name="Copy of Sheet1" sheetId="1" r:id="rId1"/>
    <sheet name="Sheet1" sheetId="2" r:id="rId2"/>
    <sheet name="Loan_Management" sheetId="3" r:id="rId3"/>
    <sheet name="Dashboard" sheetId="6" r:id="rId4"/>
    <sheet name="Monthly_Repayments" sheetId="7" r:id="rId5"/>
    <sheet name="pv" sheetId="4" r:id="rId6"/>
    <sheet name="Copy of Loan_Management" sheetId="5" r:id="rId7"/>
    <sheet name="m_repay" sheetId="8" r:id="rId8"/>
  </sheets>
  <calcPr calcId="191029"/>
  <pivotCaches>
    <pivotCache cacheId="144" r:id="rId9"/>
    <pivotCache cacheId="14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8" i="4"/>
  <c r="F7" i="4"/>
  <c r="G28" i="7" a="1"/>
  <c r="G28" i="7"/>
  <c r="G27" i="7" a="1"/>
  <c r="G27" i="7"/>
  <c r="G26" i="7" a="1"/>
  <c r="G26" i="7"/>
  <c r="G25" i="7" a="1"/>
  <c r="G25" i="7"/>
  <c r="G24" i="7" a="1"/>
  <c r="G24" i="7"/>
  <c r="G23" i="7" a="1"/>
  <c r="G23" i="7"/>
  <c r="G22" i="7" a="1"/>
  <c r="G22" i="7"/>
  <c r="G21" i="7" a="1"/>
  <c r="G21" i="7"/>
  <c r="G20" i="7" a="1"/>
  <c r="G20" i="7"/>
  <c r="G19" i="7" a="1"/>
  <c r="G19" i="7"/>
  <c r="G18" i="7" a="1"/>
  <c r="G18" i="7" s="1"/>
  <c r="G17" i="7" a="1"/>
  <c r="G17" i="7" s="1"/>
  <c r="G16" i="7" a="1"/>
  <c r="G16" i="7" s="1"/>
  <c r="G15" i="7" a="1"/>
  <c r="G15" i="7" s="1"/>
  <c r="G14" i="7" a="1"/>
  <c r="G14" i="7" s="1"/>
  <c r="F5" i="7" s="1"/>
  <c r="G13" i="7" a="1"/>
  <c r="G13" i="7" s="1"/>
  <c r="G12" i="7" a="1"/>
  <c r="G12" i="7" s="1"/>
  <c r="G11" i="7" a="1"/>
  <c r="G11" i="7" s="1"/>
  <c r="G10" i="7" a="1"/>
  <c r="G10" i="7" s="1"/>
  <c r="G9" i="7" a="1"/>
  <c r="G9" i="7" s="1"/>
  <c r="E12" i="6"/>
  <c r="M43" i="5"/>
  <c r="K43" i="5"/>
  <c r="G43" i="5"/>
  <c r="M42" i="5"/>
  <c r="K42" i="5"/>
  <c r="G42" i="5"/>
  <c r="M41" i="5"/>
  <c r="K41" i="5"/>
  <c r="G41" i="5"/>
  <c r="M40" i="5"/>
  <c r="K40" i="5"/>
  <c r="G40" i="5"/>
  <c r="M39" i="5"/>
  <c r="K39" i="5"/>
  <c r="G39" i="5"/>
  <c r="M38" i="5"/>
  <c r="K38" i="5"/>
  <c r="G38" i="5"/>
  <c r="M37" i="5"/>
  <c r="K37" i="5"/>
  <c r="G37" i="5"/>
  <c r="M36" i="5"/>
  <c r="K36" i="5"/>
  <c r="G36" i="5"/>
  <c r="M35" i="5"/>
  <c r="K35" i="5"/>
  <c r="G35" i="5"/>
  <c r="M34" i="5"/>
  <c r="K34" i="5"/>
  <c r="G34" i="5"/>
  <c r="M33" i="5"/>
  <c r="K33" i="5"/>
  <c r="G33" i="5"/>
  <c r="M32" i="5"/>
  <c r="K32" i="5"/>
  <c r="G32" i="5"/>
  <c r="M31" i="5"/>
  <c r="K31" i="5"/>
  <c r="G31" i="5"/>
  <c r="M30" i="5"/>
  <c r="K30" i="5"/>
  <c r="G30" i="5"/>
  <c r="M29" i="5"/>
  <c r="K29" i="5"/>
  <c r="G29" i="5"/>
  <c r="M28" i="5"/>
  <c r="K28" i="5"/>
  <c r="G28" i="5"/>
  <c r="M27" i="5"/>
  <c r="K27" i="5"/>
  <c r="G27" i="5"/>
  <c r="M26" i="5"/>
  <c r="K26" i="5"/>
  <c r="G26" i="5"/>
  <c r="M25" i="5"/>
  <c r="K25" i="5"/>
  <c r="G25" i="5"/>
  <c r="O24" i="5"/>
  <c r="N24" i="5"/>
  <c r="L24" i="5"/>
  <c r="J24" i="5"/>
  <c r="I24" i="5"/>
  <c r="H24" i="5"/>
  <c r="F24" i="5"/>
  <c r="E24" i="5"/>
  <c r="A24" i="5"/>
  <c r="O23" i="5"/>
  <c r="N23" i="5"/>
  <c r="L23" i="5"/>
  <c r="J23" i="5"/>
  <c r="I23" i="5"/>
  <c r="H23" i="5"/>
  <c r="F23" i="5"/>
  <c r="E23" i="5"/>
  <c r="A23" i="5"/>
  <c r="O22" i="5"/>
  <c r="N22" i="5"/>
  <c r="L22" i="5"/>
  <c r="J22" i="5"/>
  <c r="I22" i="5"/>
  <c r="H22" i="5"/>
  <c r="F22" i="5"/>
  <c r="E22" i="5"/>
  <c r="A22" i="5"/>
  <c r="O21" i="5"/>
  <c r="N21" i="5"/>
  <c r="L21" i="5"/>
  <c r="J21" i="5"/>
  <c r="I21" i="5"/>
  <c r="H21" i="5"/>
  <c r="F21" i="5"/>
  <c r="E21" i="5"/>
  <c r="A21" i="5"/>
  <c r="O20" i="5"/>
  <c r="N20" i="5"/>
  <c r="L20" i="5"/>
  <c r="J20" i="5"/>
  <c r="I20" i="5"/>
  <c r="H20" i="5"/>
  <c r="F20" i="5"/>
  <c r="E20" i="5"/>
  <c r="A20" i="5"/>
  <c r="O19" i="5"/>
  <c r="N19" i="5"/>
  <c r="L19" i="5"/>
  <c r="J19" i="5"/>
  <c r="I19" i="5"/>
  <c r="H19" i="5"/>
  <c r="F19" i="5"/>
  <c r="E19" i="5"/>
  <c r="A19" i="5"/>
  <c r="O18" i="5"/>
  <c r="N18" i="5"/>
  <c r="L18" i="5"/>
  <c r="J18" i="5"/>
  <c r="I18" i="5"/>
  <c r="H18" i="5"/>
  <c r="F18" i="5"/>
  <c r="E18" i="5"/>
  <c r="A18" i="5"/>
  <c r="O17" i="5"/>
  <c r="N17" i="5"/>
  <c r="L17" i="5"/>
  <c r="J17" i="5"/>
  <c r="I17" i="5"/>
  <c r="H17" i="5"/>
  <c r="F17" i="5"/>
  <c r="E17" i="5"/>
  <c r="A17" i="5"/>
  <c r="O16" i="5"/>
  <c r="N16" i="5"/>
  <c r="L16" i="5"/>
  <c r="J16" i="5"/>
  <c r="I16" i="5"/>
  <c r="H16" i="5"/>
  <c r="F16" i="5"/>
  <c r="E16" i="5"/>
  <c r="A16" i="5"/>
  <c r="O15" i="5"/>
  <c r="N15" i="5"/>
  <c r="L15" i="5"/>
  <c r="J15" i="5"/>
  <c r="I15" i="5"/>
  <c r="H15" i="5"/>
  <c r="F15" i="5"/>
  <c r="E15" i="5"/>
  <c r="A15" i="5"/>
  <c r="O14" i="5"/>
  <c r="N14" i="5"/>
  <c r="L14" i="5"/>
  <c r="J14" i="5"/>
  <c r="I14" i="5"/>
  <c r="H14" i="5"/>
  <c r="F14" i="5"/>
  <c r="E14" i="5"/>
  <c r="A14" i="5"/>
  <c r="O13" i="5"/>
  <c r="N13" i="5"/>
  <c r="L13" i="5"/>
  <c r="J13" i="5"/>
  <c r="I13" i="5"/>
  <c r="H13" i="5"/>
  <c r="F13" i="5"/>
  <c r="E13" i="5"/>
  <c r="A13" i="5"/>
  <c r="O12" i="5"/>
  <c r="N12" i="5"/>
  <c r="L12" i="5"/>
  <c r="J12" i="5"/>
  <c r="I12" i="5"/>
  <c r="H12" i="5"/>
  <c r="F12" i="5"/>
  <c r="E12" i="5"/>
  <c r="A12" i="5"/>
  <c r="O11" i="5"/>
  <c r="N11" i="5"/>
  <c r="L11" i="5"/>
  <c r="J11" i="5"/>
  <c r="I11" i="5"/>
  <c r="H11" i="5"/>
  <c r="F11" i="5"/>
  <c r="E11" i="5"/>
  <c r="A11" i="5"/>
  <c r="O10" i="5"/>
  <c r="N10" i="5"/>
  <c r="L10" i="5"/>
  <c r="J10" i="5"/>
  <c r="I10" i="5"/>
  <c r="H10" i="5"/>
  <c r="F10" i="5"/>
  <c r="E10" i="5"/>
  <c r="A10" i="5"/>
  <c r="O9" i="5"/>
  <c r="N9" i="5"/>
  <c r="L9" i="5"/>
  <c r="J9" i="5"/>
  <c r="I9" i="5"/>
  <c r="H9" i="5"/>
  <c r="F9" i="5"/>
  <c r="E9" i="5"/>
  <c r="A9" i="5"/>
  <c r="O8" i="5"/>
  <c r="N8" i="5"/>
  <c r="L8" i="5"/>
  <c r="J8" i="5"/>
  <c r="I8" i="5"/>
  <c r="H8" i="5"/>
  <c r="F8" i="5"/>
  <c r="E8" i="5"/>
  <c r="A8" i="5"/>
  <c r="O7" i="5"/>
  <c r="N7" i="5"/>
  <c r="L7" i="5"/>
  <c r="J7" i="5"/>
  <c r="I7" i="5"/>
  <c r="H7" i="5"/>
  <c r="F7" i="5"/>
  <c r="E7" i="5"/>
  <c r="A7" i="5"/>
  <c r="O6" i="5"/>
  <c r="N6" i="5"/>
  <c r="L6" i="5"/>
  <c r="J6" i="5"/>
  <c r="I6" i="5"/>
  <c r="H6" i="5"/>
  <c r="F6" i="5"/>
  <c r="E6" i="5"/>
  <c r="A6" i="5"/>
  <c r="O5" i="5"/>
  <c r="N5" i="5"/>
  <c r="L5" i="5"/>
  <c r="J5" i="5"/>
  <c r="I5" i="5"/>
  <c r="H5" i="5"/>
  <c r="F5" i="5"/>
  <c r="E5" i="5"/>
  <c r="A5" i="5"/>
  <c r="O4" i="5"/>
  <c r="N4" i="5"/>
  <c r="L4" i="5"/>
  <c r="J4" i="5"/>
  <c r="I4" i="5"/>
  <c r="H4" i="5"/>
  <c r="F4" i="5"/>
  <c r="E4" i="5"/>
  <c r="A4" i="5"/>
  <c r="M4" i="5" s="1"/>
  <c r="O3" i="5"/>
  <c r="N3" i="5"/>
  <c r="L3" i="5"/>
  <c r="J3" i="5"/>
  <c r="I3" i="5"/>
  <c r="H3" i="5"/>
  <c r="F3" i="5"/>
  <c r="E3" i="5"/>
  <c r="A3" i="5"/>
  <c r="O2" i="5"/>
  <c r="N2" i="5"/>
  <c r="L2" i="5"/>
  <c r="J2" i="5"/>
  <c r="I2" i="5"/>
  <c r="H2" i="5"/>
  <c r="F2" i="5"/>
  <c r="E2" i="5"/>
  <c r="A2" i="5"/>
  <c r="N49" i="3"/>
  <c r="L49" i="3"/>
  <c r="H49" i="3"/>
  <c r="G49" i="3"/>
  <c r="N48" i="3"/>
  <c r="L48" i="3"/>
  <c r="H48" i="3"/>
  <c r="G48" i="3"/>
  <c r="N47" i="3"/>
  <c r="L47" i="3"/>
  <c r="H47" i="3"/>
  <c r="G47" i="3"/>
  <c r="N46" i="3"/>
  <c r="L46" i="3"/>
  <c r="H46" i="3"/>
  <c r="G46" i="3"/>
  <c r="N45" i="3"/>
  <c r="L45" i="3"/>
  <c r="H45" i="3"/>
  <c r="G45" i="3"/>
  <c r="N44" i="3"/>
  <c r="L44" i="3"/>
  <c r="H44" i="3"/>
  <c r="G44" i="3"/>
  <c r="N43" i="3"/>
  <c r="L43" i="3"/>
  <c r="H43" i="3"/>
  <c r="G43" i="3"/>
  <c r="N42" i="3"/>
  <c r="L42" i="3"/>
  <c r="H42" i="3"/>
  <c r="G42" i="3"/>
  <c r="N41" i="3"/>
  <c r="L41" i="3"/>
  <c r="H41" i="3"/>
  <c r="G41" i="3"/>
  <c r="N40" i="3"/>
  <c r="L40" i="3"/>
  <c r="H40" i="3"/>
  <c r="G40" i="3"/>
  <c r="N39" i="3"/>
  <c r="L39" i="3"/>
  <c r="H39" i="3"/>
  <c r="G39" i="3"/>
  <c r="N38" i="3"/>
  <c r="L38" i="3"/>
  <c r="H38" i="3"/>
  <c r="G38" i="3"/>
  <c r="N37" i="3"/>
  <c r="L37" i="3"/>
  <c r="H37" i="3"/>
  <c r="G37" i="3"/>
  <c r="N36" i="3"/>
  <c r="L36" i="3"/>
  <c r="H36" i="3"/>
  <c r="G36" i="3"/>
  <c r="N35" i="3"/>
  <c r="L35" i="3"/>
  <c r="H35" i="3"/>
  <c r="G35" i="3"/>
  <c r="N34" i="3"/>
  <c r="L34" i="3"/>
  <c r="H34" i="3"/>
  <c r="G34" i="3"/>
  <c r="N33" i="3"/>
  <c r="L33" i="3"/>
  <c r="H33" i="3"/>
  <c r="G33" i="3"/>
  <c r="N32" i="3"/>
  <c r="L32" i="3"/>
  <c r="H32" i="3"/>
  <c r="G32" i="3"/>
  <c r="N31" i="3"/>
  <c r="L31" i="3"/>
  <c r="H31" i="3"/>
  <c r="G31" i="3"/>
  <c r="N30" i="3"/>
  <c r="L30" i="3"/>
  <c r="H30" i="3"/>
  <c r="G30" i="3"/>
  <c r="N29" i="3"/>
  <c r="L29" i="3"/>
  <c r="H29" i="3"/>
  <c r="G29" i="3"/>
  <c r="N28" i="3"/>
  <c r="L28" i="3"/>
  <c r="H28" i="3"/>
  <c r="G28" i="3"/>
  <c r="N27" i="3"/>
  <c r="L27" i="3"/>
  <c r="H27" i="3"/>
  <c r="G27" i="3"/>
  <c r="N26" i="3"/>
  <c r="L26" i="3"/>
  <c r="H26" i="3"/>
  <c r="G26" i="3"/>
  <c r="P25" i="3"/>
  <c r="O25" i="3"/>
  <c r="M25" i="3"/>
  <c r="K25" i="3"/>
  <c r="J25" i="3"/>
  <c r="I25" i="3"/>
  <c r="F25" i="3"/>
  <c r="E25" i="3"/>
  <c r="B25" i="3"/>
  <c r="P24" i="3"/>
  <c r="O24" i="3"/>
  <c r="M24" i="3"/>
  <c r="K24" i="3"/>
  <c r="J24" i="3"/>
  <c r="I24" i="3"/>
  <c r="F24" i="3"/>
  <c r="E24" i="3"/>
  <c r="B24" i="3"/>
  <c r="P23" i="3"/>
  <c r="O23" i="3"/>
  <c r="M23" i="3"/>
  <c r="K23" i="3"/>
  <c r="J23" i="3"/>
  <c r="I23" i="3"/>
  <c r="F23" i="3"/>
  <c r="E23" i="3"/>
  <c r="B23" i="3"/>
  <c r="P22" i="3"/>
  <c r="O22" i="3"/>
  <c r="M22" i="3"/>
  <c r="K22" i="3"/>
  <c r="J22" i="3"/>
  <c r="I22" i="3"/>
  <c r="F22" i="3"/>
  <c r="E22" i="3"/>
  <c r="B22" i="3"/>
  <c r="P21" i="3"/>
  <c r="O21" i="3"/>
  <c r="M21" i="3"/>
  <c r="K21" i="3"/>
  <c r="J21" i="3"/>
  <c r="I21" i="3"/>
  <c r="F21" i="3"/>
  <c r="E21" i="3"/>
  <c r="B21" i="3"/>
  <c r="P20" i="3"/>
  <c r="O20" i="3"/>
  <c r="M20" i="3"/>
  <c r="K20" i="3"/>
  <c r="J20" i="3"/>
  <c r="I20" i="3"/>
  <c r="I50" i="3" s="1"/>
  <c r="F20" i="3"/>
  <c r="F50" i="3" s="1"/>
  <c r="E20" i="3"/>
  <c r="E50" i="3" s="1"/>
  <c r="B20" i="3"/>
  <c r="P19" i="3"/>
  <c r="O19" i="3"/>
  <c r="N19" i="3"/>
  <c r="M19" i="3"/>
  <c r="K19" i="3"/>
  <c r="J19" i="3"/>
  <c r="I19" i="3"/>
  <c r="F19" i="3"/>
  <c r="E19" i="3"/>
  <c r="B19" i="3"/>
  <c r="P18" i="3"/>
  <c r="O18" i="3"/>
  <c r="M18" i="3"/>
  <c r="K18" i="3"/>
  <c r="J18" i="3"/>
  <c r="I18" i="3"/>
  <c r="F18" i="3"/>
  <c r="E18" i="3"/>
  <c r="B18" i="3"/>
  <c r="P17" i="3"/>
  <c r="O17" i="3"/>
  <c r="M17" i="3"/>
  <c r="K17" i="3"/>
  <c r="J17" i="3"/>
  <c r="I17" i="3"/>
  <c r="F17" i="3"/>
  <c r="E17" i="3"/>
  <c r="B17" i="3"/>
  <c r="P16" i="3"/>
  <c r="O16" i="3"/>
  <c r="M16" i="3"/>
  <c r="K16" i="3"/>
  <c r="J16" i="3"/>
  <c r="I16" i="3"/>
  <c r="F16" i="3"/>
  <c r="E16" i="3"/>
  <c r="B16" i="3"/>
  <c r="P15" i="3"/>
  <c r="O15" i="3"/>
  <c r="M15" i="3"/>
  <c r="K15" i="3"/>
  <c r="J15" i="3"/>
  <c r="I15" i="3"/>
  <c r="F15" i="3"/>
  <c r="E15" i="3"/>
  <c r="B15" i="3"/>
  <c r="P14" i="3"/>
  <c r="O14" i="3"/>
  <c r="M14" i="3"/>
  <c r="K14" i="3"/>
  <c r="J14" i="3"/>
  <c r="I14" i="3"/>
  <c r="F14" i="3"/>
  <c r="E14" i="3"/>
  <c r="B14" i="3"/>
  <c r="P13" i="3"/>
  <c r="O13" i="3"/>
  <c r="M13" i="3"/>
  <c r="K13" i="3"/>
  <c r="J13" i="3"/>
  <c r="I13" i="3"/>
  <c r="F13" i="3"/>
  <c r="E13" i="3"/>
  <c r="B13" i="3"/>
  <c r="P12" i="3"/>
  <c r="O12" i="3"/>
  <c r="M12" i="3"/>
  <c r="K12" i="3"/>
  <c r="J12" i="3"/>
  <c r="I12" i="3"/>
  <c r="F12" i="3"/>
  <c r="E12" i="3"/>
  <c r="B12" i="3"/>
  <c r="P11" i="3"/>
  <c r="O11" i="3"/>
  <c r="M11" i="3"/>
  <c r="K11" i="3"/>
  <c r="J11" i="3"/>
  <c r="I11" i="3"/>
  <c r="F11" i="3"/>
  <c r="E11" i="3"/>
  <c r="B11" i="3"/>
  <c r="P10" i="3"/>
  <c r="O10" i="3"/>
  <c r="M10" i="3"/>
  <c r="K10" i="3"/>
  <c r="J10" i="3"/>
  <c r="I10" i="3"/>
  <c r="F10" i="3"/>
  <c r="E10" i="3"/>
  <c r="B10" i="3"/>
  <c r="P9" i="3"/>
  <c r="O9" i="3"/>
  <c r="M9" i="3"/>
  <c r="K9" i="3"/>
  <c r="J9" i="3"/>
  <c r="I9" i="3"/>
  <c r="F9" i="3"/>
  <c r="E9" i="3"/>
  <c r="B9" i="3"/>
  <c r="P8" i="3"/>
  <c r="O8" i="3"/>
  <c r="M8" i="3"/>
  <c r="K8" i="3"/>
  <c r="J8" i="3"/>
  <c r="I8" i="3"/>
  <c r="F8" i="3"/>
  <c r="E8" i="3"/>
  <c r="B8" i="3"/>
  <c r="P7" i="3"/>
  <c r="O7" i="3"/>
  <c r="M7" i="3"/>
  <c r="K7" i="3"/>
  <c r="J7" i="3"/>
  <c r="I7" i="3"/>
  <c r="F7" i="3"/>
  <c r="E7" i="3"/>
  <c r="B7" i="3"/>
  <c r="P6" i="3"/>
  <c r="O6" i="3"/>
  <c r="M6" i="3"/>
  <c r="K6" i="3"/>
  <c r="J6" i="3"/>
  <c r="I6" i="3"/>
  <c r="F6" i="3"/>
  <c r="E6" i="3"/>
  <c r="B6" i="3"/>
  <c r="P5" i="3"/>
  <c r="O5" i="3"/>
  <c r="M5" i="3"/>
  <c r="K5" i="3"/>
  <c r="J5" i="3"/>
  <c r="I5" i="3"/>
  <c r="F5" i="3"/>
  <c r="E5" i="3"/>
  <c r="B5" i="3"/>
  <c r="P4" i="3"/>
  <c r="O4" i="3"/>
  <c r="M4" i="3"/>
  <c r="K4" i="3"/>
  <c r="J4" i="3"/>
  <c r="I4" i="3"/>
  <c r="F4" i="3"/>
  <c r="E4" i="3"/>
  <c r="B4" i="3"/>
  <c r="P3" i="3"/>
  <c r="O3" i="3"/>
  <c r="M3" i="3"/>
  <c r="K3" i="3"/>
  <c r="J3" i="3"/>
  <c r="I3" i="3"/>
  <c r="F3" i="3"/>
  <c r="E3" i="3"/>
  <c r="B3" i="3"/>
  <c r="F33" i="2"/>
  <c r="E33" i="2"/>
  <c r="D33" i="2"/>
  <c r="G32" i="2"/>
  <c r="F32" i="2"/>
  <c r="E32" i="2"/>
  <c r="D32" i="2"/>
  <c r="J5" i="2"/>
  <c r="H5" i="2"/>
  <c r="F5" i="2"/>
  <c r="D5" i="2"/>
  <c r="B5" i="2"/>
  <c r="G22" i="5" l="1"/>
  <c r="M22" i="5"/>
  <c r="K22" i="5"/>
  <c r="B5" i="7"/>
  <c r="D5" i="7"/>
  <c r="H5" i="7"/>
  <c r="M24" i="5"/>
  <c r="G24" i="5"/>
  <c r="K24" i="5" s="1"/>
  <c r="M23" i="5"/>
  <c r="G23" i="5"/>
  <c r="K23" i="5" s="1"/>
  <c r="M21" i="5"/>
  <c r="G21" i="5"/>
  <c r="K21" i="5" s="1"/>
  <c r="M20" i="5"/>
  <c r="G20" i="5"/>
  <c r="K20" i="5"/>
  <c r="M19" i="5"/>
  <c r="G19" i="5"/>
  <c r="K19" i="5" s="1"/>
  <c r="M18" i="5"/>
  <c r="G18" i="5"/>
  <c r="K18" i="5" s="1"/>
  <c r="M17" i="5"/>
  <c r="G17" i="5"/>
  <c r="K17" i="5" s="1"/>
  <c r="M16" i="5"/>
  <c r="G16" i="5"/>
  <c r="K16" i="5" s="1"/>
  <c r="M15" i="5"/>
  <c r="G15" i="5"/>
  <c r="K15" i="5" s="1"/>
  <c r="G14" i="5"/>
  <c r="M14" i="5"/>
  <c r="K14" i="5"/>
  <c r="M13" i="5"/>
  <c r="G13" i="5"/>
  <c r="K13" i="5" s="1"/>
  <c r="M12" i="5"/>
  <c r="G12" i="5"/>
  <c r="K12" i="5"/>
  <c r="M11" i="5"/>
  <c r="G11" i="5"/>
  <c r="K11" i="5" s="1"/>
  <c r="G10" i="5"/>
  <c r="K10" i="5" s="1"/>
  <c r="M10" i="5"/>
  <c r="M9" i="5"/>
  <c r="G9" i="5"/>
  <c r="K9" i="5" s="1"/>
  <c r="G8" i="5"/>
  <c r="M8" i="5"/>
  <c r="K8" i="5"/>
  <c r="G7" i="5"/>
  <c r="K7" i="5" s="1"/>
  <c r="M7" i="5"/>
  <c r="G6" i="5"/>
  <c r="K6" i="5" s="1"/>
  <c r="M6" i="5"/>
  <c r="M5" i="5"/>
  <c r="G5" i="5"/>
  <c r="K5" i="5" s="1"/>
  <c r="G4" i="5"/>
  <c r="K4" i="5" s="1"/>
  <c r="M3" i="5"/>
  <c r="G3" i="5"/>
  <c r="K3" i="5" s="1"/>
  <c r="M2" i="5"/>
  <c r="G2" i="5"/>
  <c r="K2" i="5" s="1"/>
  <c r="N25" i="3"/>
  <c r="G25" i="3"/>
  <c r="H25" i="3" s="1"/>
  <c r="L25" i="3" s="1"/>
  <c r="N24" i="3"/>
  <c r="G24" i="3"/>
  <c r="H24" i="3" s="1"/>
  <c r="L24" i="3" s="1"/>
  <c r="N23" i="3"/>
  <c r="G23" i="3"/>
  <c r="H23" i="3" s="1"/>
  <c r="L23" i="3" s="1"/>
  <c r="G22" i="3"/>
  <c r="H22" i="3"/>
  <c r="L22" i="3" s="1"/>
  <c r="N22" i="3"/>
  <c r="G21" i="3"/>
  <c r="H21" i="3"/>
  <c r="N21" i="3"/>
  <c r="L21" i="3"/>
  <c r="E51" i="3"/>
  <c r="G20" i="3"/>
  <c r="M50" i="3"/>
  <c r="N20" i="3"/>
  <c r="H20" i="3"/>
  <c r="L20" i="3" s="1"/>
  <c r="G19" i="3"/>
  <c r="H19" i="3" s="1"/>
  <c r="L19" i="3" s="1"/>
  <c r="N18" i="3"/>
  <c r="G18" i="3"/>
  <c r="H18" i="3" s="1"/>
  <c r="L18" i="3" s="1"/>
  <c r="G17" i="3"/>
  <c r="N17" i="3"/>
  <c r="N16" i="3"/>
  <c r="G16" i="3"/>
  <c r="H16" i="3" s="1"/>
  <c r="L16" i="3" s="1"/>
  <c r="G15" i="3"/>
  <c r="H15" i="3" s="1"/>
  <c r="L15" i="3" s="1"/>
  <c r="N15" i="3"/>
  <c r="N14" i="3"/>
  <c r="G14" i="3"/>
  <c r="H14" i="3" s="1"/>
  <c r="L14" i="3" s="1"/>
  <c r="H13" i="3"/>
  <c r="L13" i="3" s="1"/>
  <c r="N13" i="3"/>
  <c r="G13" i="3"/>
  <c r="N12" i="3"/>
  <c r="G12" i="3"/>
  <c r="H12" i="3" s="1"/>
  <c r="L12" i="3" s="1"/>
  <c r="N11" i="3"/>
  <c r="G11" i="3"/>
  <c r="H11" i="3" s="1"/>
  <c r="L11" i="3" s="1"/>
  <c r="N10" i="3"/>
  <c r="G10" i="3"/>
  <c r="H10" i="3" s="1"/>
  <c r="L10" i="3" s="1"/>
  <c r="N9" i="3"/>
  <c r="G9" i="3"/>
  <c r="H9" i="3" s="1"/>
  <c r="L9" i="3" s="1"/>
  <c r="N8" i="3"/>
  <c r="G8" i="3"/>
  <c r="H8" i="3" s="1"/>
  <c r="L8" i="3" s="1"/>
  <c r="G7" i="3"/>
  <c r="H7" i="3" s="1"/>
  <c r="L7" i="3" s="1"/>
  <c r="N7" i="3"/>
  <c r="N6" i="3"/>
  <c r="G6" i="3"/>
  <c r="H6" i="3" s="1"/>
  <c r="L6" i="3" s="1"/>
  <c r="N5" i="3"/>
  <c r="G5" i="3"/>
  <c r="H5" i="3" s="1"/>
  <c r="L5" i="3" s="1"/>
  <c r="N4" i="3"/>
  <c r="G4" i="3"/>
  <c r="H4" i="3" s="1"/>
  <c r="L4" i="3" s="1"/>
  <c r="J51" i="3"/>
  <c r="N3" i="3"/>
  <c r="G3" i="3"/>
  <c r="F51" i="3"/>
  <c r="I51" i="3"/>
  <c r="H3" i="3"/>
  <c r="N51" i="3" l="1"/>
  <c r="H17" i="3"/>
  <c r="G51" i="3"/>
  <c r="D21" i="6"/>
  <c r="C21" i="6"/>
  <c r="E21" i="6"/>
  <c r="E18" i="6"/>
  <c r="C18" i="6"/>
  <c r="D18" i="6"/>
  <c r="F18" i="6" s="1"/>
  <c r="E14" i="6"/>
  <c r="D14" i="6"/>
  <c r="F14" i="6" s="1"/>
  <c r="C14" i="6"/>
  <c r="D16" i="6"/>
  <c r="F16" i="6" s="1"/>
  <c r="C16" i="6"/>
  <c r="E16" i="6"/>
  <c r="E19" i="6"/>
  <c r="C19" i="6"/>
  <c r="D19" i="6"/>
  <c r="F19" i="6" s="1"/>
  <c r="E13" i="6"/>
  <c r="D13" i="6"/>
  <c r="C13" i="6"/>
  <c r="C15" i="6"/>
  <c r="E15" i="6"/>
  <c r="D15" i="6"/>
  <c r="F15" i="6" s="1"/>
  <c r="N50" i="3"/>
  <c r="G50" i="3"/>
  <c r="L3" i="3"/>
  <c r="L17" i="3" l="1"/>
  <c r="H50" i="3"/>
  <c r="J50" i="3"/>
  <c r="H51" i="3"/>
  <c r="F13" i="6"/>
  <c r="C17" i="6"/>
  <c r="E17" i="6"/>
  <c r="D17" i="6"/>
  <c r="B8" i="6" l="1"/>
  <c r="F8" i="6"/>
  <c r="H8" i="6"/>
  <c r="D8" i="6"/>
  <c r="L50" i="3"/>
  <c r="J8" i="6"/>
  <c r="J9" i="6"/>
  <c r="E20" i="6"/>
  <c r="E22" i="6" s="1"/>
  <c r="D20" i="6"/>
  <c r="C20" i="6"/>
  <c r="C22" i="6" s="1"/>
  <c r="F17" i="6"/>
  <c r="F20" i="6" l="1"/>
  <c r="D22" i="6"/>
  <c r="G19" i="6" l="1"/>
  <c r="G18" i="6"/>
  <c r="G13" i="6"/>
  <c r="G20" i="6"/>
  <c r="G16" i="6"/>
  <c r="G15" i="6"/>
  <c r="F22" i="6"/>
  <c r="G21" i="6"/>
  <c r="G17" i="6"/>
  <c r="G14" i="6"/>
  <c r="G22" i="6" l="1"/>
</calcChain>
</file>

<file path=xl/sharedStrings.xml><?xml version="1.0" encoding="utf-8"?>
<sst xmlns="http://schemas.openxmlformats.org/spreadsheetml/2006/main" count="516" uniqueCount="243">
  <si>
    <t>loan name</t>
  </si>
  <si>
    <t>total take amt</t>
  </si>
  <si>
    <t>start date</t>
  </si>
  <si>
    <t xml:space="preserve">rest amount </t>
  </si>
  <si>
    <t>emi</t>
  </si>
  <si>
    <t>end date</t>
  </si>
  <si>
    <t xml:space="preserve">intrest rate </t>
  </si>
  <si>
    <t xml:space="preserve">icic credit card </t>
  </si>
  <si>
    <t>30k</t>
  </si>
  <si>
    <t>9k</t>
  </si>
  <si>
    <t>cred1</t>
  </si>
  <si>
    <t>20k</t>
  </si>
  <si>
    <t>8k</t>
  </si>
  <si>
    <t>2.8k</t>
  </si>
  <si>
    <t xml:space="preserve">slice </t>
  </si>
  <si>
    <t>3.0L</t>
  </si>
  <si>
    <t>1.75L</t>
  </si>
  <si>
    <t>25.6k</t>
  </si>
  <si>
    <t>💳 Loan Repayment &amp; Debt Portfolio Tracker</t>
  </si>
  <si>
    <t>💳 Comprehensive Loan Repayment &amp; Lump Sum Settlement Tracker</t>
  </si>
  <si>
    <t>cred2</t>
  </si>
  <si>
    <t>1.5L</t>
  </si>
  <si>
    <t>1.22L</t>
  </si>
  <si>
    <t>11.3k</t>
  </si>
  <si>
    <t xml:space="preserve">piramal </t>
  </si>
  <si>
    <t>7.L</t>
  </si>
  <si>
    <t>9.55L</t>
  </si>
  <si>
    <t>18.4k</t>
  </si>
  <si>
    <t>abba bc</t>
  </si>
  <si>
    <t>2L</t>
  </si>
  <si>
    <t>40k</t>
  </si>
  <si>
    <t>idfc</t>
  </si>
  <si>
    <t>1.3L</t>
  </si>
  <si>
    <t>1.7L</t>
  </si>
  <si>
    <t>5k</t>
  </si>
  <si>
    <t>mahila samiti</t>
  </si>
  <si>
    <t>1.4L</t>
  </si>
  <si>
    <t xml:space="preserve">4.5k intrest </t>
  </si>
  <si>
    <t>riyasat 2k</t>
  </si>
  <si>
    <t>50k</t>
  </si>
  <si>
    <t>2k</t>
  </si>
  <si>
    <t>riyasat 2ksha</t>
  </si>
  <si>
    <t>riyasat 1k</t>
  </si>
  <si>
    <t>10k</t>
  </si>
  <si>
    <t>1k</t>
  </si>
  <si>
    <t xml:space="preserve"> charku1 </t>
  </si>
  <si>
    <t>24k</t>
  </si>
  <si>
    <t>3k</t>
  </si>
  <si>
    <t>charku2</t>
  </si>
  <si>
    <t>Currency: INR (₹)  •  Status: Active Portfolio</t>
  </si>
  <si>
    <t>pinki</t>
  </si>
  <si>
    <t>jewar</t>
  </si>
  <si>
    <t>35k</t>
  </si>
  <si>
    <t xml:space="preserve">1k intrest </t>
  </si>
  <si>
    <t>jalil</t>
  </si>
  <si>
    <t>2.10L</t>
  </si>
  <si>
    <t>door</t>
  </si>
  <si>
    <t>25k</t>
  </si>
  <si>
    <t xml:space="preserve">cement </t>
  </si>
  <si>
    <t>kalijan</t>
  </si>
  <si>
    <t xml:space="preserve">khatija </t>
  </si>
  <si>
    <t>mamu</t>
  </si>
  <si>
    <t>Currency: INR (₹)</t>
  </si>
  <si>
    <t xml:space="preserve">extra payment </t>
  </si>
  <si>
    <t xml:space="preserve">home expenses </t>
  </si>
  <si>
    <t>TOTAL OUTSTANDING BALANCE</t>
  </si>
  <si>
    <t>muk loan</t>
  </si>
  <si>
    <t>Liability / Loan Name</t>
  </si>
  <si>
    <t>22.63 L</t>
  </si>
  <si>
    <t>Category</t>
  </si>
  <si>
    <t>Owner</t>
  </si>
  <si>
    <t>MONTHLY EMI OUTFLOW</t>
  </si>
  <si>
    <t>Original Borrowed</t>
  </si>
  <si>
    <t>Current Outstanding</t>
  </si>
  <si>
    <t>Lump Sum Paid</t>
  </si>
  <si>
    <t>HIGHEST INTEREST RATE</t>
  </si>
  <si>
    <t>Net Outstanding</t>
  </si>
  <si>
    <t>Monthly EMI</t>
  </si>
  <si>
    <t>Interest Rate</t>
  </si>
  <si>
    <t>Priority</t>
  </si>
  <si>
    <t>Loan Status</t>
  </si>
  <si>
    <t>ACTIVE LOAN COUNT</t>
  </si>
  <si>
    <t>Notes &amp; Status</t>
  </si>
  <si>
    <t>This Month Lump Sum</t>
  </si>
  <si>
    <t>Start Date</t>
  </si>
  <si>
    <t>End Date</t>
  </si>
  <si>
    <t>TOTAL ORIGINAL BORROWED</t>
  </si>
  <si>
    <t>Credit Card</t>
  </si>
  <si>
    <t>Shahil</t>
  </si>
  <si>
    <t>Across all active liabilities</t>
  </si>
  <si>
    <t>Fixed regular monthly commitments</t>
  </si>
  <si>
    <t>Peak annual rate (Avalanche priority)</t>
  </si>
  <si>
    <t>Tracked loan accounts</t>
  </si>
  <si>
    <t>Initial total sanctioned debt</t>
  </si>
  <si>
    <t>Outstanding Balance</t>
  </si>
  <si>
    <t>Chit Fund / BC</t>
  </si>
  <si>
    <t>ICICI Credit Card</t>
  </si>
  <si>
    <t>Community Loan</t>
  </si>
  <si>
    <t>Contingency</t>
  </si>
  <si>
    <t>Family Loan</t>
  </si>
  <si>
    <t>Fintech Credit</t>
  </si>
  <si>
    <t>Household</t>
  </si>
  <si>
    <t>Informal Loan</t>
  </si>
  <si>
    <t>Personal Loan</t>
  </si>
  <si>
    <t>Secured / Jewel</t>
  </si>
  <si>
    <t>Vendor / Home</t>
  </si>
  <si>
    <t>Priority 2 - Medium</t>
  </si>
  <si>
    <t>Card EMI payoff</t>
  </si>
  <si>
    <t>Cred 1</t>
  </si>
  <si>
    <t>Credit line EMI</t>
  </si>
  <si>
    <t>Slice</t>
  </si>
  <si>
    <t>Priority 1 - Urgent</t>
  </si>
  <si>
    <t>High interest rate (26%)</t>
  </si>
  <si>
    <t>Cred 2</t>
  </si>
  <si>
    <t>Piramal Capital</t>
  </si>
  <si>
    <t>Long-term NBFC loan</t>
  </si>
  <si>
    <t>Abba BC</t>
  </si>
  <si>
    <t>Priority 3 - 0% EMI</t>
  </si>
  <si>
    <t>Committee / BC monthly</t>
  </si>
  <si>
    <t>IDFC First Bank</t>
  </si>
  <si>
    <t>High interest personal loan</t>
  </si>
  <si>
    <t>Mahila Samiti</t>
  </si>
  <si>
    <t>₹4,500 monthly interest (36%)</t>
  </si>
  <si>
    <t>Riyasat (2k)</t>
  </si>
  <si>
    <t>₹2,000 monthly payment</t>
  </si>
  <si>
    <t>Riyasat (2ksha)</t>
  </si>
  <si>
    <t>Riyasat (1k)</t>
  </si>
  <si>
    <t>₹1,000 monthly payment</t>
  </si>
  <si>
    <t>Charku 1</t>
  </si>
  <si>
    <t>₹3,000 monthly payment</t>
  </si>
  <si>
    <t>Charku 2</t>
  </si>
  <si>
    <t>Pinki</t>
  </si>
  <si>
    <t>Priority 4 - Flexible</t>
  </si>
  <si>
    <t>Lump sum repayment</t>
  </si>
  <si>
    <t>Jewar (Gold Loan)</t>
  </si>
  <si>
    <t>₹1,000 monthly interest (36%)</t>
  </si>
  <si>
    <t>Jalil</t>
  </si>
  <si>
    <t>Door Renovation</t>
  </si>
  <si>
    <t>Home vendor pending</t>
  </si>
  <si>
    <t>Cement Material</t>
  </si>
  <si>
    <t>Construction material</t>
  </si>
  <si>
    <t>Kalijan</t>
  </si>
  <si>
    <t>Family / informal debt</t>
  </si>
  <si>
    <t>Khatija</t>
  </si>
  <si>
    <t>Mamu</t>
  </si>
  <si>
    <t>Family support debt</t>
  </si>
  <si>
    <t>Extra Payment</t>
  </si>
  <si>
    <t>Short-term buffer</t>
  </si>
  <si>
    <t>Home Expenses</t>
  </si>
  <si>
    <t>Immediate monthly expense</t>
  </si>
  <si>
    <t>TOTAL PORTFOLIO</t>
  </si>
  <si>
    <t>23 Active Accounts</t>
  </si>
  <si>
    <t>AVERAGE PER LOAN</t>
  </si>
  <si>
    <t>Abba</t>
  </si>
  <si>
    <t>Ammi</t>
  </si>
  <si>
    <t>💳 Monthly Debt Repayment &amp; Outflow Ledger</t>
  </si>
  <si>
    <t>TOTAL PAYMENTS REPAID</t>
  </si>
  <si>
    <t>CURRENT MONTH OUTFLOW</t>
  </si>
  <si>
    <t>LUMP SUM PREPAYMENTS</t>
  </si>
  <si>
    <t>AVG PAYMENT SIZE</t>
  </si>
  <si>
    <t>Mukhtar</t>
  </si>
  <si>
    <t>Cumulative logged outflow</t>
  </si>
  <si>
    <t>October 2026 cycle</t>
  </si>
  <si>
    <t>Principal reductions</t>
  </si>
  <si>
    <t>Average per transaction</t>
  </si>
  <si>
    <t>Payment ID</t>
  </si>
  <si>
    <t>Payment Date</t>
  </si>
  <si>
    <t>Portfolio Owner</t>
  </si>
  <si>
    <t>Payment Type</t>
  </si>
  <si>
    <t>Amount Paid (₹)</t>
  </si>
  <si>
    <t>Payment Status</t>
  </si>
  <si>
    <t>Notes &amp; Remarks</t>
  </si>
  <si>
    <t>PAY-2026-001</t>
  </si>
  <si>
    <t>Pending</t>
  </si>
  <si>
    <t>Automated EMI debit</t>
  </si>
  <si>
    <t>PAY-2026-002</t>
  </si>
  <si>
    <t>Card bill statement clearance</t>
  </si>
  <si>
    <t>PAY-2026-003</t>
  </si>
  <si>
    <t>📊 Executive Debt &amp; Repayment Portfolio Dashboard</t>
  </si>
  <si>
    <t>Portfolio Currency: INR (₹)  •  Live Tracker</t>
  </si>
  <si>
    <t>👤 PORTFOLIO OWNER</t>
  </si>
  <si>
    <t>📂 LOAN CATEGORY</t>
  </si>
  <si>
    <t>⚡ LOAN STATUS</t>
  </si>
  <si>
    <t>🔘 PAYMENT VIEW (EMI vs LUMP SUM)</t>
  </si>
  <si>
    <t>BC committee monthly instalment</t>
  </si>
  <si>
    <t>PAY-2026-004</t>
  </si>
  <si>
    <t>Interest Only</t>
  </si>
  <si>
    <t>All Owners</t>
  </si>
  <si>
    <t>All Categories</t>
  </si>
  <si>
    <t>All Status</t>
  </si>
  <si>
    <t>Lump Sum View</t>
  </si>
  <si>
    <t>Israfil</t>
  </si>
  <si>
    <t/>
  </si>
  <si>
    <t>Monthly loan interest servicing</t>
  </si>
  <si>
    <t>PAY-2026-005</t>
  </si>
  <si>
    <t>TOTAL OUTSTANDING</t>
  </si>
  <si>
    <t>TOTAL LUMP SUM PAID</t>
  </si>
  <si>
    <t>CURRENT MONTH LUMP SUM PAY</t>
  </si>
  <si>
    <t>LOAN STATUS (OPEN / CLOSED)</t>
  </si>
  <si>
    <t>Monthly scheduled repayment</t>
  </si>
  <si>
    <t>PAY-2026-006</t>
  </si>
  <si>
    <t>Lump Sum</t>
  </si>
  <si>
    <t>Partial principal lump sum payment</t>
  </si>
  <si>
    <t>PAY-2026-007</t>
  </si>
  <si>
    <t>NBFC loan regular EMI</t>
  </si>
  <si>
    <t>PAY-2026-008</t>
  </si>
  <si>
    <t>Net balance remaining</t>
  </si>
  <si>
    <t>Active regular commitment</t>
  </si>
  <si>
    <t>Total extra principal paid</t>
  </si>
  <si>
    <t>Settled in current billing cycle</t>
  </si>
  <si>
    <t>Personal loan monthly schedule</t>
  </si>
  <si>
    <t>PAY-2026-009</t>
  </si>
  <si>
    <t>📊 Category Breakdown &amp; Liability Analysis</t>
  </si>
  <si>
    <t>Loan Count</t>
  </si>
  <si>
    <t>Avg Interest</t>
  </si>
  <si>
    <t>% Share</t>
  </si>
  <si>
    <t>Credit line billing settlement</t>
  </si>
  <si>
    <t>PAY-2026-010</t>
  </si>
  <si>
    <t>Credit line installment paid</t>
  </si>
  <si>
    <t>PAY-2026-011</t>
  </si>
  <si>
    <t>PAY-2026-012</t>
  </si>
  <si>
    <t>PAY-2026-013</t>
  </si>
  <si>
    <t>PAY-2026-014</t>
  </si>
  <si>
    <t>PAY-2026-015</t>
  </si>
  <si>
    <t>PAY-2026-016</t>
  </si>
  <si>
    <t>PAY-2026-017</t>
  </si>
  <si>
    <t>PAY-2026-018</t>
  </si>
  <si>
    <t>PAY-2026-019</t>
  </si>
  <si>
    <t>PAY-2026-020</t>
  </si>
  <si>
    <t>Others</t>
  </si>
  <si>
    <t>Family &amp; Other</t>
  </si>
  <si>
    <t>Sub-Category</t>
  </si>
  <si>
    <t>lumsum</t>
  </si>
  <si>
    <t>shahil</t>
  </si>
  <si>
    <t>current loan amt</t>
  </si>
  <si>
    <t>type</t>
  </si>
  <si>
    <t>Month EMI</t>
  </si>
  <si>
    <t>till loan pay(₹)</t>
  </si>
  <si>
    <t>borrow type</t>
  </si>
  <si>
    <t>net loan amt</t>
  </si>
  <si>
    <t>current amt left</t>
  </si>
  <si>
    <t>total loan amt</t>
  </si>
  <si>
    <t xml:space="preserve">Amount 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</si>
</sst>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$₹]###,##0"/>
    <numFmt numFmtId="165" formatCode="0.0%"/>
    <numFmt numFmtId="166" formatCode="[$₹-4009]#,##0"/>
    <numFmt numFmtId="167" formatCode="yyyy\-mm\-dd"/>
    <numFmt numFmtId="168" formatCode="mmmyyyy"/>
    <numFmt numFmtId="169" formatCode="dmmm\ yyyy"/>
    <numFmt numFmtId="170" formatCode="dmmmyyyy"/>
    <numFmt numFmtId="171" formatCode="dmmmmyyyy"/>
    <numFmt numFmtId="172" formatCode="&quot;₹&quot;###,##0"/>
    <numFmt numFmtId="173" formatCode="&quot;₹&quot;#,##0"/>
  </numFmts>
  <fonts count="5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1E3989"/>
      <name val="Google Sans"/>
    </font>
    <font>
      <b/>
      <sz val="13"/>
      <color rgb="FFFFFFFF"/>
      <name val="Arial"/>
      <family val="2"/>
      <scheme val="minor"/>
    </font>
    <font>
      <i/>
      <sz val="10"/>
      <color rgb="FF66728C"/>
      <name val="Google Sans"/>
    </font>
    <font>
      <i/>
      <sz val="10"/>
      <color rgb="FFE0EA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9"/>
      <color rgb="FF4338C9"/>
      <name val="Google Sans"/>
    </font>
    <font>
      <sz val="10"/>
      <name val="Arial"/>
      <family val="2"/>
    </font>
    <font>
      <b/>
      <sz val="9"/>
      <color rgb="FFC56010"/>
      <name val="Google Sans"/>
    </font>
    <font>
      <b/>
      <sz val="9"/>
      <color rgb="FFB81C1C"/>
      <name val="Google Sans"/>
    </font>
    <font>
      <b/>
      <sz val="9"/>
      <color rgb="FF157C3E"/>
      <name val="Google Sans"/>
    </font>
    <font>
      <b/>
      <sz val="9"/>
      <color rgb="FF4C5972"/>
      <name val="Google Sans"/>
    </font>
    <font>
      <b/>
      <sz val="10"/>
      <color theme="1"/>
      <name val="Arial"/>
      <family val="2"/>
      <scheme val="minor"/>
    </font>
    <font>
      <b/>
      <sz val="17"/>
      <color rgb="FF1E1B4A"/>
      <name val="Google Sans"/>
    </font>
    <font>
      <sz val="10"/>
      <color theme="1"/>
      <name val="Arial"/>
      <family val="2"/>
      <scheme val="minor"/>
    </font>
    <font>
      <b/>
      <sz val="17"/>
      <color rgb="FF7D3A06"/>
      <name val="Google Sans"/>
    </font>
    <font>
      <b/>
      <sz val="17"/>
      <color rgb="FF720C0C"/>
      <name val="Google Sans"/>
    </font>
    <font>
      <b/>
      <sz val="17"/>
      <color rgb="FF0A4C23"/>
      <name val="Google Sans"/>
    </font>
    <font>
      <b/>
      <sz val="17"/>
      <color rgb="FF26334C"/>
      <name val="Google Sans"/>
    </font>
    <font>
      <i/>
      <sz val="8"/>
      <color rgb="FF6266F0"/>
      <name val="Google Sans"/>
    </font>
    <font>
      <i/>
      <sz val="8"/>
      <color rgb="FFD97728"/>
      <name val="Google Sans"/>
    </font>
    <font>
      <i/>
      <sz val="8"/>
      <color rgb="FFCC3F3F"/>
      <name val="Google Sans"/>
    </font>
    <font>
      <i/>
      <sz val="8"/>
      <color rgb="FF269951"/>
      <name val="Google Sans"/>
    </font>
    <font>
      <i/>
      <sz val="8"/>
      <color rgb="FF727F99"/>
      <name val="Google Sans"/>
    </font>
    <font>
      <b/>
      <sz val="10"/>
      <color rgb="FFFFFFFF"/>
      <name val="Google Sans"/>
    </font>
    <font>
      <sz val="9"/>
      <color theme="1"/>
      <name val="Arial"/>
      <family val="2"/>
      <scheme val="minor"/>
    </font>
    <font>
      <sz val="10"/>
      <color rgb="FF1E293A"/>
      <name val="Google Sans"/>
    </font>
    <font>
      <b/>
      <sz val="10"/>
      <color rgb="FF1E1B4A"/>
      <name val="Google Sans"/>
    </font>
    <font>
      <i/>
      <sz val="9"/>
      <color rgb="FF465469"/>
      <name val="Google Sans"/>
    </font>
    <font>
      <b/>
      <sz val="14"/>
      <color rgb="FFFFFFFF"/>
      <name val="Roboto"/>
    </font>
    <font>
      <b/>
      <sz val="10"/>
      <color rgb="FFD8E5F4"/>
      <name val="Roboto"/>
    </font>
    <font>
      <b/>
      <sz val="9"/>
      <color rgb="FF3F516B"/>
      <name val="Roboto"/>
    </font>
    <font>
      <b/>
      <sz val="16"/>
      <color rgb="FF1B365D"/>
      <name val="Roboto"/>
    </font>
    <font>
      <i/>
      <sz val="8"/>
      <color rgb="FF707F93"/>
      <name val="Roboto"/>
    </font>
    <font>
      <b/>
      <sz val="10"/>
      <color rgb="FFFFFFFF"/>
      <name val="Roboto"/>
    </font>
    <font>
      <sz val="9"/>
      <color rgb="FF1A1F2C"/>
      <name val="Roboto"/>
    </font>
    <font>
      <b/>
      <sz val="15"/>
      <color rgb="FFFFFFFF"/>
      <name val="Arial"/>
      <family val="2"/>
      <scheme val="minor"/>
    </font>
    <font>
      <b/>
      <sz val="9"/>
      <color rgb="FF1E3989"/>
      <name val="Arial"/>
      <family val="2"/>
      <scheme val="minor"/>
    </font>
    <font>
      <b/>
      <sz val="8"/>
      <color rgb="FF4C5966"/>
      <name val="Arial"/>
      <family val="2"/>
      <scheme val="minor"/>
    </font>
    <font>
      <b/>
      <sz val="12"/>
      <color rgb="FF192633"/>
      <name val="Arial"/>
      <family val="2"/>
      <scheme val="minor"/>
    </font>
    <font>
      <i/>
      <sz val="8"/>
      <color rgb="FF727F8C"/>
      <name val="Arial"/>
      <family val="2"/>
      <scheme val="minor"/>
    </font>
    <font>
      <b/>
      <sz val="9"/>
      <color rgb="FF465469"/>
      <name val="Arial"/>
      <family val="2"/>
      <scheme val="minor"/>
    </font>
    <font>
      <b/>
      <sz val="14"/>
      <color rgb="FF1E3989"/>
      <name val="Arial"/>
      <family val="2"/>
      <scheme val="minor"/>
    </font>
    <font>
      <b/>
      <sz val="14"/>
      <color rgb="FF047856"/>
      <name val="Arial"/>
      <family val="2"/>
      <scheme val="minor"/>
    </font>
    <font>
      <b/>
      <sz val="14"/>
      <color rgb="FF4F46E4"/>
      <name val="Arial"/>
      <family val="2"/>
      <scheme val="minor"/>
    </font>
    <font>
      <b/>
      <sz val="14"/>
      <color rgb="FFB45208"/>
      <name val="Arial"/>
      <family val="2"/>
      <scheme val="minor"/>
    </font>
    <font>
      <b/>
      <sz val="13"/>
      <color rgb="FF1E293A"/>
      <name val="Arial"/>
      <family val="2"/>
      <scheme val="minor"/>
    </font>
    <font>
      <i/>
      <sz val="8"/>
      <color rgb="FF63748A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0"/>
      <color rgb="FF1B365D"/>
      <name val="Roboto"/>
    </font>
    <font>
      <b/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EFF4FF"/>
        <bgColor rgb="FFEFF4FF"/>
      </patternFill>
    </fill>
    <fill>
      <patternFill patternType="solid">
        <fgColor rgb="FFFFF7EC"/>
        <bgColor rgb="FFFFF7EC"/>
      </patternFill>
    </fill>
    <fill>
      <patternFill patternType="solid">
        <fgColor rgb="FFFDF1F1"/>
        <bgColor rgb="FFFDF1F1"/>
      </patternFill>
    </fill>
    <fill>
      <patternFill patternType="solid">
        <fgColor rgb="FFEFFCF4"/>
        <bgColor rgb="FFEFFCF4"/>
      </patternFill>
    </fill>
    <fill>
      <patternFill patternType="solid">
        <fgColor rgb="FFF8F9FB"/>
        <bgColor rgb="FFF8F9FB"/>
      </patternFill>
    </fill>
    <fill>
      <patternFill patternType="solid">
        <fgColor rgb="FFF7F8FB"/>
        <bgColor rgb="FFF7F8FB"/>
      </patternFill>
    </fill>
    <fill>
      <patternFill patternType="solid">
        <fgColor rgb="FFEDF1FF"/>
        <bgColor rgb="FFEDF1FF"/>
      </patternFill>
    </fill>
    <fill>
      <patternFill patternType="solid">
        <fgColor rgb="FF1B365D"/>
        <bgColor rgb="FF1B365D"/>
      </patternFill>
    </fill>
    <fill>
      <patternFill patternType="solid">
        <fgColor rgb="FFEFF4F8"/>
        <bgColor rgb="FFEFF4F8"/>
      </patternFill>
    </fill>
    <fill>
      <patternFill patternType="solid">
        <fgColor rgb="FFEAF0F6"/>
        <bgColor rgb="FFEAF0F6"/>
      </patternFill>
    </fill>
    <fill>
      <patternFill patternType="solid">
        <fgColor rgb="FFFFFFFF"/>
        <bgColor rgb="FFFFFFFF"/>
      </patternFill>
    </fill>
    <fill>
      <patternFill patternType="solid">
        <fgColor rgb="FF2D59B2"/>
        <bgColor rgb="FF2D59B2"/>
      </patternFill>
    </fill>
    <fill>
      <patternFill patternType="solid">
        <fgColor rgb="FFECF1F7"/>
        <bgColor rgb="FFECF1F7"/>
      </patternFill>
    </fill>
    <fill>
      <patternFill patternType="solid">
        <fgColor rgb="FFEDF2F9"/>
        <bgColor rgb="FFEDF2F9"/>
      </patternFill>
    </fill>
    <fill>
      <patternFill patternType="solid">
        <fgColor rgb="FFE0E8FC"/>
        <bgColor rgb="FFE0E8FC"/>
      </patternFill>
    </fill>
    <fill>
      <patternFill patternType="solid">
        <fgColor rgb="FFF0F3FA"/>
        <bgColor rgb="FFF0F3FA"/>
      </patternFill>
    </fill>
    <fill>
      <patternFill patternType="solid">
        <fgColor rgb="FFEFF3F9"/>
        <bgColor rgb="FFEFF3F9"/>
      </patternFill>
    </fill>
    <fill>
      <patternFill patternType="solid">
        <fgColor rgb="FFEFF2F7"/>
        <bgColor rgb="FFEFF2F7"/>
      </patternFill>
    </fill>
  </fills>
  <borders count="85">
    <border>
      <left/>
      <right/>
      <top/>
      <bottom/>
      <diagonal/>
    </border>
    <border>
      <left style="thin">
        <color rgb="FFB2BFD8"/>
      </left>
      <right style="thin">
        <color rgb="FFE0E5EF"/>
      </right>
      <top style="thin">
        <color rgb="FFB2BFD8"/>
      </top>
      <bottom style="thin">
        <color rgb="FFE0E5EF"/>
      </bottom>
      <diagonal/>
    </border>
    <border>
      <left style="thin">
        <color rgb="FFCCD6F2"/>
      </left>
      <right/>
      <top style="thin">
        <color rgb="FFCCD6F2"/>
      </top>
      <bottom/>
      <diagonal/>
    </border>
    <border>
      <left style="thin">
        <color rgb="FFE0E5EF"/>
      </left>
      <right style="thin">
        <color rgb="FFE0E5EF"/>
      </right>
      <top style="thin">
        <color rgb="FFB2BFD8"/>
      </top>
      <bottom style="thin">
        <color rgb="FFE0E5EF"/>
      </bottom>
      <diagonal/>
    </border>
    <border>
      <left/>
      <right style="thin">
        <color rgb="FFCCD6F2"/>
      </right>
      <top style="thin">
        <color rgb="FFCCD6F2"/>
      </top>
      <bottom/>
      <diagonal/>
    </border>
    <border>
      <left style="thin">
        <color rgb="FFF9D1AD"/>
      </left>
      <right/>
      <top style="thin">
        <color rgb="FFF9D1AD"/>
      </top>
      <bottom/>
      <diagonal/>
    </border>
    <border>
      <left/>
      <right style="thin">
        <color rgb="FFF9D1AD"/>
      </right>
      <top style="thin">
        <color rgb="FFF9D1AD"/>
      </top>
      <bottom/>
      <diagonal/>
    </border>
    <border>
      <left style="thin">
        <color rgb="FFF9C6C6"/>
      </left>
      <right/>
      <top style="thin">
        <color rgb="FFF9C6C6"/>
      </top>
      <bottom/>
      <diagonal/>
    </border>
    <border>
      <left/>
      <right style="thin">
        <color rgb="FFF9C6C6"/>
      </right>
      <top style="thin">
        <color rgb="FFF9C6C6"/>
      </top>
      <bottom/>
      <diagonal/>
    </border>
    <border>
      <left style="thin">
        <color rgb="FFE0E5EF"/>
      </left>
      <right style="thin">
        <color rgb="FFB2BFD8"/>
      </right>
      <top style="thin">
        <color rgb="FFB2BFD8"/>
      </top>
      <bottom style="thin">
        <color rgb="FFE0E5EF"/>
      </bottom>
      <diagonal/>
    </border>
    <border>
      <left style="thin">
        <color rgb="FFBFEACC"/>
      </left>
      <right/>
      <top style="thin">
        <color rgb="FFBFEACC"/>
      </top>
      <bottom/>
      <diagonal/>
    </border>
    <border>
      <left style="thin">
        <color rgb="FFB1BED7"/>
      </left>
      <right style="thin">
        <color rgb="FFDFE4EE"/>
      </right>
      <top style="thin">
        <color rgb="FFB1BED7"/>
      </top>
      <bottom style="thin">
        <color rgb="FFDFE4EE"/>
      </bottom>
      <diagonal/>
    </border>
    <border>
      <left/>
      <right style="thin">
        <color rgb="FFBFEACC"/>
      </right>
      <top style="thin">
        <color rgb="FFBFEACC"/>
      </top>
      <bottom/>
      <diagonal/>
    </border>
    <border>
      <left style="thin">
        <color rgb="FFD8DDE5"/>
      </left>
      <right/>
      <top style="thin">
        <color rgb="FFD8DDE5"/>
      </top>
      <bottom/>
      <diagonal/>
    </border>
    <border>
      <left/>
      <right style="thin">
        <color rgb="FFD8DDE5"/>
      </right>
      <top style="thin">
        <color rgb="FFD8DDE5"/>
      </top>
      <bottom/>
      <diagonal/>
    </border>
    <border>
      <left style="thin">
        <color rgb="FFB2BFD8"/>
      </left>
      <right style="thin">
        <color rgb="FFE0E5EF"/>
      </right>
      <top style="thin">
        <color rgb="FFE0E5EF"/>
      </top>
      <bottom style="thin">
        <color rgb="FFE0E5EF"/>
      </bottom>
      <diagonal/>
    </border>
    <border>
      <left style="thin">
        <color rgb="FFCCD6F2"/>
      </left>
      <right/>
      <top/>
      <bottom/>
      <diagonal/>
    </border>
    <border>
      <left/>
      <right style="thin">
        <color rgb="FFCCD6F2"/>
      </right>
      <top/>
      <bottom/>
      <diagonal/>
    </border>
    <border>
      <left style="thin">
        <color rgb="FFE0E5EF"/>
      </left>
      <right style="thin">
        <color rgb="FFE0E5EF"/>
      </right>
      <top style="thin">
        <color rgb="FFE0E5EF"/>
      </top>
      <bottom style="thin">
        <color rgb="FFE0E5EF"/>
      </bottom>
      <diagonal/>
    </border>
    <border>
      <left style="thin">
        <color rgb="FFF9D1AD"/>
      </left>
      <right/>
      <top/>
      <bottom/>
      <diagonal/>
    </border>
    <border>
      <left/>
      <right style="thin">
        <color rgb="FFF9D1AD"/>
      </right>
      <top/>
      <bottom/>
      <diagonal/>
    </border>
    <border>
      <left style="thin">
        <color rgb="FFF9C6C6"/>
      </left>
      <right/>
      <top/>
      <bottom/>
      <diagonal/>
    </border>
    <border>
      <left/>
      <right style="thin">
        <color rgb="FFF9C6C6"/>
      </right>
      <top/>
      <bottom/>
      <diagonal/>
    </border>
    <border>
      <left style="thin">
        <color rgb="FFBFEACC"/>
      </left>
      <right/>
      <top/>
      <bottom/>
      <diagonal/>
    </border>
    <border>
      <left/>
      <right style="thin">
        <color rgb="FFBFEACC"/>
      </right>
      <top/>
      <bottom/>
      <diagonal/>
    </border>
    <border>
      <left style="thin">
        <color rgb="FFD8DDE5"/>
      </left>
      <right/>
      <top/>
      <bottom/>
      <diagonal/>
    </border>
    <border>
      <left/>
      <right style="thin">
        <color rgb="FFD8DDE5"/>
      </right>
      <top/>
      <bottom/>
      <diagonal/>
    </border>
    <border>
      <left style="thin">
        <color rgb="FFCCD6F2"/>
      </left>
      <right/>
      <top/>
      <bottom style="thin">
        <color rgb="FFCCD6F2"/>
      </bottom>
      <diagonal/>
    </border>
    <border>
      <left/>
      <right style="thin">
        <color rgb="FFCCD6F2"/>
      </right>
      <top/>
      <bottom style="thin">
        <color rgb="FFCCD6F2"/>
      </bottom>
      <diagonal/>
    </border>
    <border>
      <left style="thin">
        <color rgb="FFF9D1AD"/>
      </left>
      <right/>
      <top/>
      <bottom style="thin">
        <color rgb="FFF9D1AD"/>
      </bottom>
      <diagonal/>
    </border>
    <border>
      <left/>
      <right style="thin">
        <color rgb="FFF9D1AD"/>
      </right>
      <top/>
      <bottom style="thin">
        <color rgb="FFF9D1AD"/>
      </bottom>
      <diagonal/>
    </border>
    <border>
      <left style="thin">
        <color rgb="FFF9C6C6"/>
      </left>
      <right/>
      <top/>
      <bottom style="thin">
        <color rgb="FFF9C6C6"/>
      </bottom>
      <diagonal/>
    </border>
    <border>
      <left/>
      <right style="thin">
        <color rgb="FFF9C6C6"/>
      </right>
      <top/>
      <bottom style="thin">
        <color rgb="FFF9C6C6"/>
      </bottom>
      <diagonal/>
    </border>
    <border>
      <left style="thin">
        <color rgb="FFBFEACC"/>
      </left>
      <right/>
      <top/>
      <bottom style="thin">
        <color rgb="FFBFEACC"/>
      </bottom>
      <diagonal/>
    </border>
    <border>
      <left/>
      <right style="thin">
        <color rgb="FFBFEACC"/>
      </right>
      <top/>
      <bottom style="thin">
        <color rgb="FFBFEACC"/>
      </bottom>
      <diagonal/>
    </border>
    <border>
      <left style="thin">
        <color rgb="FFD8DDE5"/>
      </left>
      <right/>
      <top/>
      <bottom style="thin">
        <color rgb="FFD8DDE5"/>
      </bottom>
      <diagonal/>
    </border>
    <border>
      <left/>
      <right style="thin">
        <color rgb="FFD8DDE5"/>
      </right>
      <top/>
      <bottom style="thin">
        <color rgb="FFD8DDE5"/>
      </bottom>
      <diagonal/>
    </border>
    <border>
      <left style="thin">
        <color rgb="FFCCD6E5"/>
      </left>
      <right/>
      <top style="medium">
        <color rgb="FF1E3989"/>
      </top>
      <bottom style="thin">
        <color rgb="FFE5EAF2"/>
      </bottom>
      <diagonal/>
    </border>
    <border>
      <left/>
      <right/>
      <top style="medium">
        <color rgb="FF1E3989"/>
      </top>
      <bottom style="thin">
        <color rgb="FFE5EAF2"/>
      </bottom>
      <diagonal/>
    </border>
    <border>
      <left style="thin">
        <color rgb="FFE0E5EF"/>
      </left>
      <right style="thin">
        <color rgb="FFB2BFD8"/>
      </right>
      <top style="thin">
        <color rgb="FFE0E5EF"/>
      </top>
      <bottom style="thin">
        <color rgb="FFE0E5EF"/>
      </bottom>
      <diagonal/>
    </border>
    <border>
      <left/>
      <right style="thin">
        <color rgb="FFCCD6E5"/>
      </right>
      <top style="medium">
        <color rgb="FF1E3989"/>
      </top>
      <bottom style="thin">
        <color rgb="FFE5EAF2"/>
      </bottom>
      <diagonal/>
    </border>
    <border>
      <left style="thin">
        <color rgb="FFCCD6E5"/>
      </left>
      <right/>
      <top style="thin">
        <color rgb="FFE5EAF2"/>
      </top>
      <bottom style="thin">
        <color rgb="FFE5EAF2"/>
      </bottom>
      <diagonal/>
    </border>
    <border>
      <left/>
      <right/>
      <top style="thin">
        <color rgb="FFE5EAF2"/>
      </top>
      <bottom style="thin">
        <color rgb="FFE5EAF2"/>
      </bottom>
      <diagonal/>
    </border>
    <border>
      <left/>
      <right style="thin">
        <color rgb="FFCCD6E5"/>
      </right>
      <top style="thin">
        <color rgb="FFE5EAF2"/>
      </top>
      <bottom style="thin">
        <color rgb="FFE5EAF2"/>
      </bottom>
      <diagonal/>
    </border>
    <border>
      <left style="thin">
        <color rgb="FFDFE4EE"/>
      </left>
      <right style="thin">
        <color rgb="FFDFE4EE"/>
      </right>
      <top style="thin">
        <color rgb="FFDFE4EE"/>
      </top>
      <bottom style="thin">
        <color rgb="FFDFE4EE"/>
      </bottom>
      <diagonal/>
    </border>
    <border>
      <left style="thin">
        <color rgb="FFCCD6E5"/>
      </left>
      <right/>
      <top style="thin">
        <color rgb="FFE5EAF2"/>
      </top>
      <bottom/>
      <diagonal/>
    </border>
    <border>
      <left/>
      <right/>
      <top style="thin">
        <color rgb="FFE5EAF2"/>
      </top>
      <bottom/>
      <diagonal/>
    </border>
    <border>
      <left/>
      <right style="thin">
        <color rgb="FFCCD6E5"/>
      </right>
      <top style="thin">
        <color rgb="FFE5EAF2"/>
      </top>
      <bottom/>
      <diagonal/>
    </border>
    <border>
      <left style="thin">
        <color rgb="FFCCD6E5"/>
      </left>
      <right/>
      <top style="thin">
        <color rgb="FF99A5BF"/>
      </top>
      <bottom style="double">
        <color rgb="FF1E3989"/>
      </bottom>
      <diagonal/>
    </border>
    <border>
      <left/>
      <right/>
      <top style="thin">
        <color rgb="FF99A5BF"/>
      </top>
      <bottom style="double">
        <color rgb="FF1E3989"/>
      </bottom>
      <diagonal/>
    </border>
    <border>
      <left/>
      <right style="thin">
        <color rgb="FFCCD6E5"/>
      </right>
      <top style="thin">
        <color rgb="FF99A5BF"/>
      </top>
      <bottom style="double">
        <color rgb="FF1E3989"/>
      </bottom>
      <diagonal/>
    </border>
    <border>
      <left style="thin">
        <color rgb="FFCCD6E5"/>
      </left>
      <right/>
      <top/>
      <bottom style="thin">
        <color rgb="FFCCD6E5"/>
      </bottom>
      <diagonal/>
    </border>
    <border>
      <left/>
      <right/>
      <top/>
      <bottom style="thin">
        <color rgb="FFCCD6E5"/>
      </bottom>
      <diagonal/>
    </border>
    <border>
      <left/>
      <right style="thin">
        <color rgb="FFCCD6E5"/>
      </right>
      <top/>
      <bottom style="thin">
        <color rgb="FFCCD6E5"/>
      </bottom>
      <diagonal/>
    </border>
    <border>
      <left style="thin">
        <color rgb="FFCAD4E0"/>
      </left>
      <right/>
      <top style="thin">
        <color rgb="FFCAD4E0"/>
      </top>
      <bottom style="thin">
        <color rgb="FFCAD4E0"/>
      </bottom>
      <diagonal/>
    </border>
    <border>
      <left/>
      <right style="thin">
        <color rgb="FFCAD4E0"/>
      </right>
      <top style="thin">
        <color rgb="FFCAD4E0"/>
      </top>
      <bottom style="thin">
        <color rgb="FFCAD4E0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/>
      <top style="thin">
        <color rgb="FFCAD4E0"/>
      </top>
      <bottom style="thin">
        <color rgb="FFCAD4E0"/>
      </bottom>
      <diagonal/>
    </border>
    <border>
      <left style="thin">
        <color rgb="FFCCD8E5"/>
      </left>
      <right/>
      <top/>
      <bottom style="thin">
        <color rgb="FFCCD8E5"/>
      </bottom>
      <diagonal/>
    </border>
    <border>
      <left/>
      <right style="thin">
        <color rgb="FFCCD8E5"/>
      </right>
      <top/>
      <bottom style="thin">
        <color rgb="FFCCD8E5"/>
      </bottom>
      <diagonal/>
    </border>
    <border>
      <left style="thin">
        <color rgb="FFBFCCE0"/>
      </left>
      <right style="thin">
        <color rgb="FFE0E8F2"/>
      </right>
      <top style="thin">
        <color rgb="FFBFCCE0"/>
      </top>
      <bottom style="thin">
        <color rgb="FFE0E8F2"/>
      </bottom>
      <diagonal/>
    </border>
    <border>
      <left style="thin">
        <color rgb="FFE0E8F2"/>
      </left>
      <right style="thin">
        <color rgb="FFE0E8F2"/>
      </right>
      <top style="thin">
        <color rgb="FFBFCCE0"/>
      </top>
      <bottom style="thin">
        <color rgb="FFE0E8F2"/>
      </bottom>
      <diagonal/>
    </border>
    <border>
      <left style="thin">
        <color rgb="FFE0E8F2"/>
      </left>
      <right style="thin">
        <color rgb="FFBFCCE0"/>
      </right>
      <top style="thin">
        <color rgb="FFBFCCE0"/>
      </top>
      <bottom style="thin">
        <color rgb="FFE0E8F2"/>
      </bottom>
      <diagonal/>
    </border>
    <border>
      <left style="thin">
        <color rgb="FFBFCCE0"/>
      </left>
      <right style="thin">
        <color rgb="FFE0E8F2"/>
      </right>
      <top style="thin">
        <color rgb="FFE0E8F2"/>
      </top>
      <bottom style="thin">
        <color rgb="FFE0E8F2"/>
      </bottom>
      <diagonal/>
    </border>
    <border>
      <left style="thin">
        <color rgb="FFE0E8F2"/>
      </left>
      <right style="thin">
        <color rgb="FFE0E8F2"/>
      </right>
      <top style="thin">
        <color rgb="FFE0E8F2"/>
      </top>
      <bottom style="thin">
        <color rgb="FFE0E8F2"/>
      </bottom>
      <diagonal/>
    </border>
    <border>
      <left/>
      <right/>
      <top style="thin">
        <color rgb="FF707F96"/>
      </top>
      <bottom style="double">
        <color rgb="FF1B365D"/>
      </bottom>
      <diagonal/>
    </border>
    <border>
      <left style="thin">
        <color rgb="FFE0E8F2"/>
      </left>
      <right style="thin">
        <color rgb="FFBFCCE0"/>
      </right>
      <top style="thin">
        <color rgb="FFE0E8F2"/>
      </top>
      <bottom style="thin">
        <color rgb="FFE0E8F2"/>
      </bottom>
      <diagonal/>
    </border>
    <border>
      <left style="thin">
        <color rgb="FFBFCCE0"/>
      </left>
      <right style="thin">
        <color rgb="FFE0E8F2"/>
      </right>
      <top style="thin">
        <color rgb="FFE0E8F2"/>
      </top>
      <bottom style="double">
        <color rgb="FF334C7F"/>
      </bottom>
      <diagonal/>
    </border>
    <border>
      <left style="thin">
        <color rgb="FFE0E8F2"/>
      </left>
      <right style="thin">
        <color rgb="FFE0E8F2"/>
      </right>
      <top style="thin">
        <color rgb="FFE0E8F2"/>
      </top>
      <bottom style="double">
        <color rgb="FF334C7F"/>
      </bottom>
      <diagonal/>
    </border>
    <border>
      <left style="thin">
        <color rgb="FFE0E8F2"/>
      </left>
      <right style="thin">
        <color rgb="FFBFCCE0"/>
      </right>
      <top style="thin">
        <color rgb="FFE0E8F2"/>
      </top>
      <bottom style="double">
        <color rgb="FF334C7F"/>
      </bottom>
      <diagonal/>
    </border>
    <border>
      <left style="thin">
        <color rgb="FFE0E5EF"/>
      </left>
      <right style="thin">
        <color rgb="FFE0E5EF"/>
      </right>
      <top style="thin">
        <color rgb="FFB2BFD8"/>
      </top>
      <bottom style="thin">
        <color rgb="FFB2BFD8"/>
      </bottom>
      <diagonal/>
    </border>
    <border>
      <left style="thin">
        <color rgb="FFDFE4EE"/>
      </left>
      <right style="thin">
        <color rgb="FFDFE4EE"/>
      </right>
      <top style="thin">
        <color rgb="FFB1BED7"/>
      </top>
      <bottom style="thin">
        <color rgb="FFB1BED7"/>
      </bottom>
      <diagonal/>
    </border>
    <border>
      <left style="thin">
        <color rgb="FFB2BFD8"/>
      </left>
      <right style="thin">
        <color rgb="FFE0E5EF"/>
      </right>
      <top style="thin">
        <color rgb="FFE0E5EF"/>
      </top>
      <bottom style="double">
        <color rgb="FF334C7F"/>
      </bottom>
      <diagonal/>
    </border>
    <border>
      <left style="thin">
        <color rgb="FFE0E5EF"/>
      </left>
      <right style="thin">
        <color rgb="FFE0E5EF"/>
      </right>
      <top style="thin">
        <color rgb="FFE0E5EF"/>
      </top>
      <bottom style="double">
        <color rgb="FF334C7F"/>
      </bottom>
      <diagonal/>
    </border>
    <border>
      <left style="thin">
        <color rgb="FFE0E5EF"/>
      </left>
      <right style="thin">
        <color rgb="FFB2BFD8"/>
      </right>
      <top style="thin">
        <color rgb="FFE0E5EF"/>
      </top>
      <bottom style="double">
        <color rgb="FF334C7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E0E5EF"/>
      </right>
      <top style="thin">
        <color rgb="FFE0E5EF"/>
      </top>
      <bottom style="thin">
        <color rgb="FFE0E5EF"/>
      </bottom>
      <diagonal/>
    </border>
    <border>
      <left/>
      <right style="thin">
        <color rgb="FFE0E5EF"/>
      </right>
      <top style="thin">
        <color rgb="FFE0E5EF"/>
      </top>
      <bottom style="double">
        <color rgb="FF334C7F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5" fillId="0" borderId="18" xfId="0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right" vertical="center"/>
    </xf>
    <xf numFmtId="165" fontId="15" fillId="0" borderId="18" xfId="0" applyNumberFormat="1" applyFont="1" applyBorder="1" applyAlignment="1">
      <alignment horizontal="right" vertical="center"/>
    </xf>
    <xf numFmtId="0" fontId="25" fillId="2" borderId="37" xfId="0" applyFont="1" applyFill="1" applyBorder="1" applyAlignment="1">
      <alignment horizontal="left" vertical="center"/>
    </xf>
    <xf numFmtId="0" fontId="25" fillId="2" borderId="38" xfId="0" applyFont="1" applyFill="1" applyBorder="1" applyAlignment="1">
      <alignment horizontal="left" vertical="center"/>
    </xf>
    <xf numFmtId="0" fontId="25" fillId="2" borderId="38" xfId="0" applyFont="1" applyFill="1" applyBorder="1" applyAlignment="1">
      <alignment horizontal="right" vertical="center"/>
    </xf>
    <xf numFmtId="0" fontId="25" fillId="2" borderId="38" xfId="0" applyFont="1" applyFill="1" applyBorder="1" applyAlignment="1">
      <alignment horizontal="center" vertical="center"/>
    </xf>
    <xf numFmtId="0" fontId="26" fillId="0" borderId="39" xfId="0" applyFont="1" applyBorder="1" applyAlignment="1">
      <alignment horizontal="left" vertical="center"/>
    </xf>
    <xf numFmtId="0" fontId="25" fillId="2" borderId="40" xfId="0" applyFont="1" applyFill="1" applyBorder="1" applyAlignment="1">
      <alignment horizontal="left" vertical="center"/>
    </xf>
    <xf numFmtId="0" fontId="27" fillId="0" borderId="41" xfId="0" applyFont="1" applyBorder="1" applyAlignment="1">
      <alignment horizontal="left" vertical="center"/>
    </xf>
    <xf numFmtId="0" fontId="27" fillId="0" borderId="42" xfId="0" applyFont="1" applyBorder="1" applyAlignment="1">
      <alignment horizontal="left" vertical="center"/>
    </xf>
    <xf numFmtId="172" fontId="27" fillId="0" borderId="42" xfId="0" applyNumberFormat="1" applyFont="1" applyBorder="1" applyAlignment="1">
      <alignment horizontal="right" vertical="center"/>
    </xf>
    <xf numFmtId="165" fontId="27" fillId="0" borderId="42" xfId="0" applyNumberFormat="1" applyFont="1" applyBorder="1" applyAlignment="1">
      <alignment horizontal="right" vertical="center"/>
    </xf>
    <xf numFmtId="167" fontId="27" fillId="0" borderId="42" xfId="0" applyNumberFormat="1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43" xfId="0" applyFont="1" applyBorder="1" applyAlignment="1">
      <alignment horizontal="left" vertical="center"/>
    </xf>
    <xf numFmtId="0" fontId="27" fillId="8" borderId="41" xfId="0" applyFont="1" applyFill="1" applyBorder="1" applyAlignment="1">
      <alignment horizontal="left" vertical="center"/>
    </xf>
    <xf numFmtId="0" fontId="27" fillId="8" borderId="42" xfId="0" applyFont="1" applyFill="1" applyBorder="1" applyAlignment="1">
      <alignment horizontal="left" vertical="center"/>
    </xf>
    <xf numFmtId="172" fontId="27" fillId="8" borderId="42" xfId="0" applyNumberFormat="1" applyFont="1" applyFill="1" applyBorder="1" applyAlignment="1">
      <alignment horizontal="right" vertical="center"/>
    </xf>
    <xf numFmtId="165" fontId="27" fillId="8" borderId="42" xfId="0" applyNumberFormat="1" applyFont="1" applyFill="1" applyBorder="1" applyAlignment="1">
      <alignment horizontal="right" vertical="center"/>
    </xf>
    <xf numFmtId="167" fontId="27" fillId="8" borderId="42" xfId="0" applyNumberFormat="1" applyFont="1" applyFill="1" applyBorder="1" applyAlignment="1">
      <alignment horizontal="center" vertical="center"/>
    </xf>
    <xf numFmtId="0" fontId="27" fillId="8" borderId="42" xfId="0" applyFont="1" applyFill="1" applyBorder="1" applyAlignment="1">
      <alignment horizontal="center" vertical="center"/>
    </xf>
    <xf numFmtId="0" fontId="27" fillId="8" borderId="43" xfId="0" applyFont="1" applyFill="1" applyBorder="1" applyAlignment="1">
      <alignment horizontal="left" vertical="center"/>
    </xf>
    <xf numFmtId="166" fontId="15" fillId="0" borderId="4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167" fontId="15" fillId="0" borderId="18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vertical="center"/>
    </xf>
    <xf numFmtId="0" fontId="27" fillId="0" borderId="45" xfId="0" applyFont="1" applyBorder="1" applyAlignment="1">
      <alignment horizontal="left" vertical="center"/>
    </xf>
    <xf numFmtId="0" fontId="27" fillId="0" borderId="46" xfId="0" applyFont="1" applyBorder="1" applyAlignment="1">
      <alignment horizontal="left" vertical="center"/>
    </xf>
    <xf numFmtId="172" fontId="27" fillId="0" borderId="46" xfId="0" applyNumberFormat="1" applyFont="1" applyBorder="1" applyAlignment="1">
      <alignment horizontal="right" vertical="center"/>
    </xf>
    <xf numFmtId="165" fontId="27" fillId="0" borderId="46" xfId="0" applyNumberFormat="1" applyFont="1" applyBorder="1" applyAlignment="1">
      <alignment horizontal="right" vertical="center"/>
    </xf>
    <xf numFmtId="167" fontId="27" fillId="0" borderId="46" xfId="0" applyNumberFormat="1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47" xfId="0" applyFont="1" applyBorder="1" applyAlignment="1">
      <alignment horizontal="left" vertical="center"/>
    </xf>
    <xf numFmtId="0" fontId="28" fillId="9" borderId="48" xfId="0" applyFont="1" applyFill="1" applyBorder="1" applyAlignment="1">
      <alignment vertical="center"/>
    </xf>
    <xf numFmtId="0" fontId="28" fillId="9" borderId="49" xfId="0" applyFont="1" applyFill="1" applyBorder="1" applyAlignment="1">
      <alignment vertical="center"/>
    </xf>
    <xf numFmtId="172" fontId="28" fillId="9" borderId="49" xfId="0" applyNumberFormat="1" applyFont="1" applyFill="1" applyBorder="1" applyAlignment="1">
      <alignment vertical="center"/>
    </xf>
    <xf numFmtId="165" fontId="28" fillId="9" borderId="49" xfId="0" applyNumberFormat="1" applyFont="1" applyFill="1" applyBorder="1" applyAlignment="1">
      <alignment vertical="center"/>
    </xf>
    <xf numFmtId="0" fontId="28" fillId="9" borderId="50" xfId="0" applyFont="1" applyFill="1" applyBorder="1" applyAlignment="1">
      <alignment vertical="center"/>
    </xf>
    <xf numFmtId="0" fontId="29" fillId="7" borderId="51" xfId="0" applyFont="1" applyFill="1" applyBorder="1" applyAlignment="1">
      <alignment vertical="center"/>
    </xf>
    <xf numFmtId="0" fontId="29" fillId="7" borderId="52" xfId="0" applyFont="1" applyFill="1" applyBorder="1" applyAlignment="1">
      <alignment vertical="center"/>
    </xf>
    <xf numFmtId="165" fontId="15" fillId="0" borderId="18" xfId="0" applyNumberFormat="1" applyFont="1" applyBorder="1" applyAlignment="1">
      <alignment vertical="center"/>
    </xf>
    <xf numFmtId="172" fontId="29" fillId="7" borderId="52" xfId="0" applyNumberFormat="1" applyFont="1" applyFill="1" applyBorder="1" applyAlignment="1">
      <alignment vertical="center"/>
    </xf>
    <xf numFmtId="0" fontId="29" fillId="7" borderId="53" xfId="0" applyFont="1" applyFill="1" applyBorder="1" applyAlignment="1">
      <alignment vertical="center"/>
    </xf>
    <xf numFmtId="166" fontId="15" fillId="0" borderId="44" xfId="0" applyNumberFormat="1" applyFont="1" applyBorder="1" applyAlignment="1">
      <alignment vertical="center"/>
    </xf>
    <xf numFmtId="0" fontId="35" fillId="10" borderId="0" xfId="0" applyFont="1" applyFill="1" applyAlignment="1">
      <alignment vertical="center"/>
    </xf>
    <xf numFmtId="0" fontId="36" fillId="0" borderId="56" xfId="0" applyFont="1" applyBorder="1" applyAlignment="1">
      <alignment horizontal="center" vertical="center"/>
    </xf>
    <xf numFmtId="167" fontId="36" fillId="0" borderId="56" xfId="0" applyNumberFormat="1" applyFont="1" applyBorder="1" applyAlignment="1">
      <alignment horizontal="center" vertical="center"/>
    </xf>
    <xf numFmtId="0" fontId="36" fillId="0" borderId="56" xfId="0" applyFont="1" applyBorder="1" applyAlignment="1">
      <alignment horizontal="left" vertical="center"/>
    </xf>
    <xf numFmtId="173" fontId="36" fillId="0" borderId="56" xfId="0" applyNumberFormat="1" applyFont="1" applyBorder="1" applyAlignment="1">
      <alignment horizontal="right" vertical="center"/>
    </xf>
    <xf numFmtId="0" fontId="36" fillId="7" borderId="56" xfId="0" applyFont="1" applyFill="1" applyBorder="1" applyAlignment="1">
      <alignment horizontal="center" vertical="center"/>
    </xf>
    <xf numFmtId="167" fontId="36" fillId="7" borderId="56" xfId="0" applyNumberFormat="1" applyFont="1" applyFill="1" applyBorder="1" applyAlignment="1">
      <alignment horizontal="center" vertical="center"/>
    </xf>
    <xf numFmtId="0" fontId="36" fillId="7" borderId="56" xfId="0" applyFont="1" applyFill="1" applyBorder="1" applyAlignment="1">
      <alignment horizontal="left" vertical="center"/>
    </xf>
    <xf numFmtId="173" fontId="36" fillId="7" borderId="56" xfId="0" applyNumberFormat="1" applyFont="1" applyFill="1" applyBorder="1" applyAlignment="1">
      <alignment horizontal="right" vertical="center"/>
    </xf>
    <xf numFmtId="0" fontId="39" fillId="13" borderId="0" xfId="0" applyFont="1" applyFill="1" applyAlignment="1">
      <alignment horizontal="center" vertical="center"/>
    </xf>
    <xf numFmtId="0" fontId="1" fillId="13" borderId="0" xfId="0" applyFont="1" applyFill="1"/>
    <xf numFmtId="0" fontId="40" fillId="13" borderId="0" xfId="0" applyFont="1" applyFill="1" applyAlignment="1">
      <alignment horizontal="center" vertical="center"/>
    </xf>
    <xf numFmtId="0" fontId="41" fillId="13" borderId="58" xfId="0" applyFont="1" applyFill="1" applyBorder="1" applyAlignment="1">
      <alignment horizontal="center" vertical="center"/>
    </xf>
    <xf numFmtId="0" fontId="41" fillId="13" borderId="59" xfId="0" applyFont="1" applyFill="1" applyBorder="1" applyAlignment="1">
      <alignment horizontal="center" vertical="center"/>
    </xf>
    <xf numFmtId="0" fontId="6" fillId="14" borderId="60" xfId="0" applyFont="1" applyFill="1" applyBorder="1" applyAlignment="1">
      <alignment horizontal="center" vertical="center"/>
    </xf>
    <xf numFmtId="0" fontId="6" fillId="14" borderId="61" xfId="0" applyFont="1" applyFill="1" applyBorder="1" applyAlignment="1">
      <alignment horizontal="center" vertical="center"/>
    </xf>
    <xf numFmtId="0" fontId="6" fillId="14" borderId="62" xfId="0" applyFont="1" applyFill="1" applyBorder="1" applyAlignment="1">
      <alignment horizontal="center" vertical="center"/>
    </xf>
    <xf numFmtId="0" fontId="15" fillId="0" borderId="63" xfId="0" applyFont="1" applyBorder="1" applyAlignment="1">
      <alignment horizontal="left" vertical="center"/>
    </xf>
    <xf numFmtId="3" fontId="15" fillId="0" borderId="64" xfId="0" applyNumberFormat="1" applyFont="1" applyBorder="1" applyAlignment="1">
      <alignment horizontal="right" vertical="center"/>
    </xf>
    <xf numFmtId="0" fontId="50" fillId="15" borderId="65" xfId="0" applyFont="1" applyFill="1" applyBorder="1" applyAlignment="1">
      <alignment vertical="center"/>
    </xf>
    <xf numFmtId="166" fontId="15" fillId="0" borderId="64" xfId="0" applyNumberFormat="1" applyFont="1" applyBorder="1" applyAlignment="1">
      <alignment horizontal="right" vertical="center"/>
    </xf>
    <xf numFmtId="0" fontId="50" fillId="15" borderId="65" xfId="0" applyFont="1" applyFill="1" applyBorder="1" applyAlignment="1">
      <alignment horizontal="right" vertical="center"/>
    </xf>
    <xf numFmtId="173" fontId="50" fillId="15" borderId="65" xfId="0" applyNumberFormat="1" applyFont="1" applyFill="1" applyBorder="1" applyAlignment="1">
      <alignment horizontal="right" vertical="center"/>
    </xf>
    <xf numFmtId="0" fontId="50" fillId="15" borderId="65" xfId="0" applyFont="1" applyFill="1" applyBorder="1" applyAlignment="1">
      <alignment horizontal="center" vertical="center"/>
    </xf>
    <xf numFmtId="165" fontId="15" fillId="0" borderId="64" xfId="0" applyNumberFormat="1" applyFont="1" applyBorder="1" applyAlignment="1">
      <alignment horizontal="right" vertical="center"/>
    </xf>
    <xf numFmtId="165" fontId="15" fillId="0" borderId="66" xfId="0" applyNumberFormat="1" applyFont="1" applyBorder="1" applyAlignment="1">
      <alignment horizontal="right" vertical="center"/>
    </xf>
    <xf numFmtId="173" fontId="1" fillId="0" borderId="0" xfId="0" applyNumberFormat="1" applyFont="1"/>
    <xf numFmtId="0" fontId="15" fillId="0" borderId="64" xfId="0" applyFont="1" applyBorder="1" applyAlignment="1">
      <alignment horizontal="right" vertical="center"/>
    </xf>
    <xf numFmtId="0" fontId="13" fillId="16" borderId="67" xfId="0" applyFont="1" applyFill="1" applyBorder="1"/>
    <xf numFmtId="3" fontId="13" fillId="16" borderId="68" xfId="0" applyNumberFormat="1" applyFont="1" applyFill="1" applyBorder="1" applyAlignment="1">
      <alignment horizontal="right" vertical="center"/>
    </xf>
    <xf numFmtId="166" fontId="13" fillId="16" borderId="68" xfId="0" applyNumberFormat="1" applyFont="1" applyFill="1" applyBorder="1" applyAlignment="1">
      <alignment horizontal="right" vertical="center"/>
    </xf>
    <xf numFmtId="165" fontId="13" fillId="16" borderId="68" xfId="0" applyNumberFormat="1" applyFont="1" applyFill="1" applyBorder="1" applyAlignment="1">
      <alignment horizontal="right" vertical="center"/>
    </xf>
    <xf numFmtId="165" fontId="13" fillId="16" borderId="69" xfId="0" applyNumberFormat="1" applyFont="1" applyFill="1" applyBorder="1" applyAlignment="1">
      <alignment horizontal="right" vertical="center"/>
    </xf>
    <xf numFmtId="0" fontId="13" fillId="17" borderId="15" xfId="0" applyFont="1" applyFill="1" applyBorder="1"/>
    <xf numFmtId="0" fontId="13" fillId="17" borderId="18" xfId="0" applyFont="1" applyFill="1" applyBorder="1"/>
    <xf numFmtId="0" fontId="13" fillId="18" borderId="70" xfId="0" applyFont="1" applyFill="1" applyBorder="1"/>
    <xf numFmtId="164" fontId="13" fillId="17" borderId="18" xfId="0" applyNumberFormat="1" applyFont="1" applyFill="1" applyBorder="1"/>
    <xf numFmtId="165" fontId="13" fillId="17" borderId="18" xfId="0" applyNumberFormat="1" applyFont="1" applyFill="1" applyBorder="1"/>
    <xf numFmtId="0" fontId="13" fillId="17" borderId="39" xfId="0" applyFont="1" applyFill="1" applyBorder="1"/>
    <xf numFmtId="166" fontId="13" fillId="19" borderId="71" xfId="0" applyNumberFormat="1" applyFont="1" applyFill="1" applyBorder="1" applyAlignment="1">
      <alignment horizontal="right" vertical="center"/>
    </xf>
    <xf numFmtId="0" fontId="1" fillId="19" borderId="71" xfId="0" applyFont="1" applyFill="1" applyBorder="1"/>
    <xf numFmtId="0" fontId="51" fillId="20" borderId="72" xfId="0" applyFont="1" applyFill="1" applyBorder="1"/>
    <xf numFmtId="0" fontId="51" fillId="20" borderId="73" xfId="0" applyFont="1" applyFill="1" applyBorder="1"/>
    <xf numFmtId="0" fontId="51" fillId="18" borderId="70" xfId="0" applyFont="1" applyFill="1" applyBorder="1"/>
    <xf numFmtId="164" fontId="51" fillId="20" borderId="73" xfId="0" applyNumberFormat="1" applyFont="1" applyFill="1" applyBorder="1"/>
    <xf numFmtId="165" fontId="51" fillId="20" borderId="73" xfId="0" applyNumberFormat="1" applyFont="1" applyFill="1" applyBorder="1"/>
    <xf numFmtId="0" fontId="51" fillId="20" borderId="74" xfId="0" applyFont="1" applyFill="1" applyBorder="1"/>
    <xf numFmtId="166" fontId="15" fillId="19" borderId="71" xfId="0" applyNumberFormat="1" applyFont="1" applyFill="1" applyBorder="1" applyAlignment="1">
      <alignment horizontal="right" vertical="center"/>
    </xf>
    <xf numFmtId="0" fontId="13" fillId="17" borderId="15" xfId="0" applyFont="1" applyFill="1" applyBorder="1" applyAlignment="1">
      <alignment vertical="center"/>
    </xf>
    <xf numFmtId="0" fontId="13" fillId="17" borderId="18" xfId="0" applyFont="1" applyFill="1" applyBorder="1" applyAlignment="1">
      <alignment vertical="center"/>
    </xf>
    <xf numFmtId="0" fontId="13" fillId="18" borderId="70" xfId="0" applyFont="1" applyFill="1" applyBorder="1" applyAlignment="1">
      <alignment vertical="center"/>
    </xf>
    <xf numFmtId="164" fontId="13" fillId="17" borderId="18" xfId="0" applyNumberFormat="1" applyFont="1" applyFill="1" applyBorder="1" applyAlignment="1">
      <alignment vertical="center"/>
    </xf>
    <xf numFmtId="165" fontId="13" fillId="17" borderId="18" xfId="0" applyNumberFormat="1" applyFont="1" applyFill="1" applyBorder="1" applyAlignment="1">
      <alignment vertical="center"/>
    </xf>
    <xf numFmtId="0" fontId="13" fillId="17" borderId="39" xfId="0" applyFont="1" applyFill="1" applyBorder="1" applyAlignment="1">
      <alignment vertical="center"/>
    </xf>
    <xf numFmtId="166" fontId="13" fillId="19" borderId="71" xfId="0" applyNumberFormat="1" applyFont="1" applyFill="1" applyBorder="1" applyAlignment="1">
      <alignment vertical="center"/>
    </xf>
    <xf numFmtId="0" fontId="1" fillId="19" borderId="71" xfId="0" applyFont="1" applyFill="1" applyBorder="1" applyAlignment="1">
      <alignment vertical="center"/>
    </xf>
    <xf numFmtId="0" fontId="51" fillId="20" borderId="72" xfId="0" applyFont="1" applyFill="1" applyBorder="1" applyAlignment="1">
      <alignment vertical="center"/>
    </xf>
    <xf numFmtId="0" fontId="51" fillId="20" borderId="73" xfId="0" applyFont="1" applyFill="1" applyBorder="1" applyAlignment="1">
      <alignment vertical="center"/>
    </xf>
    <xf numFmtId="0" fontId="51" fillId="18" borderId="70" xfId="0" applyFont="1" applyFill="1" applyBorder="1" applyAlignment="1">
      <alignment vertical="center"/>
    </xf>
    <xf numFmtId="164" fontId="51" fillId="20" borderId="73" xfId="0" applyNumberFormat="1" applyFont="1" applyFill="1" applyBorder="1" applyAlignment="1">
      <alignment vertical="center"/>
    </xf>
    <xf numFmtId="165" fontId="51" fillId="20" borderId="73" xfId="0" applyNumberFormat="1" applyFont="1" applyFill="1" applyBorder="1" applyAlignment="1">
      <alignment vertical="center"/>
    </xf>
    <xf numFmtId="0" fontId="51" fillId="20" borderId="74" xfId="0" applyFont="1" applyFill="1" applyBorder="1" applyAlignment="1">
      <alignment vertical="center"/>
    </xf>
    <xf numFmtId="166" fontId="15" fillId="19" borderId="7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right" vertical="center"/>
    </xf>
    <xf numFmtId="0" fontId="7" fillId="3" borderId="2" xfId="0" applyFont="1" applyFill="1" applyBorder="1" applyAlignment="1">
      <alignment horizontal="center"/>
    </xf>
    <xf numFmtId="0" fontId="8" fillId="0" borderId="4" xfId="0" applyFont="1" applyBorder="1"/>
    <xf numFmtId="0" fontId="9" fillId="4" borderId="5" xfId="0" applyFont="1" applyFill="1" applyBorder="1" applyAlignment="1">
      <alignment horizontal="center"/>
    </xf>
    <xf numFmtId="0" fontId="8" fillId="0" borderId="6" xfId="0" applyFont="1" applyBorder="1"/>
    <xf numFmtId="0" fontId="10" fillId="5" borderId="7" xfId="0" applyFont="1" applyFill="1" applyBorder="1" applyAlignment="1">
      <alignment horizontal="center"/>
    </xf>
    <xf numFmtId="0" fontId="8" fillId="0" borderId="8" xfId="0" applyFont="1" applyBorder="1"/>
    <xf numFmtId="0" fontId="11" fillId="6" borderId="10" xfId="0" applyFont="1" applyFill="1" applyBorder="1" applyAlignment="1">
      <alignment horizontal="center"/>
    </xf>
    <xf numFmtId="0" fontId="8" fillId="0" borderId="12" xfId="0" applyFont="1" applyBorder="1"/>
    <xf numFmtId="0" fontId="12" fillId="7" borderId="13" xfId="0" applyFont="1" applyFill="1" applyBorder="1" applyAlignment="1">
      <alignment horizontal="center"/>
    </xf>
    <xf numFmtId="0" fontId="8" fillId="0" borderId="14" xfId="0" applyFont="1" applyBorder="1"/>
    <xf numFmtId="170" fontId="22" fillId="5" borderId="31" xfId="0" applyNumberFormat="1" applyFont="1" applyFill="1" applyBorder="1" applyAlignment="1">
      <alignment horizontal="center" vertical="top"/>
    </xf>
    <xf numFmtId="0" fontId="8" fillId="0" borderId="32" xfId="0" applyFont="1" applyBorder="1"/>
    <xf numFmtId="0" fontId="23" fillId="6" borderId="33" xfId="0" applyFont="1" applyFill="1" applyBorder="1" applyAlignment="1">
      <alignment horizontal="center" vertical="top"/>
    </xf>
    <xf numFmtId="0" fontId="8" fillId="0" borderId="34" xfId="0" applyFont="1" applyBorder="1"/>
    <xf numFmtId="172" fontId="14" fillId="3" borderId="16" xfId="0" applyNumberFormat="1" applyFont="1" applyFill="1" applyBorder="1" applyAlignment="1">
      <alignment horizontal="center" vertical="center"/>
    </xf>
    <xf numFmtId="0" fontId="8" fillId="0" borderId="17" xfId="0" applyFont="1" applyBorder="1"/>
    <xf numFmtId="172" fontId="16" fillId="4" borderId="19" xfId="0" applyNumberFormat="1" applyFont="1" applyFill="1" applyBorder="1" applyAlignment="1">
      <alignment horizontal="center" vertical="center"/>
    </xf>
    <xf numFmtId="0" fontId="8" fillId="0" borderId="20" xfId="0" applyFont="1" applyBorder="1"/>
    <xf numFmtId="165" fontId="17" fillId="5" borderId="21" xfId="0" applyNumberFormat="1" applyFont="1" applyFill="1" applyBorder="1" applyAlignment="1">
      <alignment horizontal="center" vertical="center"/>
    </xf>
    <xf numFmtId="0" fontId="8" fillId="0" borderId="22" xfId="0" applyFont="1" applyBorder="1"/>
    <xf numFmtId="3" fontId="18" fillId="6" borderId="23" xfId="0" applyNumberFormat="1" applyFont="1" applyFill="1" applyBorder="1" applyAlignment="1">
      <alignment horizontal="center" vertical="center"/>
    </xf>
    <xf numFmtId="0" fontId="8" fillId="0" borderId="24" xfId="0" applyFont="1" applyBorder="1"/>
    <xf numFmtId="172" fontId="19" fillId="7" borderId="25" xfId="0" applyNumberFormat="1" applyFont="1" applyFill="1" applyBorder="1" applyAlignment="1">
      <alignment horizontal="center" vertical="center"/>
    </xf>
    <xf numFmtId="0" fontId="8" fillId="0" borderId="26" xfId="0" applyFont="1" applyBorder="1"/>
    <xf numFmtId="0" fontId="20" fillId="3" borderId="27" xfId="0" applyFont="1" applyFill="1" applyBorder="1" applyAlignment="1">
      <alignment horizontal="center" vertical="top"/>
    </xf>
    <xf numFmtId="0" fontId="8" fillId="0" borderId="28" xfId="0" applyFont="1" applyBorder="1"/>
    <xf numFmtId="0" fontId="21" fillId="4" borderId="29" xfId="0" applyFont="1" applyFill="1" applyBorder="1" applyAlignment="1">
      <alignment horizontal="center" vertical="top"/>
    </xf>
    <xf numFmtId="0" fontId="8" fillId="0" borderId="30" xfId="0" applyFont="1" applyBorder="1"/>
    <xf numFmtId="0" fontId="24" fillId="7" borderId="35" xfId="0" applyFont="1" applyFill="1" applyBorder="1" applyAlignment="1">
      <alignment horizontal="center" vertical="top"/>
    </xf>
    <xf numFmtId="0" fontId="8" fillId="0" borderId="36" xfId="0" applyFont="1" applyBorder="1"/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left" vertical="center"/>
    </xf>
    <xf numFmtId="0" fontId="38" fillId="12" borderId="54" xfId="0" applyFont="1" applyFill="1" applyBorder="1" applyAlignment="1">
      <alignment horizontal="center" vertical="center"/>
    </xf>
    <xf numFmtId="0" fontId="8" fillId="0" borderId="55" xfId="0" applyFont="1" applyBorder="1"/>
    <xf numFmtId="0" fontId="8" fillId="0" borderId="57" xfId="0" applyFont="1" applyBorder="1"/>
    <xf numFmtId="0" fontId="13" fillId="13" borderId="54" xfId="0" applyFont="1" applyFill="1" applyBorder="1" applyAlignment="1">
      <alignment horizontal="center" vertical="center"/>
    </xf>
    <xf numFmtId="0" fontId="42" fillId="11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166" fontId="43" fillId="13" borderId="54" xfId="0" applyNumberFormat="1" applyFont="1" applyFill="1" applyBorder="1" applyAlignment="1">
      <alignment horizontal="center" vertical="center"/>
    </xf>
    <xf numFmtId="166" fontId="44" fillId="13" borderId="54" xfId="0" applyNumberFormat="1" applyFont="1" applyFill="1" applyBorder="1" applyAlignment="1">
      <alignment horizontal="center" vertical="center"/>
    </xf>
    <xf numFmtId="166" fontId="45" fillId="13" borderId="54" xfId="0" applyNumberFormat="1" applyFont="1" applyFill="1" applyBorder="1" applyAlignment="1">
      <alignment horizontal="center" vertical="center"/>
    </xf>
    <xf numFmtId="166" fontId="46" fillId="13" borderId="54" xfId="0" applyNumberFormat="1" applyFont="1" applyFill="1" applyBorder="1" applyAlignment="1">
      <alignment horizontal="center" vertical="center"/>
    </xf>
    <xf numFmtId="0" fontId="47" fillId="13" borderId="54" xfId="0" applyFont="1" applyFill="1" applyBorder="1" applyAlignment="1">
      <alignment horizontal="center" vertical="center"/>
    </xf>
    <xf numFmtId="172" fontId="33" fillId="11" borderId="54" xfId="0" applyNumberFormat="1" applyFont="1" applyFill="1" applyBorder="1" applyAlignment="1">
      <alignment horizontal="center" vertical="center"/>
    </xf>
    <xf numFmtId="0" fontId="34" fillId="11" borderId="54" xfId="0" applyFont="1" applyFill="1" applyBorder="1" applyAlignment="1">
      <alignment horizontal="center" vertical="center"/>
    </xf>
    <xf numFmtId="0" fontId="30" fillId="10" borderId="0" xfId="0" applyFont="1" applyFill="1" applyAlignment="1">
      <alignment horizontal="left" vertical="center"/>
    </xf>
    <xf numFmtId="0" fontId="31" fillId="10" borderId="0" xfId="0" applyFont="1" applyFill="1" applyAlignment="1">
      <alignment horizontal="right" vertical="center"/>
    </xf>
    <xf numFmtId="0" fontId="32" fillId="11" borderId="54" xfId="0" applyFont="1" applyFill="1" applyBorder="1" applyAlignment="1">
      <alignment horizontal="center" vertical="center"/>
    </xf>
    <xf numFmtId="0" fontId="0" fillId="0" borderId="75" xfId="0" pivotButton="1" applyBorder="1"/>
    <xf numFmtId="0" fontId="0" fillId="0" borderId="75" xfId="0" applyBorder="1"/>
    <xf numFmtId="0" fontId="0" fillId="0" borderId="76" xfId="0" applyBorder="1"/>
    <xf numFmtId="0" fontId="0" fillId="0" borderId="77" xfId="0" applyNumberFormat="1" applyBorder="1"/>
    <xf numFmtId="0" fontId="0" fillId="0" borderId="78" xfId="0" applyNumberFormat="1" applyBorder="1"/>
    <xf numFmtId="0" fontId="0" fillId="0" borderId="79" xfId="0" applyBorder="1"/>
    <xf numFmtId="0" fontId="13" fillId="0" borderId="81" xfId="0" applyFont="1" applyBorder="1" applyAlignment="1">
      <alignment horizontal="left" vertical="center"/>
    </xf>
    <xf numFmtId="0" fontId="13" fillId="17" borderId="81" xfId="0" applyFont="1" applyFill="1" applyBorder="1" applyAlignment="1">
      <alignment vertical="center"/>
    </xf>
    <xf numFmtId="0" fontId="51" fillId="20" borderId="82" xfId="0" applyFont="1" applyFill="1" applyBorder="1" applyAlignment="1">
      <alignment vertical="center"/>
    </xf>
    <xf numFmtId="0" fontId="0" fillId="0" borderId="80" xfId="0" applyNumberFormat="1" applyBorder="1"/>
    <xf numFmtId="0" fontId="0" fillId="0" borderId="75" xfId="0" applyBorder="1" applyAlignment="1">
      <alignment horizontal="left"/>
    </xf>
    <xf numFmtId="0" fontId="0" fillId="0" borderId="79" xfId="0" applyNumberFormat="1" applyBorder="1"/>
    <xf numFmtId="14" fontId="0" fillId="0" borderId="0" xfId="0" applyNumberFormat="1"/>
    <xf numFmtId="0" fontId="52" fillId="0" borderId="0" xfId="0" applyFont="1"/>
    <xf numFmtId="0" fontId="0" fillId="0" borderId="83" xfId="0" applyBorder="1" applyAlignment="1">
      <alignment horizontal="left"/>
    </xf>
    <xf numFmtId="0" fontId="0" fillId="0" borderId="84" xfId="0" applyNumberFormat="1" applyBorder="1"/>
  </cellXfs>
  <cellStyles count="1">
    <cellStyle name="Normal" xfId="0" builtinId="0"/>
  </cellStyles>
  <dxfs count="8">
    <dxf>
      <font>
        <b/>
        <color rgb="FF1E40AE"/>
      </font>
      <fill>
        <patternFill patternType="solid">
          <fgColor rgb="FFDBEAFD"/>
          <bgColor rgb="FFDBEAFD"/>
        </patternFill>
      </fill>
    </dxf>
    <dxf>
      <font>
        <b/>
        <color rgb="FF156434"/>
      </font>
      <fill>
        <patternFill patternType="solid">
          <fgColor rgb="FFDCFBE7"/>
          <bgColor rgb="FFDCFBE7"/>
        </patternFill>
      </fill>
    </dxf>
    <dxf>
      <font>
        <b/>
        <color rgb="FF1E40AE"/>
      </font>
      <fill>
        <patternFill patternType="solid">
          <fgColor rgb="FFDBEAFD"/>
          <bgColor rgb="FFDBEAFD"/>
        </patternFill>
      </fill>
    </dxf>
    <dxf>
      <font>
        <b/>
        <color rgb="FF156434"/>
      </font>
      <fill>
        <patternFill patternType="solid">
          <fgColor rgb="FFDCFBE7"/>
          <bgColor rgb="FFDCFBE7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opy of Loan_Management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Debt Distribution by Category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74B0-4162-B52B-36A0720BB36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74B0-4162-B52B-36A0720BB36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74B0-4162-B52B-36A0720BB36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74B0-4162-B52B-36A0720BB36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74B0-4162-B52B-36A0720BB362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74B0-4162-B52B-36A0720BB362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74B0-4162-B52B-36A0720BB362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74B0-4162-B52B-36A0720BB362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74B0-4162-B52B-36A0720BB362}"/>
              </c:ext>
            </c:extLst>
          </c:dPt>
          <c:cat>
            <c:strRef>
              <c:f>Dashboard!$B$13:$B$21</c:f>
              <c:strCache>
                <c:ptCount val="9"/>
                <c:pt idx="0">
                  <c:v>Personal Loan</c:v>
                </c:pt>
                <c:pt idx="1">
                  <c:v>Informal Loan</c:v>
                </c:pt>
                <c:pt idx="2">
                  <c:v>Fintech Credit</c:v>
                </c:pt>
                <c:pt idx="3">
                  <c:v>Community Loan</c:v>
                </c:pt>
                <c:pt idx="4">
                  <c:v>Credit Card</c:v>
                </c:pt>
                <c:pt idx="5">
                  <c:v>Vendor / Home</c:v>
                </c:pt>
                <c:pt idx="6">
                  <c:v>Chit Fund / BC</c:v>
                </c:pt>
                <c:pt idx="7">
                  <c:v>Secured / Jewel</c:v>
                </c:pt>
                <c:pt idx="8">
                  <c:v>Family &amp; Other</c:v>
                </c:pt>
              </c:strCache>
            </c:strRef>
          </c:cat>
          <c:val>
            <c:numRef>
              <c:f>Dashboard!$D$13:$D$21</c:f>
              <c:numCache>
                <c:formatCode>[$₹-4009]#,##0</c:formatCode>
                <c:ptCount val="9"/>
                <c:pt idx="0">
                  <c:v>1279000</c:v>
                </c:pt>
                <c:pt idx="1">
                  <c:v>320000</c:v>
                </c:pt>
                <c:pt idx="2">
                  <c:v>175000</c:v>
                </c:pt>
                <c:pt idx="3">
                  <c:v>150000</c:v>
                </c:pt>
                <c:pt idx="4">
                  <c:v>139000</c:v>
                </c:pt>
                <c:pt idx="5">
                  <c:v>75000</c:v>
                </c:pt>
                <c:pt idx="6">
                  <c:v>40000</c:v>
                </c:pt>
                <c:pt idx="7">
                  <c:v>35000</c:v>
                </c:pt>
                <c:pt idx="8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4B0-4162-B52B-36A0720BB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lang="en-IN" b="0">
                <a:solidFill>
                  <a:srgbClr val="757575"/>
                </a:solidFill>
                <a:latin typeface="Roboto"/>
              </a:rPr>
              <a:t>Outstanding Balances by Loan Account (₹)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Loan_Management!$H$2</c:f>
              <c:strCache>
                <c:ptCount val="1"/>
                <c:pt idx="0">
                  <c:v>Net Outstanding</c:v>
                </c:pt>
              </c:strCache>
            </c:strRef>
          </c:tx>
          <c:spPr>
            <a:solidFill>
              <a:srgbClr val="1E3989"/>
            </a:solidFill>
            <a:ln cmpd="sng">
              <a:noFill/>
            </a:ln>
          </c:spPr>
          <c:invertIfNegative val="0"/>
          <c:cat>
            <c:strRef>
              <c:f>Loan_Management!$B$3:$B$49</c:f>
              <c:strCache>
                <c:ptCount val="23"/>
                <c:pt idx="0">
                  <c:v>ICICI Credit Card</c:v>
                </c:pt>
                <c:pt idx="1">
                  <c:v>Cred 1</c:v>
                </c:pt>
                <c:pt idx="2">
                  <c:v>Slice</c:v>
                </c:pt>
                <c:pt idx="3">
                  <c:v>Cred 2</c:v>
                </c:pt>
                <c:pt idx="4">
                  <c:v>Piramal Capital</c:v>
                </c:pt>
                <c:pt idx="5">
                  <c:v>Abba BC</c:v>
                </c:pt>
                <c:pt idx="6">
                  <c:v>IDFC First Bank</c:v>
                </c:pt>
                <c:pt idx="7">
                  <c:v>Mahila Samiti</c:v>
                </c:pt>
                <c:pt idx="8">
                  <c:v>Riyasat (2k)</c:v>
                </c:pt>
                <c:pt idx="9">
                  <c:v>Riyasat (2ksha)</c:v>
                </c:pt>
                <c:pt idx="10">
                  <c:v>Riyasat (1k)</c:v>
                </c:pt>
                <c:pt idx="11">
                  <c:v>Charku 1</c:v>
                </c:pt>
                <c:pt idx="12">
                  <c:v>Charku 2</c:v>
                </c:pt>
                <c:pt idx="13">
                  <c:v>Pinki</c:v>
                </c:pt>
                <c:pt idx="14">
                  <c:v>Jewar (Gold Loan)</c:v>
                </c:pt>
                <c:pt idx="15">
                  <c:v>Jalil</c:v>
                </c:pt>
                <c:pt idx="16">
                  <c:v>Door Renovation</c:v>
                </c:pt>
                <c:pt idx="17">
                  <c:v>Cement Material</c:v>
                </c:pt>
                <c:pt idx="18">
                  <c:v>Kalijan</c:v>
                </c:pt>
                <c:pt idx="19">
                  <c:v>Khatija</c:v>
                </c:pt>
                <c:pt idx="20">
                  <c:v>Mamu</c:v>
                </c:pt>
                <c:pt idx="21">
                  <c:v>Extra Payment</c:v>
                </c:pt>
                <c:pt idx="22">
                  <c:v>Home Expenses</c:v>
                </c:pt>
              </c:strCache>
            </c:strRef>
          </c:cat>
          <c:val>
            <c:numRef>
              <c:f>Loan_Management!$H$3:$H$49</c:f>
              <c:numCache>
                <c:formatCode>[$₹]###,##0</c:formatCode>
                <c:ptCount val="47"/>
                <c:pt idx="0">
                  <c:v>9000</c:v>
                </c:pt>
                <c:pt idx="1">
                  <c:v>8000</c:v>
                </c:pt>
                <c:pt idx="2">
                  <c:v>175000</c:v>
                </c:pt>
                <c:pt idx="3">
                  <c:v>122000</c:v>
                </c:pt>
                <c:pt idx="4">
                  <c:v>955000</c:v>
                </c:pt>
                <c:pt idx="5">
                  <c:v>40000</c:v>
                </c:pt>
                <c:pt idx="6">
                  <c:v>170000</c:v>
                </c:pt>
                <c:pt idx="7">
                  <c:v>150000</c:v>
                </c:pt>
                <c:pt idx="8">
                  <c:v>30000</c:v>
                </c:pt>
                <c:pt idx="9">
                  <c:v>40000</c:v>
                </c:pt>
                <c:pt idx="10">
                  <c:v>10000</c:v>
                </c:pt>
                <c:pt idx="11">
                  <c:v>24000</c:v>
                </c:pt>
                <c:pt idx="12">
                  <c:v>50000</c:v>
                </c:pt>
                <c:pt idx="13">
                  <c:v>50000</c:v>
                </c:pt>
                <c:pt idx="14">
                  <c:v>35000</c:v>
                </c:pt>
                <c:pt idx="15">
                  <c:v>210000</c:v>
                </c:pt>
                <c:pt idx="16">
                  <c:v>25000</c:v>
                </c:pt>
                <c:pt idx="17">
                  <c:v>50000</c:v>
                </c:pt>
                <c:pt idx="18">
                  <c:v>30000</c:v>
                </c:pt>
                <c:pt idx="19">
                  <c:v>30000</c:v>
                </c:pt>
                <c:pt idx="20">
                  <c:v>20000</c:v>
                </c:pt>
                <c:pt idx="21">
                  <c:v>20000</c:v>
                </c:pt>
                <c:pt idx="22">
                  <c:v>10000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F-4208-9BE8-9B8324AE9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6939606"/>
        <c:axId val="1253642171"/>
      </c:barChart>
      <c:catAx>
        <c:axId val="1556939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Loan Account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53642171"/>
        <c:crosses val="autoZero"/>
        <c:auto val="1"/>
        <c:lblAlgn val="ctr"/>
        <c:lblOffset val="100"/>
        <c:noMultiLvlLbl val="1"/>
      </c:catAx>
      <c:valAx>
        <c:axId val="1253642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Outstanding Balance (₹)</a:t>
                </a:r>
              </a:p>
            </c:rich>
          </c:tx>
          <c:overlay val="0"/>
        </c:title>
        <c:numFmt formatCode="[$₹]##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55693960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8</xdr:row>
      <xdr:rowOff>209550</xdr:rowOff>
    </xdr:from>
    <xdr:ext cx="5143500" cy="2952750"/>
    <xdr:graphicFrame macro="">
      <xdr:nvGraphicFramePr>
        <xdr:cNvPr id="2" name="Chart 1" title="Debt Distribution by Categor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209550</xdr:colOff>
      <xdr:row>22</xdr:row>
      <xdr:rowOff>9525</xdr:rowOff>
    </xdr:from>
    <xdr:ext cx="7162800" cy="2324100"/>
    <xdr:graphicFrame macro="">
      <xdr:nvGraphicFramePr>
        <xdr:cNvPr id="3" name="Chart 2" title="Outstanding Balances by Loan Account (₹)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9.827009953704" createdVersion="8" refreshedVersion="8" minRefreshableVersion="3" recordCount="530" xr:uid="{E00975D7-8A8B-4B81-961E-3458C708888D}">
  <cacheSource type="worksheet">
    <worksheetSource name="repayment"/>
  </cacheSource>
  <cacheFields count="5">
    <cacheField name="Payment Date" numFmtId="0">
      <sharedItems containsNonDate="0" containsDate="1" containsString="0" containsBlank="1" minDate="2026-10-05T00:00:00" maxDate="2026-10-11T00:00:00"/>
    </cacheField>
    <cacheField name="Liability / Loan Name" numFmtId="0">
      <sharedItems containsBlank="1"/>
    </cacheField>
    <cacheField name="Portfolio Owner" numFmtId="0">
      <sharedItems containsBlank="1"/>
    </cacheField>
    <cacheField name="Amount Paid (₹)" numFmtId="0">
      <sharedItems containsString="0" containsBlank="1" containsNumber="1" containsInteger="1" minValue="1000" maxValue="20000"/>
    </cacheField>
    <cacheField name="type" numFmtId="0">
      <sharedItems containsBlank="1" count="3">
        <s v="emi"/>
        <s v="lums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9.827010995374" createdVersion="8" refreshedVersion="8" minRefreshableVersion="3" recordCount="53" xr:uid="{DA9DDD7B-9718-4723-8C03-893C8EA5933A}">
  <cacheSource type="worksheet">
    <worksheetSource name="loans"/>
  </cacheSource>
  <cacheFields count="15">
    <cacheField name="Liability / Loan Name" numFmtId="0">
      <sharedItems containsBlank="1"/>
    </cacheField>
    <cacheField name="Category" numFmtId="0">
      <sharedItems containsBlank="1" count="3">
        <s v="emi"/>
        <s v="lumsum"/>
        <m/>
      </sharedItems>
    </cacheField>
    <cacheField name="Sub-Category" numFmtId="0">
      <sharedItems containsBlank="1"/>
    </cacheField>
    <cacheField name="Owner" numFmtId="0">
      <sharedItems containsBlank="1"/>
    </cacheField>
    <cacheField name="Original Borrowed" numFmtId="164">
      <sharedItems containsString="0" containsBlank="1" containsNumber="1" containsInteger="1" minValue="10000" maxValue="700000"/>
    </cacheField>
    <cacheField name="Current Outstanding" numFmtId="164">
      <sharedItems containsString="0" containsBlank="1" containsNumber="1" containsInteger="1" minValue="8000" maxValue="955000"/>
    </cacheField>
    <cacheField name="Lump Sum Paid" numFmtId="164">
      <sharedItems containsBlank="1" containsMixedTypes="1" containsNumber="1" containsInteger="1" minValue="0" maxValue="0"/>
    </cacheField>
    <cacheField name="Monthly EMI" numFmtId="164">
      <sharedItems containsString="0" containsBlank="1" containsNumber="1" containsInteger="1" minValue="0" maxValue="25600"/>
    </cacheField>
    <cacheField name="Interest Rate" numFmtId="165">
      <sharedItems containsString="0" containsBlank="1" containsNumber="1" minValue="0" maxValue="0.36"/>
    </cacheField>
    <cacheField name="Priority" numFmtId="0">
      <sharedItems containsBlank="1"/>
    </cacheField>
    <cacheField name="Loan Status" numFmtId="0">
      <sharedItems containsBlank="1"/>
    </cacheField>
    <cacheField name="Notes &amp; Status" numFmtId="0">
      <sharedItems containsBlank="1"/>
    </cacheField>
    <cacheField name="This Month Lump Sum" numFmtId="166">
      <sharedItems containsBlank="1" containsMixedTypes="1" containsNumber="1" containsInteger="1" minValue="0" maxValue="0"/>
    </cacheField>
    <cacheField name="Start Date" numFmtId="0">
      <sharedItems containsDate="1" containsBlank="1" containsMixedTypes="1" minDate="2025-10-01T00:00:00" maxDate="2026-06-07T00:00:00"/>
    </cacheField>
    <cacheField name="End Date" numFmtId="0">
      <sharedItems containsDate="1" containsBlank="1" containsMixedTypes="1" minDate="2026-10-05T00:00:00" maxDate="2031-02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">
  <r>
    <d v="2026-10-05T00:00:00"/>
    <s v="cred1"/>
    <s v="shahil"/>
    <n v="10000"/>
    <x v="0"/>
  </r>
  <r>
    <d v="2026-10-06T00:00:00"/>
    <m/>
    <m/>
    <n v="20000"/>
    <x v="0"/>
  </r>
  <r>
    <d v="2026-10-07T00:00:00"/>
    <s v="cred2"/>
    <s v="shahil"/>
    <n v="1000"/>
    <x v="1"/>
  </r>
  <r>
    <d v="2026-10-08T00:00:00"/>
    <m/>
    <m/>
    <m/>
    <x v="2"/>
  </r>
  <r>
    <d v="2026-10-09T00:00:00"/>
    <m/>
    <m/>
    <m/>
    <x v="2"/>
  </r>
  <r>
    <d v="2026-10-10T00:00:00"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  <r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ICICI Credit Card"/>
    <x v="0"/>
    <s v="Credit Card"/>
    <s v="Shahil"/>
    <n v="30000"/>
    <n v="9000"/>
    <n v="0"/>
    <n v="8950"/>
    <n v="0.18"/>
    <s v="Priority 2 - Medium"/>
    <e v="#REF!"/>
    <s v="Card EMI payoff"/>
    <n v="0"/>
    <d v="2025-10-01T00:00:00"/>
    <d v="2026-10-05T00:00:00"/>
  </r>
  <r>
    <s v="Cred 1"/>
    <x v="0"/>
    <s v="Credit Card"/>
    <s v="Shahil"/>
    <n v="20000"/>
    <n v="8000"/>
    <n v="0"/>
    <n v="2800"/>
    <n v="0.16500000000000001"/>
    <s v="Priority 2 - Medium"/>
    <e v="#REF!"/>
    <s v="Credit line EMI"/>
    <n v="0"/>
    <d v="2026-04-01T00:00:00"/>
    <d v="2026-12-06T00:00:00"/>
  </r>
  <r>
    <s v="Slice"/>
    <x v="0"/>
    <s v="Fintech Credit"/>
    <s v="Shahil"/>
    <n v="300000"/>
    <n v="175000"/>
    <n v="0"/>
    <n v="25600"/>
    <n v="0.26"/>
    <s v="Priority 1 - Urgent"/>
    <e v="#REF!"/>
    <s v="High interest rate (26%)"/>
    <n v="0"/>
    <d v="2026-04-01T00:00:00"/>
    <d v="2027-05-05T00:00:00"/>
  </r>
  <r>
    <s v="Cred 2"/>
    <x v="0"/>
    <s v="Credit Card"/>
    <s v="Shahil"/>
    <n v="150000"/>
    <n v="122000"/>
    <n v="0"/>
    <n v="11300"/>
    <n v="0.16500000000000001"/>
    <s v="Priority 2 - Medium"/>
    <e v="#REF!"/>
    <s v="Credit line EMI"/>
    <n v="0"/>
    <d v="2026-06-06T00:00:00"/>
    <d v="2027-08-06T00:00:00"/>
  </r>
  <r>
    <s v="Piramal Capital"/>
    <x v="0"/>
    <s v="Personal Loan"/>
    <s v="Shahil"/>
    <n v="700000"/>
    <n v="955000"/>
    <n v="0"/>
    <n v="18400"/>
    <n v="0.186"/>
    <s v="Priority 2 - Medium"/>
    <e v="#REF!"/>
    <s v="Long-term NBFC loan"/>
    <n v="0"/>
    <d v="2026-02-05T00:00:00"/>
    <d v="2031-02-05T00:00:00"/>
  </r>
  <r>
    <s v="Abba BC"/>
    <x v="0"/>
    <s v="Chit Fund / BC"/>
    <s v="Abba"/>
    <n v="200000"/>
    <n v="40000"/>
    <n v="0"/>
    <n v="9000"/>
    <n v="0"/>
    <s v="Priority 3 - 0% EMI"/>
    <e v="#REF!"/>
    <s v="Committee / BC monthly"/>
    <n v="0"/>
    <s v=""/>
    <d v="2027-03-20T00:00:00"/>
  </r>
  <r>
    <s v="IDFC First Bank"/>
    <x v="0"/>
    <s v="Personal Loan"/>
    <s v="Ammi"/>
    <n v="130000"/>
    <n v="170000"/>
    <n v="0"/>
    <n v="5000"/>
    <n v="0.23"/>
    <s v="Priority 1 - Urgent"/>
    <e v="#REF!"/>
    <s v="High interest personal loan"/>
    <n v="0"/>
    <d v="2026-05-05T00:00:00"/>
    <d v="2029-06-20T00:00:00"/>
  </r>
  <r>
    <s v="Mahila Samiti"/>
    <x v="1"/>
    <s v="Community Loan"/>
    <s v="Ammi"/>
    <n v="140000"/>
    <n v="150000"/>
    <n v="0"/>
    <n v="4500"/>
    <n v="0.36"/>
    <s v="Priority 1 - Urgent"/>
    <e v="#REF!"/>
    <s v="₹4,500 monthly interest (36%)"/>
    <n v="0"/>
    <s v=""/>
    <s v=""/>
  </r>
  <r>
    <s v="Riyasat (2k)"/>
    <x v="0"/>
    <s v="Personal Loan"/>
    <s v="Mukhtar"/>
    <n v="50000"/>
    <n v="30000"/>
    <n v="0"/>
    <n v="2000"/>
    <n v="0"/>
    <s v="Priority 3 - 0% EMI"/>
    <e v="#REF!"/>
    <s v="₹2,000 monthly payment"/>
    <n v="0"/>
    <s v=""/>
    <s v=""/>
  </r>
  <r>
    <s v="Riyasat (2ksha)"/>
    <x v="0"/>
    <s v="Personal Loan"/>
    <s v="Shahil"/>
    <n v="50000"/>
    <n v="40000"/>
    <n v="0"/>
    <n v="2000"/>
    <n v="0"/>
    <s v="Priority 3 - 0% EMI"/>
    <e v="#REF!"/>
    <s v="₹2,000 monthly payment"/>
    <n v="0"/>
    <s v=""/>
    <s v=""/>
  </r>
  <r>
    <s v="Riyasat (1k)"/>
    <x v="0"/>
    <s v="Personal Loan"/>
    <s v="Mukhtar"/>
    <n v="20000"/>
    <n v="10000"/>
    <n v="0"/>
    <n v="1000"/>
    <n v="0"/>
    <s v="Priority 3 - 0% EMI"/>
    <e v="#REF!"/>
    <s v="₹1,000 monthly payment"/>
    <n v="0"/>
    <s v=""/>
    <s v=""/>
  </r>
  <r>
    <s v="Charku 1"/>
    <x v="0"/>
    <s v="Personal Loan"/>
    <s v="Israfil"/>
    <n v="24000"/>
    <n v="24000"/>
    <n v="0"/>
    <n v="3000"/>
    <n v="0"/>
    <s v="Priority 3 - 0% EMI"/>
    <e v="#REF!"/>
    <s v="₹3,000 monthly payment"/>
    <n v="0"/>
    <s v=""/>
    <s v=""/>
  </r>
  <r>
    <s v="Charku 2"/>
    <x v="0"/>
    <s v="Personal Loan"/>
    <s v="Mukhtar"/>
    <n v="50000"/>
    <n v="50000"/>
    <n v="0"/>
    <n v="3000"/>
    <n v="0"/>
    <s v="Priority 3 - 0% EMI"/>
    <e v="#REF!"/>
    <s v="₹3,000 monthly payment"/>
    <n v="0"/>
    <s v=""/>
    <s v=""/>
  </r>
  <r>
    <s v="Pinki"/>
    <x v="1"/>
    <s v="Informal Loan"/>
    <s v="Ammi"/>
    <n v="50000"/>
    <n v="50000"/>
    <n v="0"/>
    <n v="0"/>
    <n v="0"/>
    <s v="Priority 4 - Flexible"/>
    <e v="#REF!"/>
    <s v="Lump sum repayment"/>
    <n v="0"/>
    <s v=""/>
    <s v=""/>
  </r>
  <r>
    <s v="Jewar (Gold Loan)"/>
    <x v="1"/>
    <s v="Secured / Jewel"/>
    <s v="Ammi"/>
    <n v="35000"/>
    <n v="35000"/>
    <n v="0"/>
    <n v="1000"/>
    <n v="0.36"/>
    <s v="Priority 1 - Urgent"/>
    <e v="#REF!"/>
    <s v="₹1,000 monthly interest (36%)"/>
    <n v="0"/>
    <s v=""/>
    <s v=""/>
  </r>
  <r>
    <s v="Jalil"/>
    <x v="1"/>
    <s v="Informal Loan"/>
    <s v="Abba"/>
    <n v="210000"/>
    <n v="210000"/>
    <n v="0"/>
    <n v="0"/>
    <n v="0"/>
    <s v="Priority 4 - Flexible"/>
    <e v="#REF!"/>
    <s v="Lump sum repayment"/>
    <n v="0"/>
    <s v=""/>
    <s v=""/>
  </r>
  <r>
    <s v="Door Renovation"/>
    <x v="1"/>
    <s v="Vendor / Home"/>
    <s v="Abba"/>
    <n v="25000"/>
    <n v="25000"/>
    <n v="0"/>
    <n v="0"/>
    <n v="0"/>
    <s v="Priority 4 - Flexible"/>
    <e v="#REF!"/>
    <s v="Home vendor pending"/>
    <n v="0"/>
    <s v=""/>
    <s v=""/>
  </r>
  <r>
    <s v="Cement Material"/>
    <x v="1"/>
    <s v="Vendor / Home"/>
    <s v="Abba"/>
    <n v="50000"/>
    <n v="50000"/>
    <n v="0"/>
    <n v="0"/>
    <n v="0"/>
    <s v="Priority 4 - Flexible"/>
    <e v="#REF!"/>
    <s v="Construction material"/>
    <n v="0"/>
    <s v=""/>
    <s v=""/>
  </r>
  <r>
    <s v="Kalijan"/>
    <x v="1"/>
    <s v="Informal Loan"/>
    <s v="Ammi"/>
    <n v="30000"/>
    <n v="30000"/>
    <n v="0"/>
    <n v="0"/>
    <n v="0"/>
    <s v="Priority 4 - Flexible"/>
    <e v="#REF!"/>
    <s v="Family / informal debt"/>
    <n v="0"/>
    <s v=""/>
    <s v=""/>
  </r>
  <r>
    <s v="Khatija"/>
    <x v="1"/>
    <s v="Informal Loan"/>
    <s v="Ammi"/>
    <n v="30000"/>
    <n v="30000"/>
    <n v="0"/>
    <n v="0"/>
    <n v="0"/>
    <s v="Priority 4 - Flexible"/>
    <e v="#REF!"/>
    <s v="Family / informal debt"/>
    <n v="0"/>
    <s v=""/>
    <s v=""/>
  </r>
  <r>
    <s v="Mamu"/>
    <x v="1"/>
    <s v="Family Loan"/>
    <s v="Ammi"/>
    <n v="20000"/>
    <n v="20000"/>
    <n v="0"/>
    <n v="0"/>
    <n v="0"/>
    <s v="Priority 4 - Flexible"/>
    <e v="#REF!"/>
    <s v="Family support debt"/>
    <n v="0"/>
    <s v=""/>
    <s v=""/>
  </r>
  <r>
    <s v="Extra Payment"/>
    <x v="1"/>
    <s v="Contingency"/>
    <s v="Others"/>
    <n v="20000"/>
    <n v="20000"/>
    <n v="0"/>
    <n v="0"/>
    <n v="0"/>
    <s v="Priority 4 - Flexible"/>
    <e v="#REF!"/>
    <s v="Short-term buffer"/>
    <n v="0"/>
    <s v=""/>
    <s v=""/>
  </r>
  <r>
    <s v="Home Expenses"/>
    <x v="0"/>
    <s v="Household"/>
    <s v="Others"/>
    <n v="10000"/>
    <n v="10000"/>
    <n v="0"/>
    <n v="10000"/>
    <n v="0"/>
    <s v="Priority 3 - 0% EMI"/>
    <e v="#REF!"/>
    <s v="Immediate monthly expense"/>
    <n v="0"/>
    <s v=""/>
    <s v=""/>
  </r>
  <r>
    <m/>
    <x v="2"/>
    <m/>
    <m/>
    <n v="10000"/>
    <n v="10000"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s v=""/>
    <m/>
    <m/>
    <m/>
    <s v=""/>
    <m/>
    <s v=""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  <r>
    <m/>
    <x v="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9EDBE-AFBD-4FE8-9969-51CAD678E6B5}" name="PivotTable4" cacheId="14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borrow type">
  <location ref="D6:E8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4">
        <item x="0"/>
        <item h="1" x="2"/>
        <item x="1"/>
        <item t="default"/>
      </items>
    </pivotField>
  </pivotFields>
  <rowFields count="1">
    <field x="4"/>
  </rowFields>
  <rowItems count="2">
    <i>
      <x/>
    </i>
    <i>
      <x v="2"/>
    </i>
  </rowItems>
  <colItems count="1">
    <i/>
  </colItems>
  <dataFields count="1">
    <dataField name="Amount Paid 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9F090-0E60-4B24-9166-27828F28A840}" name="PivotTable3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5"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ill loan pay(₹)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F5103-EE11-4833-B02E-E1BE7D8900A3}" name="PivotTable2" cacheId="148" applyNumberFormats="0" applyBorderFormats="0" applyFontFormats="0" applyPatternFormats="0" applyAlignmentFormats="0" applyWidthHeightFormats="1" dataCaption="Values" grandTotalCaption="d" updatedVersion="8" minRefreshableVersion="3" useAutoFormatting="1" rowGrandTotals="0" colGrandTotals="0" itemPrintTitles="1" createdVersion="8" indent="0" outline="1" outlineData="1" multipleFieldFilters="0" rowHeaderCaption="borrow type">
  <location ref="B6:C8" firstHeaderRow="1" firstDataRow="1" firstDataCol="1"/>
  <pivotFields count="15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net loan amt" fld="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7803C-E69D-4B1A-8595-BBF4315CF903}" name="PivotTable1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3" firstHeaderRow="0" firstDataRow="1" firstDataCol="0"/>
  <pivotFields count="15"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loan amt" fld="5" baseField="0" baseItem="0"/>
    <dataField name="Month EMI" fld="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s" displayName="loans" ref="A1:O54">
  <tableColumns count="15">
    <tableColumn id="1" xr3:uid="{00000000-0010-0000-0000-000001000000}" name="Liability / Loan Name"/>
    <tableColumn id="16" xr3:uid="{D6C31160-5BEE-4438-B700-AA5A442E5178}" name="Category"/>
    <tableColumn id="2" xr3:uid="{00000000-0010-0000-0000-000002000000}" name="Sub-Category"/>
    <tableColumn id="3" xr3:uid="{00000000-0010-0000-0000-000003000000}" name="Owner"/>
    <tableColumn id="4" xr3:uid="{00000000-0010-0000-0000-000004000000}" name="Original Borrowed"/>
    <tableColumn id="5" xr3:uid="{00000000-0010-0000-0000-000005000000}" name="Current Outstanding"/>
    <tableColumn id="6" xr3:uid="{00000000-0010-0000-0000-000006000000}" name="Lump Sum Paid"/>
    <tableColumn id="8" xr3:uid="{00000000-0010-0000-0000-000008000000}" name="Monthly EMI"/>
    <tableColumn id="9" xr3:uid="{00000000-0010-0000-0000-000009000000}" name="Interest Rate"/>
    <tableColumn id="10" xr3:uid="{00000000-0010-0000-0000-00000A000000}" name="Priority"/>
    <tableColumn id="11" xr3:uid="{00000000-0010-0000-0000-00000B000000}" name="Loan Status"/>
    <tableColumn id="12" xr3:uid="{00000000-0010-0000-0000-00000C000000}" name="Notes &amp; Status"/>
    <tableColumn id="13" xr3:uid="{00000000-0010-0000-0000-00000D000000}" name="This Month Lump Sum"/>
    <tableColumn id="14" xr3:uid="{00000000-0010-0000-0000-00000E000000}" name="Start Date"/>
    <tableColumn id="15" xr3:uid="{00000000-0010-0000-0000-00000F000000}" name="End Date"/>
  </tableColumns>
  <tableStyleInfo name="Copy of Loan_Management-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E94A0-4B50-4EC5-BAE4-1F084BA1EFE3}" name="repayment" displayName="repayment" ref="A1:E531" totalsRowShown="0">
  <autoFilter ref="A1:E531" xr:uid="{A13E94A0-4B50-4EC5-BAE4-1F084BA1EFE3}"/>
  <tableColumns count="5">
    <tableColumn id="1" xr3:uid="{A1AAF89C-F5B2-4602-9C3E-8AEBCF7F9310}" name="Payment Date"/>
    <tableColumn id="2" xr3:uid="{19FA6014-433D-4775-B0BC-9E9D49899C9B}" name="Liability / Loan Name"/>
    <tableColumn id="3" xr3:uid="{DB327FE4-6975-498C-B608-461D3AFC52D1}" name="Portfolio Owner"/>
    <tableColumn id="4" xr3:uid="{4875EE62-B00A-42BA-8B04-59D81BD3AEA6}" name="Amount Paid (₹)"/>
    <tableColumn id="5" xr3:uid="{7EF67FA8-1509-481E-988C-30FD5599F2C2}" name="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2.5703125" defaultRowHeight="15" customHeight="1"/>
  <cols>
    <col min="1" max="26" width="14.42578125" customWidth="1"/>
  </cols>
  <sheetData>
    <row r="1" spans="1:7" ht="15.75" customHeight="1"/>
    <row r="2" spans="1:7" ht="15.75" customHeight="1"/>
    <row r="3" spans="1:7" ht="15.75" customHeight="1"/>
    <row r="4" spans="1:7" ht="15.7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5.75" customHeight="1">
      <c r="A5" s="1" t="s">
        <v>7</v>
      </c>
      <c r="B5" s="1" t="s">
        <v>8</v>
      </c>
      <c r="C5" s="2">
        <v>45931</v>
      </c>
      <c r="D5" s="1" t="s">
        <v>9</v>
      </c>
      <c r="E5" s="1">
        <v>8950</v>
      </c>
      <c r="F5" s="3">
        <v>46300</v>
      </c>
      <c r="G5" s="1">
        <v>18</v>
      </c>
    </row>
    <row r="6" spans="1:7" ht="15.75" customHeight="1">
      <c r="A6" s="1" t="s">
        <v>10</v>
      </c>
      <c r="B6" s="1" t="s">
        <v>11</v>
      </c>
      <c r="C6" s="2">
        <v>46113</v>
      </c>
      <c r="D6" s="1" t="s">
        <v>12</v>
      </c>
      <c r="E6" s="1" t="s">
        <v>13</v>
      </c>
      <c r="F6" s="4">
        <v>46362</v>
      </c>
      <c r="G6" s="1">
        <v>16.5</v>
      </c>
    </row>
    <row r="7" spans="1:7" ht="15.75" customHeight="1">
      <c r="A7" s="1" t="s">
        <v>14</v>
      </c>
      <c r="B7" s="1" t="s">
        <v>15</v>
      </c>
      <c r="C7" s="2">
        <v>46113</v>
      </c>
      <c r="D7" s="1" t="s">
        <v>16</v>
      </c>
      <c r="E7" s="1" t="s">
        <v>17</v>
      </c>
      <c r="F7" s="5">
        <v>46512</v>
      </c>
      <c r="G7" s="1">
        <v>26</v>
      </c>
    </row>
    <row r="8" spans="1:7" ht="15.75" customHeight="1">
      <c r="A8" s="1" t="s">
        <v>20</v>
      </c>
      <c r="B8" s="1" t="s">
        <v>21</v>
      </c>
      <c r="C8" s="4">
        <v>46179</v>
      </c>
      <c r="D8" s="1" t="s">
        <v>22</v>
      </c>
      <c r="E8" s="1" t="s">
        <v>23</v>
      </c>
      <c r="F8" s="4">
        <v>46605</v>
      </c>
      <c r="G8" s="1">
        <v>16.5</v>
      </c>
    </row>
    <row r="9" spans="1:7" ht="15.75" customHeight="1">
      <c r="A9" s="1" t="s">
        <v>24</v>
      </c>
      <c r="B9" s="1" t="s">
        <v>25</v>
      </c>
      <c r="C9" s="4">
        <v>46058</v>
      </c>
      <c r="D9" s="1" t="s">
        <v>26</v>
      </c>
      <c r="E9" s="1" t="s">
        <v>27</v>
      </c>
      <c r="F9" s="4">
        <v>47884</v>
      </c>
      <c r="G9" s="1">
        <v>18.600000000000001</v>
      </c>
    </row>
    <row r="10" spans="1:7" ht="15.75" customHeight="1">
      <c r="A10" s="1" t="s">
        <v>28</v>
      </c>
      <c r="B10" s="1" t="s">
        <v>29</v>
      </c>
      <c r="D10" s="1" t="s">
        <v>30</v>
      </c>
      <c r="E10" s="1" t="s">
        <v>9</v>
      </c>
      <c r="F10" s="4">
        <v>46466</v>
      </c>
      <c r="G10" s="1">
        <v>0</v>
      </c>
    </row>
    <row r="11" spans="1:7" ht="15.75" customHeight="1">
      <c r="A11" s="1" t="s">
        <v>31</v>
      </c>
      <c r="B11" s="1" t="s">
        <v>32</v>
      </c>
      <c r="C11" s="5">
        <v>46147</v>
      </c>
      <c r="D11" s="1" t="s">
        <v>33</v>
      </c>
      <c r="E11" s="1" t="s">
        <v>34</v>
      </c>
      <c r="F11" s="4">
        <v>47289</v>
      </c>
      <c r="G11" s="1">
        <v>23</v>
      </c>
    </row>
    <row r="12" spans="1:7" ht="15.75" customHeight="1">
      <c r="A12" s="1" t="s">
        <v>35</v>
      </c>
      <c r="B12" s="1" t="s">
        <v>36</v>
      </c>
      <c r="C12" s="1" t="s">
        <v>37</v>
      </c>
      <c r="D12" s="1" t="s">
        <v>21</v>
      </c>
      <c r="G12" s="1">
        <v>36</v>
      </c>
    </row>
    <row r="13" spans="1:7" ht="15.75" customHeight="1">
      <c r="A13" s="1" t="s">
        <v>38</v>
      </c>
      <c r="B13" s="1" t="s">
        <v>39</v>
      </c>
      <c r="D13" s="1" t="s">
        <v>8</v>
      </c>
      <c r="E13" s="1" t="s">
        <v>40</v>
      </c>
      <c r="G13" s="1">
        <v>0</v>
      </c>
    </row>
    <row r="14" spans="1:7" ht="15.75" customHeight="1">
      <c r="A14" s="1" t="s">
        <v>41</v>
      </c>
      <c r="B14" s="1" t="s">
        <v>39</v>
      </c>
      <c r="D14" s="1" t="s">
        <v>30</v>
      </c>
      <c r="E14" s="1" t="s">
        <v>40</v>
      </c>
      <c r="G14" s="1">
        <v>0</v>
      </c>
    </row>
    <row r="15" spans="1:7" ht="15.75" customHeight="1">
      <c r="A15" s="1" t="s">
        <v>42</v>
      </c>
      <c r="B15" s="1" t="s">
        <v>11</v>
      </c>
      <c r="D15" s="1" t="s">
        <v>43</v>
      </c>
      <c r="E15" s="1" t="s">
        <v>44</v>
      </c>
      <c r="G15" s="1">
        <v>0</v>
      </c>
    </row>
    <row r="16" spans="1:7" ht="15.75" customHeight="1">
      <c r="A16" s="1" t="s">
        <v>45</v>
      </c>
      <c r="D16" s="1" t="s">
        <v>46</v>
      </c>
      <c r="E16" s="1" t="s">
        <v>47</v>
      </c>
      <c r="G16" s="1">
        <v>0</v>
      </c>
    </row>
    <row r="17" spans="1:7" ht="15.75" customHeight="1">
      <c r="A17" s="1" t="s">
        <v>48</v>
      </c>
      <c r="D17" s="1" t="s">
        <v>39</v>
      </c>
      <c r="E17" s="1" t="s">
        <v>47</v>
      </c>
      <c r="G17" s="1">
        <v>0</v>
      </c>
    </row>
    <row r="18" spans="1:7" ht="15.75" customHeight="1">
      <c r="A18" s="1" t="s">
        <v>50</v>
      </c>
      <c r="B18" s="1" t="s">
        <v>39</v>
      </c>
      <c r="D18" s="1" t="s">
        <v>39</v>
      </c>
      <c r="E18" s="1" t="s">
        <v>39</v>
      </c>
      <c r="G18" s="1">
        <v>0</v>
      </c>
    </row>
    <row r="19" spans="1:7" ht="15.75" customHeight="1">
      <c r="A19" s="1" t="s">
        <v>51</v>
      </c>
      <c r="B19" s="1" t="s">
        <v>52</v>
      </c>
      <c r="C19" s="1" t="s">
        <v>53</v>
      </c>
      <c r="D19" s="1" t="s">
        <v>52</v>
      </c>
      <c r="E19" s="1" t="s">
        <v>52</v>
      </c>
      <c r="G19" s="1">
        <v>36</v>
      </c>
    </row>
    <row r="20" spans="1:7" ht="15.75" customHeight="1">
      <c r="A20" s="1" t="s">
        <v>54</v>
      </c>
      <c r="B20" s="1" t="s">
        <v>55</v>
      </c>
      <c r="D20" s="1" t="s">
        <v>55</v>
      </c>
      <c r="E20" s="1" t="s">
        <v>55</v>
      </c>
      <c r="G20" s="1">
        <v>0</v>
      </c>
    </row>
    <row r="21" spans="1:7" ht="15.75" customHeight="1">
      <c r="A21" s="1" t="s">
        <v>56</v>
      </c>
      <c r="B21" s="1" t="s">
        <v>57</v>
      </c>
      <c r="D21" s="1" t="s">
        <v>57</v>
      </c>
      <c r="G21" s="1">
        <v>0</v>
      </c>
    </row>
    <row r="22" spans="1:7" ht="15.75" customHeight="1">
      <c r="A22" s="1" t="s">
        <v>58</v>
      </c>
      <c r="D22" s="1" t="s">
        <v>39</v>
      </c>
      <c r="G22" s="1">
        <v>0</v>
      </c>
    </row>
    <row r="23" spans="1:7" ht="15.75" customHeight="1">
      <c r="A23" s="1" t="s">
        <v>59</v>
      </c>
      <c r="D23" s="1" t="s">
        <v>8</v>
      </c>
      <c r="G23" s="1">
        <v>0</v>
      </c>
    </row>
    <row r="24" spans="1:7" ht="15.75" customHeight="1">
      <c r="A24" s="1" t="s">
        <v>60</v>
      </c>
      <c r="D24" s="1" t="s">
        <v>8</v>
      </c>
      <c r="G24" s="1">
        <v>0</v>
      </c>
    </row>
    <row r="25" spans="1:7" ht="15.75" customHeight="1">
      <c r="A25" s="1" t="s">
        <v>61</v>
      </c>
      <c r="D25" s="1" t="s">
        <v>11</v>
      </c>
      <c r="G25" s="1">
        <v>0</v>
      </c>
    </row>
    <row r="26" spans="1:7" ht="15.75" customHeight="1">
      <c r="A26" s="1" t="s">
        <v>63</v>
      </c>
      <c r="D26" s="1" t="s">
        <v>11</v>
      </c>
      <c r="G26" s="1">
        <v>0</v>
      </c>
    </row>
    <row r="27" spans="1:7" ht="15.75" customHeight="1">
      <c r="A27" s="1" t="s">
        <v>64</v>
      </c>
      <c r="D27" s="1" t="s">
        <v>43</v>
      </c>
      <c r="E27" s="1" t="s">
        <v>43</v>
      </c>
      <c r="G27" s="1">
        <v>0</v>
      </c>
    </row>
    <row r="28" spans="1:7" ht="15.75" customHeight="1">
      <c r="A28" s="1" t="s">
        <v>66</v>
      </c>
    </row>
    <row r="29" spans="1:7" ht="15.75" customHeight="1"/>
    <row r="30" spans="1:7" ht="15.75" customHeight="1"/>
    <row r="31" spans="1:7" ht="15.75" customHeight="1">
      <c r="D31" s="1" t="s">
        <v>68</v>
      </c>
    </row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1" width="3.140625" customWidth="1"/>
    <col min="2" max="2" width="20.7109375" customWidth="1"/>
    <col min="3" max="3" width="16.42578125" customWidth="1"/>
    <col min="4" max="4" width="15.7109375" customWidth="1"/>
    <col min="5" max="5" width="17" customWidth="1"/>
    <col min="6" max="6" width="14.42578125" customWidth="1"/>
    <col min="7" max="7" width="12.5703125" customWidth="1"/>
    <col min="8" max="9" width="13.28515625" customWidth="1"/>
    <col min="10" max="10" width="22.5703125" customWidth="1"/>
    <col min="11" max="11" width="27.5703125" customWidth="1"/>
    <col min="12" max="26" width="14.42578125" customWidth="1"/>
  </cols>
  <sheetData>
    <row r="1" spans="1:11" ht="12" customHeight="1"/>
    <row r="2" spans="1:11" ht="33" customHeight="1">
      <c r="B2" s="122" t="s">
        <v>18</v>
      </c>
      <c r="C2" s="123"/>
      <c r="D2" s="123"/>
      <c r="E2" s="123"/>
      <c r="F2" s="123"/>
      <c r="G2" s="123"/>
      <c r="H2" s="124" t="s">
        <v>49</v>
      </c>
      <c r="I2" s="123"/>
      <c r="J2" s="123"/>
      <c r="K2" s="123"/>
    </row>
    <row r="3" spans="1:11" ht="10.5" customHeight="1"/>
    <row r="4" spans="1:11" ht="16.5" customHeight="1">
      <c r="A4" s="1"/>
      <c r="B4" s="125" t="s">
        <v>65</v>
      </c>
      <c r="C4" s="126"/>
      <c r="D4" s="127" t="s">
        <v>71</v>
      </c>
      <c r="E4" s="128"/>
      <c r="F4" s="129" t="s">
        <v>75</v>
      </c>
      <c r="G4" s="130"/>
      <c r="H4" s="131" t="s">
        <v>81</v>
      </c>
      <c r="I4" s="132"/>
      <c r="J4" s="133" t="s">
        <v>86</v>
      </c>
      <c r="K4" s="134"/>
    </row>
    <row r="5" spans="1:11" ht="28.5" customHeight="1">
      <c r="A5" s="1"/>
      <c r="B5" s="139">
        <f>SUM(E9:E31)</f>
        <v>2263000</v>
      </c>
      <c r="C5" s="140"/>
      <c r="D5" s="141">
        <f>SUM(F9:F31)</f>
        <v>107550</v>
      </c>
      <c r="E5" s="142"/>
      <c r="F5" s="143">
        <f>MAX(G9:G31)</f>
        <v>0.36</v>
      </c>
      <c r="G5" s="144"/>
      <c r="H5" s="145">
        <f>COUNTA(B9:B31)</f>
        <v>23</v>
      </c>
      <c r="I5" s="146"/>
      <c r="J5" s="147">
        <f>SUM(D9:D31)</f>
        <v>2344000</v>
      </c>
      <c r="K5" s="148"/>
    </row>
    <row r="6" spans="1:11" ht="16.5" customHeight="1">
      <c r="A6" s="1"/>
      <c r="B6" s="149" t="s">
        <v>89</v>
      </c>
      <c r="C6" s="150"/>
      <c r="D6" s="151" t="s">
        <v>90</v>
      </c>
      <c r="E6" s="152"/>
      <c r="F6" s="135" t="s">
        <v>91</v>
      </c>
      <c r="G6" s="136"/>
      <c r="H6" s="137" t="s">
        <v>92</v>
      </c>
      <c r="I6" s="138"/>
      <c r="J6" s="153" t="s">
        <v>93</v>
      </c>
      <c r="K6" s="154"/>
    </row>
    <row r="7" spans="1:11" ht="12" customHeight="1">
      <c r="A7" s="1"/>
      <c r="B7" s="1"/>
      <c r="C7" s="2"/>
      <c r="D7" s="1"/>
      <c r="E7" s="1"/>
      <c r="F7" s="5"/>
      <c r="G7" s="1"/>
    </row>
    <row r="8" spans="1:11" ht="24" customHeight="1">
      <c r="A8" s="1"/>
      <c r="B8" s="14" t="s">
        <v>67</v>
      </c>
      <c r="C8" s="15" t="s">
        <v>69</v>
      </c>
      <c r="D8" s="16" t="s">
        <v>72</v>
      </c>
      <c r="E8" s="16" t="s">
        <v>94</v>
      </c>
      <c r="F8" s="16" t="s">
        <v>77</v>
      </c>
      <c r="G8" s="16" t="s">
        <v>78</v>
      </c>
      <c r="H8" s="17" t="s">
        <v>84</v>
      </c>
      <c r="I8" s="17" t="s">
        <v>85</v>
      </c>
      <c r="J8" s="17" t="s">
        <v>79</v>
      </c>
      <c r="K8" s="19" t="s">
        <v>82</v>
      </c>
    </row>
    <row r="9" spans="1:11" ht="19.5" customHeight="1">
      <c r="A9" s="1"/>
      <c r="B9" s="20" t="s">
        <v>96</v>
      </c>
      <c r="C9" s="21" t="s">
        <v>87</v>
      </c>
      <c r="D9" s="22">
        <v>30000</v>
      </c>
      <c r="E9" s="22">
        <v>9000</v>
      </c>
      <c r="F9" s="22">
        <v>8950</v>
      </c>
      <c r="G9" s="23">
        <v>0.18</v>
      </c>
      <c r="H9" s="24">
        <v>45931</v>
      </c>
      <c r="I9" s="24">
        <v>46300</v>
      </c>
      <c r="J9" s="25" t="s">
        <v>106</v>
      </c>
      <c r="K9" s="26" t="s">
        <v>107</v>
      </c>
    </row>
    <row r="10" spans="1:11" ht="19.5" customHeight="1">
      <c r="A10" s="1"/>
      <c r="B10" s="27" t="s">
        <v>108</v>
      </c>
      <c r="C10" s="28" t="s">
        <v>87</v>
      </c>
      <c r="D10" s="29">
        <v>20000</v>
      </c>
      <c r="E10" s="29">
        <v>8000</v>
      </c>
      <c r="F10" s="29">
        <v>2800</v>
      </c>
      <c r="G10" s="30">
        <v>0.16500000000000001</v>
      </c>
      <c r="H10" s="31">
        <v>46113</v>
      </c>
      <c r="I10" s="31">
        <v>46362</v>
      </c>
      <c r="J10" s="32" t="s">
        <v>106</v>
      </c>
      <c r="K10" s="33" t="s">
        <v>109</v>
      </c>
    </row>
    <row r="11" spans="1:11" ht="19.5" customHeight="1">
      <c r="A11" s="1"/>
      <c r="B11" s="20" t="s">
        <v>110</v>
      </c>
      <c r="C11" s="21" t="s">
        <v>100</v>
      </c>
      <c r="D11" s="22">
        <v>300000</v>
      </c>
      <c r="E11" s="22">
        <v>175000</v>
      </c>
      <c r="F11" s="22">
        <v>25600</v>
      </c>
      <c r="G11" s="23">
        <v>0.26</v>
      </c>
      <c r="H11" s="24">
        <v>46113</v>
      </c>
      <c r="I11" s="24">
        <v>46512</v>
      </c>
      <c r="J11" s="25" t="s">
        <v>111</v>
      </c>
      <c r="K11" s="26" t="s">
        <v>112</v>
      </c>
    </row>
    <row r="12" spans="1:11" ht="19.5" customHeight="1">
      <c r="A12" s="1"/>
      <c r="B12" s="27" t="s">
        <v>113</v>
      </c>
      <c r="C12" s="28" t="s">
        <v>87</v>
      </c>
      <c r="D12" s="29">
        <v>150000</v>
      </c>
      <c r="E12" s="29">
        <v>122000</v>
      </c>
      <c r="F12" s="29">
        <v>11300</v>
      </c>
      <c r="G12" s="30">
        <v>0.16500000000000001</v>
      </c>
      <c r="H12" s="31">
        <v>46179</v>
      </c>
      <c r="I12" s="31">
        <v>46605</v>
      </c>
      <c r="J12" s="32" t="s">
        <v>106</v>
      </c>
      <c r="K12" s="33" t="s">
        <v>109</v>
      </c>
    </row>
    <row r="13" spans="1:11" ht="19.5" customHeight="1">
      <c r="A13" s="1"/>
      <c r="B13" s="20" t="s">
        <v>114</v>
      </c>
      <c r="C13" s="21" t="s">
        <v>103</v>
      </c>
      <c r="D13" s="22">
        <v>700000</v>
      </c>
      <c r="E13" s="22">
        <v>955000</v>
      </c>
      <c r="F13" s="22">
        <v>18400</v>
      </c>
      <c r="G13" s="23">
        <v>0.186</v>
      </c>
      <c r="H13" s="24">
        <v>46058</v>
      </c>
      <c r="I13" s="24">
        <v>47884</v>
      </c>
      <c r="J13" s="25" t="s">
        <v>106</v>
      </c>
      <c r="K13" s="26" t="s">
        <v>115</v>
      </c>
    </row>
    <row r="14" spans="1:11" ht="19.5" customHeight="1">
      <c r="A14" s="1"/>
      <c r="B14" s="27" t="s">
        <v>116</v>
      </c>
      <c r="C14" s="28" t="s">
        <v>95</v>
      </c>
      <c r="D14" s="29">
        <v>200000</v>
      </c>
      <c r="E14" s="29">
        <v>40000</v>
      </c>
      <c r="F14" s="29">
        <v>9000</v>
      </c>
      <c r="G14" s="30">
        <v>0</v>
      </c>
      <c r="H14" s="31"/>
      <c r="I14" s="31">
        <v>46466</v>
      </c>
      <c r="J14" s="32" t="s">
        <v>117</v>
      </c>
      <c r="K14" s="33" t="s">
        <v>118</v>
      </c>
    </row>
    <row r="15" spans="1:11" ht="19.5" customHeight="1">
      <c r="A15" s="1"/>
      <c r="B15" s="20" t="s">
        <v>119</v>
      </c>
      <c r="C15" s="21" t="s">
        <v>103</v>
      </c>
      <c r="D15" s="22">
        <v>130000</v>
      </c>
      <c r="E15" s="22">
        <v>170000</v>
      </c>
      <c r="F15" s="22">
        <v>5000</v>
      </c>
      <c r="G15" s="23">
        <v>0.23</v>
      </c>
      <c r="H15" s="24">
        <v>46147</v>
      </c>
      <c r="I15" s="24">
        <v>47289</v>
      </c>
      <c r="J15" s="25" t="s">
        <v>111</v>
      </c>
      <c r="K15" s="26" t="s">
        <v>120</v>
      </c>
    </row>
    <row r="16" spans="1:11" ht="19.5" customHeight="1">
      <c r="A16" s="1"/>
      <c r="B16" s="27" t="s">
        <v>121</v>
      </c>
      <c r="C16" s="28" t="s">
        <v>97</v>
      </c>
      <c r="D16" s="29">
        <v>140000</v>
      </c>
      <c r="E16" s="29">
        <v>150000</v>
      </c>
      <c r="F16" s="29">
        <v>4500</v>
      </c>
      <c r="G16" s="30">
        <v>0.36</v>
      </c>
      <c r="H16" s="31"/>
      <c r="I16" s="31"/>
      <c r="J16" s="32" t="s">
        <v>111</v>
      </c>
      <c r="K16" s="33" t="s">
        <v>122</v>
      </c>
    </row>
    <row r="17" spans="1:11" ht="19.5" customHeight="1">
      <c r="A17" s="1"/>
      <c r="B17" s="20" t="s">
        <v>123</v>
      </c>
      <c r="C17" s="21" t="s">
        <v>103</v>
      </c>
      <c r="D17" s="22">
        <v>50000</v>
      </c>
      <c r="E17" s="22">
        <v>30000</v>
      </c>
      <c r="F17" s="22">
        <v>2000</v>
      </c>
      <c r="G17" s="23">
        <v>0</v>
      </c>
      <c r="H17" s="24"/>
      <c r="I17" s="24"/>
      <c r="J17" s="25" t="s">
        <v>117</v>
      </c>
      <c r="K17" s="26" t="s">
        <v>124</v>
      </c>
    </row>
    <row r="18" spans="1:11" ht="19.5" customHeight="1">
      <c r="A18" s="1"/>
      <c r="B18" s="27" t="s">
        <v>125</v>
      </c>
      <c r="C18" s="28" t="s">
        <v>103</v>
      </c>
      <c r="D18" s="29">
        <v>50000</v>
      </c>
      <c r="E18" s="29">
        <v>40000</v>
      </c>
      <c r="F18" s="29">
        <v>2000</v>
      </c>
      <c r="G18" s="30">
        <v>0</v>
      </c>
      <c r="H18" s="31"/>
      <c r="I18" s="31"/>
      <c r="J18" s="32" t="s">
        <v>117</v>
      </c>
      <c r="K18" s="33" t="s">
        <v>124</v>
      </c>
    </row>
    <row r="19" spans="1:11" ht="19.5" customHeight="1">
      <c r="A19" s="1"/>
      <c r="B19" s="20" t="s">
        <v>126</v>
      </c>
      <c r="C19" s="21" t="s">
        <v>103</v>
      </c>
      <c r="D19" s="22">
        <v>20000</v>
      </c>
      <c r="E19" s="22">
        <v>10000</v>
      </c>
      <c r="F19" s="22">
        <v>1000</v>
      </c>
      <c r="G19" s="23">
        <v>0</v>
      </c>
      <c r="H19" s="24"/>
      <c r="I19" s="24"/>
      <c r="J19" s="25" t="s">
        <v>117</v>
      </c>
      <c r="K19" s="26" t="s">
        <v>127</v>
      </c>
    </row>
    <row r="20" spans="1:11" ht="19.5" customHeight="1">
      <c r="A20" s="1"/>
      <c r="B20" s="27" t="s">
        <v>128</v>
      </c>
      <c r="C20" s="28" t="s">
        <v>103</v>
      </c>
      <c r="D20" s="29">
        <v>24000</v>
      </c>
      <c r="E20" s="29">
        <v>24000</v>
      </c>
      <c r="F20" s="29">
        <v>3000</v>
      </c>
      <c r="G20" s="30">
        <v>0</v>
      </c>
      <c r="H20" s="31"/>
      <c r="I20" s="31"/>
      <c r="J20" s="32" t="s">
        <v>117</v>
      </c>
      <c r="K20" s="33" t="s">
        <v>129</v>
      </c>
    </row>
    <row r="21" spans="1:11" ht="19.5" customHeight="1">
      <c r="A21" s="1"/>
      <c r="B21" s="20" t="s">
        <v>130</v>
      </c>
      <c r="C21" s="21" t="s">
        <v>103</v>
      </c>
      <c r="D21" s="22">
        <v>50000</v>
      </c>
      <c r="E21" s="22">
        <v>50000</v>
      </c>
      <c r="F21" s="22">
        <v>3000</v>
      </c>
      <c r="G21" s="23">
        <v>0</v>
      </c>
      <c r="H21" s="24"/>
      <c r="I21" s="24"/>
      <c r="J21" s="25" t="s">
        <v>117</v>
      </c>
      <c r="K21" s="26" t="s">
        <v>129</v>
      </c>
    </row>
    <row r="22" spans="1:11" ht="19.5" customHeight="1">
      <c r="A22" s="1"/>
      <c r="B22" s="27" t="s">
        <v>131</v>
      </c>
      <c r="C22" s="28" t="s">
        <v>102</v>
      </c>
      <c r="D22" s="29">
        <v>50000</v>
      </c>
      <c r="E22" s="29">
        <v>50000</v>
      </c>
      <c r="F22" s="29">
        <v>0</v>
      </c>
      <c r="G22" s="30">
        <v>0</v>
      </c>
      <c r="H22" s="31"/>
      <c r="I22" s="31"/>
      <c r="J22" s="32" t="s">
        <v>132</v>
      </c>
      <c r="K22" s="33" t="s">
        <v>133</v>
      </c>
    </row>
    <row r="23" spans="1:11" ht="19.5" customHeight="1">
      <c r="A23" s="1"/>
      <c r="B23" s="20" t="s">
        <v>134</v>
      </c>
      <c r="C23" s="21" t="s">
        <v>104</v>
      </c>
      <c r="D23" s="22">
        <v>35000</v>
      </c>
      <c r="E23" s="22">
        <v>35000</v>
      </c>
      <c r="F23" s="22">
        <v>1000</v>
      </c>
      <c r="G23" s="23">
        <v>0.36</v>
      </c>
      <c r="H23" s="24"/>
      <c r="I23" s="24"/>
      <c r="J23" s="25" t="s">
        <v>111</v>
      </c>
      <c r="K23" s="26" t="s">
        <v>135</v>
      </c>
    </row>
    <row r="24" spans="1:11" ht="19.5" customHeight="1">
      <c r="A24" s="1"/>
      <c r="B24" s="27" t="s">
        <v>136</v>
      </c>
      <c r="C24" s="28" t="s">
        <v>102</v>
      </c>
      <c r="D24" s="29">
        <v>210000</v>
      </c>
      <c r="E24" s="29">
        <v>210000</v>
      </c>
      <c r="F24" s="29">
        <v>0</v>
      </c>
      <c r="G24" s="30">
        <v>0</v>
      </c>
      <c r="H24" s="31"/>
      <c r="I24" s="31"/>
      <c r="J24" s="32" t="s">
        <v>132</v>
      </c>
      <c r="K24" s="33" t="s">
        <v>133</v>
      </c>
    </row>
    <row r="25" spans="1:11" ht="19.5" customHeight="1">
      <c r="A25" s="1"/>
      <c r="B25" s="20" t="s">
        <v>137</v>
      </c>
      <c r="C25" s="21" t="s">
        <v>105</v>
      </c>
      <c r="D25" s="22">
        <v>25000</v>
      </c>
      <c r="E25" s="22">
        <v>25000</v>
      </c>
      <c r="F25" s="22">
        <v>0</v>
      </c>
      <c r="G25" s="23">
        <v>0</v>
      </c>
      <c r="H25" s="24"/>
      <c r="I25" s="24"/>
      <c r="J25" s="25" t="s">
        <v>132</v>
      </c>
      <c r="K25" s="26" t="s">
        <v>138</v>
      </c>
    </row>
    <row r="26" spans="1:11" ht="19.5" customHeight="1">
      <c r="A26" s="1"/>
      <c r="B26" s="27" t="s">
        <v>139</v>
      </c>
      <c r="C26" s="28" t="s">
        <v>105</v>
      </c>
      <c r="D26" s="29">
        <v>50000</v>
      </c>
      <c r="E26" s="29">
        <v>50000</v>
      </c>
      <c r="F26" s="29">
        <v>0</v>
      </c>
      <c r="G26" s="30">
        <v>0</v>
      </c>
      <c r="H26" s="31"/>
      <c r="I26" s="31"/>
      <c r="J26" s="32" t="s">
        <v>132</v>
      </c>
      <c r="K26" s="33" t="s">
        <v>140</v>
      </c>
    </row>
    <row r="27" spans="1:11" ht="19.5" customHeight="1">
      <c r="A27" s="1"/>
      <c r="B27" s="20" t="s">
        <v>141</v>
      </c>
      <c r="C27" s="21" t="s">
        <v>102</v>
      </c>
      <c r="D27" s="22">
        <v>30000</v>
      </c>
      <c r="E27" s="22">
        <v>30000</v>
      </c>
      <c r="F27" s="22">
        <v>0</v>
      </c>
      <c r="G27" s="23">
        <v>0</v>
      </c>
      <c r="H27" s="24"/>
      <c r="I27" s="24"/>
      <c r="J27" s="25" t="s">
        <v>132</v>
      </c>
      <c r="K27" s="26" t="s">
        <v>142</v>
      </c>
    </row>
    <row r="28" spans="1:11" ht="19.5" customHeight="1">
      <c r="B28" s="27" t="s">
        <v>143</v>
      </c>
      <c r="C28" s="28" t="s">
        <v>102</v>
      </c>
      <c r="D28" s="29">
        <v>30000</v>
      </c>
      <c r="E28" s="29">
        <v>30000</v>
      </c>
      <c r="F28" s="29">
        <v>0</v>
      </c>
      <c r="G28" s="30">
        <v>0</v>
      </c>
      <c r="H28" s="31"/>
      <c r="I28" s="31"/>
      <c r="J28" s="32" t="s">
        <v>132</v>
      </c>
      <c r="K28" s="33" t="s">
        <v>142</v>
      </c>
    </row>
    <row r="29" spans="1:11" ht="19.5" customHeight="1">
      <c r="B29" s="20" t="s">
        <v>144</v>
      </c>
      <c r="C29" s="21" t="s">
        <v>99</v>
      </c>
      <c r="D29" s="22">
        <v>20000</v>
      </c>
      <c r="E29" s="22">
        <v>20000</v>
      </c>
      <c r="F29" s="22">
        <v>0</v>
      </c>
      <c r="G29" s="23">
        <v>0</v>
      </c>
      <c r="H29" s="24"/>
      <c r="I29" s="24"/>
      <c r="J29" s="25" t="s">
        <v>132</v>
      </c>
      <c r="K29" s="26" t="s">
        <v>145</v>
      </c>
    </row>
    <row r="30" spans="1:11" ht="19.5" customHeight="1">
      <c r="B30" s="27" t="s">
        <v>146</v>
      </c>
      <c r="C30" s="28" t="s">
        <v>98</v>
      </c>
      <c r="D30" s="29">
        <v>20000</v>
      </c>
      <c r="E30" s="29">
        <v>20000</v>
      </c>
      <c r="F30" s="29">
        <v>0</v>
      </c>
      <c r="G30" s="30">
        <v>0</v>
      </c>
      <c r="H30" s="31"/>
      <c r="I30" s="31"/>
      <c r="J30" s="32" t="s">
        <v>132</v>
      </c>
      <c r="K30" s="33" t="s">
        <v>147</v>
      </c>
    </row>
    <row r="31" spans="1:11" ht="19.5" customHeight="1">
      <c r="B31" s="38" t="s">
        <v>148</v>
      </c>
      <c r="C31" s="39" t="s">
        <v>101</v>
      </c>
      <c r="D31" s="40">
        <v>10000</v>
      </c>
      <c r="E31" s="40">
        <v>10000</v>
      </c>
      <c r="F31" s="40">
        <v>10000</v>
      </c>
      <c r="G31" s="41">
        <v>0</v>
      </c>
      <c r="H31" s="42"/>
      <c r="I31" s="42"/>
      <c r="J31" s="43" t="s">
        <v>117</v>
      </c>
      <c r="K31" s="44" t="s">
        <v>149</v>
      </c>
    </row>
    <row r="32" spans="1:11" ht="22.5" customHeight="1">
      <c r="B32" s="45" t="s">
        <v>150</v>
      </c>
      <c r="C32" s="46"/>
      <c r="D32" s="47">
        <f t="shared" ref="D32:F32" si="0">SUM(D9:D31)</f>
        <v>2344000</v>
      </c>
      <c r="E32" s="47">
        <f t="shared" si="0"/>
        <v>2263000</v>
      </c>
      <c r="F32" s="47">
        <f t="shared" si="0"/>
        <v>107550</v>
      </c>
      <c r="G32" s="48">
        <f>AVERAGEIF(G9:G31, "&gt;0")</f>
        <v>0.23824999999999996</v>
      </c>
      <c r="H32" s="46"/>
      <c r="I32" s="46"/>
      <c r="J32" s="46"/>
      <c r="K32" s="49" t="s">
        <v>151</v>
      </c>
    </row>
    <row r="33" spans="2:11" ht="19.5" customHeight="1">
      <c r="B33" s="50" t="s">
        <v>152</v>
      </c>
      <c r="C33" s="51"/>
      <c r="D33" s="53">
        <f t="shared" ref="D33:F33" si="1">AVERAGE(D9:D31)</f>
        <v>101913.04347826086</v>
      </c>
      <c r="E33" s="53">
        <f t="shared" si="1"/>
        <v>98391.304347826081</v>
      </c>
      <c r="F33" s="53">
        <f t="shared" si="1"/>
        <v>4676.086956521739</v>
      </c>
      <c r="G33" s="51"/>
      <c r="H33" s="51"/>
      <c r="I33" s="51"/>
      <c r="J33" s="51"/>
      <c r="K33" s="54"/>
    </row>
    <row r="34" spans="2:11" ht="15.75" customHeight="1"/>
    <row r="35" spans="2:11" ht="15.75" customHeight="1"/>
    <row r="36" spans="2:11" ht="15.75" customHeight="1"/>
    <row r="37" spans="2:11" ht="15.75" customHeight="1"/>
    <row r="38" spans="2:11" ht="15.75" customHeight="1"/>
    <row r="39" spans="2:11" ht="15.75" customHeight="1"/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J5:K5"/>
    <mergeCell ref="B6:C6"/>
    <mergeCell ref="D6:E6"/>
    <mergeCell ref="J6:K6"/>
    <mergeCell ref="F6:G6"/>
    <mergeCell ref="H6:I6"/>
    <mergeCell ref="B5:C5"/>
    <mergeCell ref="D5:E5"/>
    <mergeCell ref="F5:G5"/>
    <mergeCell ref="H5:I5"/>
    <mergeCell ref="B2:G2"/>
    <mergeCell ref="H2:K2"/>
    <mergeCell ref="B4:C4"/>
    <mergeCell ref="D4:E4"/>
    <mergeCell ref="F4:G4"/>
    <mergeCell ref="H4:I4"/>
    <mergeCell ref="J4:K4"/>
  </mergeCells>
  <dataValidations count="1">
    <dataValidation type="list" allowBlank="1" sqref="J9:J31" xr:uid="{00000000-0002-0000-0100-000000000000}">
      <formula1>"Priority 1 - Urgent,Priority 2 - Medium,Priority 3 - 0% EMI,Priority 4 - Flexible"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P5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1" width="3.28515625" customWidth="1"/>
    <col min="2" max="2" width="65.42578125" customWidth="1"/>
    <col min="3" max="3" width="21.42578125" customWidth="1"/>
    <col min="4" max="4" width="6.85546875" customWidth="1"/>
    <col min="5" max="5" width="24.85546875" customWidth="1"/>
    <col min="6" max="6" width="15.7109375" customWidth="1"/>
    <col min="7" max="7" width="12.42578125" customWidth="1"/>
    <col min="8" max="8" width="12.85546875" customWidth="1"/>
    <col min="9" max="9" width="10.140625" customWidth="1"/>
    <col min="10" max="10" width="10.42578125" customWidth="1"/>
    <col min="11" max="11" width="14.42578125" customWidth="1"/>
    <col min="12" max="12" width="14.85546875" customWidth="1"/>
    <col min="13" max="13" width="20.28515625" customWidth="1"/>
    <col min="14" max="14" width="21" customWidth="1"/>
    <col min="15" max="16" width="14.42578125" customWidth="1"/>
  </cols>
  <sheetData>
    <row r="1" spans="2:16" ht="30" customHeight="1">
      <c r="B1" s="155" t="s">
        <v>19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56" t="s">
        <v>62</v>
      </c>
      <c r="N1" s="123"/>
      <c r="O1" s="123"/>
      <c r="P1" s="123"/>
    </row>
    <row r="2" spans="2:16" ht="21" customHeight="1">
      <c r="B2" s="6" t="s">
        <v>67</v>
      </c>
      <c r="C2" s="7" t="s">
        <v>69</v>
      </c>
      <c r="D2" s="6" t="s">
        <v>70</v>
      </c>
      <c r="E2" s="7" t="s">
        <v>72</v>
      </c>
      <c r="F2" s="7" t="s">
        <v>73</v>
      </c>
      <c r="G2" s="7" t="s">
        <v>74</v>
      </c>
      <c r="H2" s="7" t="s">
        <v>76</v>
      </c>
      <c r="I2" s="7" t="s">
        <v>77</v>
      </c>
      <c r="J2" s="7" t="s">
        <v>78</v>
      </c>
      <c r="K2" s="7" t="s">
        <v>79</v>
      </c>
      <c r="L2" s="7" t="s">
        <v>80</v>
      </c>
      <c r="M2" s="8" t="s">
        <v>82</v>
      </c>
      <c r="N2" s="9" t="s">
        <v>83</v>
      </c>
      <c r="O2" s="9" t="s">
        <v>84</v>
      </c>
      <c r="P2" s="9" t="s">
        <v>85</v>
      </c>
    </row>
    <row r="3" spans="2:16" ht="12.75">
      <c r="B3" s="10" t="str">
        <f>Sheet1!B9</f>
        <v>ICICI Credit Card</v>
      </c>
      <c r="C3" s="11" t="s">
        <v>87</v>
      </c>
      <c r="D3" s="11" t="s">
        <v>88</v>
      </c>
      <c r="E3" s="12">
        <f>Sheet1!D9</f>
        <v>30000</v>
      </c>
      <c r="F3" s="12">
        <f>Sheet1!E9</f>
        <v>9000</v>
      </c>
      <c r="G3" s="12">
        <f>IF(B3="", "", SUMIFS(Monthly_Repayments!$G$9:$G$200, Monthly_Repayments!$D$9:$D$200, B3, Monthly_Repayments!$F$9:$F$200, "Lump Sum") + SUMIFS(Monthly_Repayments!$G$9:$G$200, Monthly_Repayments!$D$9:$D$200, B3, Monthly_Repayments!$F$9:$F$200, "Full Settlement"))</f>
        <v>0</v>
      </c>
      <c r="H3" s="12">
        <f t="shared" ref="H3:H49" si="0">IF(B3="", "", MAX(0, N(F3)-N(G3)))</f>
        <v>9000</v>
      </c>
      <c r="I3" s="12">
        <f>Sheet1!F9</f>
        <v>8950</v>
      </c>
      <c r="J3" s="13">
        <f>Sheet1!G9</f>
        <v>0.18</v>
      </c>
      <c r="K3" s="11" t="str">
        <f>Sheet1!J9</f>
        <v>Priority 2 - Medium</v>
      </c>
      <c r="L3" s="11" t="str">
        <f t="shared" ref="L3:L49" si="1">IF(B3="", "", IF(H3&lt;=0, "Closed", "Open"))</f>
        <v>Open</v>
      </c>
      <c r="M3" s="18" t="str">
        <f>Sheet1!K9</f>
        <v>Card EMI payoff</v>
      </c>
      <c r="N3" s="34">
        <f ca="1">IF(B3="", "", SUMIFS(Monthly_Repayments!$G$9:$G$200, Monthly_Repayments!$D$9:$D$200, B3, Monthly_Repayments!$F$9:$F$200, "Lump Sum", Monthly_Repayments!$C$9:$C$200, "&gt;="&amp;DATE(YEAR(TODAY()), MONTH(TODAY()), 1), Monthly_Repayments!$C$9:$C$200, "&lt;="&amp;EOMONTH(TODAY(), 0)) + SUMIFS(Monthly_Repayments!$G$9:$G$200, Monthly_Repayments!$D$9:$D$200, B3, Monthly_Repayments!$F$9:$F$200, "Full Settlement", Monthly_Repayments!$C$9:$C$200, "&gt;="&amp;DATE(YEAR(TODAY()), MONTH(TODAY()), 1), Monthly_Repayments!$C$9:$C$200, "&lt;="&amp;EOMONTH(TODAY(), 0)))</f>
        <v>0</v>
      </c>
      <c r="O3" s="36">
        <f>IF(Sheet1!H9="","",Sheet1!H9)</f>
        <v>45931</v>
      </c>
      <c r="P3" s="36">
        <f>IF(Sheet1!I9="","",Sheet1!I9)</f>
        <v>46300</v>
      </c>
    </row>
    <row r="4" spans="2:16" ht="12.75">
      <c r="B4" s="10" t="str">
        <f>Sheet1!B10</f>
        <v>Cred 1</v>
      </c>
      <c r="C4" s="11" t="s">
        <v>87</v>
      </c>
      <c r="D4" s="11" t="s">
        <v>88</v>
      </c>
      <c r="E4" s="12">
        <f>Sheet1!D10</f>
        <v>20000</v>
      </c>
      <c r="F4" s="12">
        <f>Sheet1!E10</f>
        <v>8000</v>
      </c>
      <c r="G4" s="12">
        <f>IF(B4="", "", SUMIFS(Monthly_Repayments!$G$9:$G$200, Monthly_Repayments!$D$9:$D$200, B4, Monthly_Repayments!$F$9:$F$200, "Lump Sum") + SUMIFS(Monthly_Repayments!$G$9:$G$200, Monthly_Repayments!$D$9:$D$200, B4, Monthly_Repayments!$F$9:$F$200, "Full Settlement"))</f>
        <v>0</v>
      </c>
      <c r="H4" s="12">
        <f t="shared" si="0"/>
        <v>8000</v>
      </c>
      <c r="I4" s="12">
        <f>Sheet1!F10</f>
        <v>2800</v>
      </c>
      <c r="J4" s="13">
        <f>Sheet1!G10</f>
        <v>0.16500000000000001</v>
      </c>
      <c r="K4" s="11" t="str">
        <f>Sheet1!J10</f>
        <v>Priority 2 - Medium</v>
      </c>
      <c r="L4" s="11" t="str">
        <f t="shared" si="1"/>
        <v>Open</v>
      </c>
      <c r="M4" s="18" t="str">
        <f>Sheet1!K10</f>
        <v>Credit line EMI</v>
      </c>
      <c r="N4" s="34">
        <f ca="1">IF(B4="", "", SUMIFS(Monthly_Repayments!$G$9:$G$200, Monthly_Repayments!$D$9:$D$200, B4, Monthly_Repayments!$F$9:$F$200, "Lump Sum", Monthly_Repayments!$C$9:$C$200, "&gt;="&amp;DATE(YEAR(TODAY()), MONTH(TODAY()), 1), Monthly_Repayments!$C$9:$C$200, "&lt;="&amp;EOMONTH(TODAY(), 0)) + SUMIFS(Monthly_Repayments!$G$9:$G$200, Monthly_Repayments!$D$9:$D$200, B4, Monthly_Repayments!$F$9:$F$200, "Full Settlement", Monthly_Repayments!$C$9:$C$200, "&gt;="&amp;DATE(YEAR(TODAY()), MONTH(TODAY()), 1), Monthly_Repayments!$C$9:$C$200, "&lt;="&amp;EOMONTH(TODAY(), 0)))</f>
        <v>0</v>
      </c>
      <c r="O4" s="36">
        <f>IF(Sheet1!H10="","",Sheet1!H10)</f>
        <v>46113</v>
      </c>
      <c r="P4" s="36">
        <f>IF(Sheet1!I10="","",Sheet1!I10)</f>
        <v>46362</v>
      </c>
    </row>
    <row r="5" spans="2:16" ht="12.75">
      <c r="B5" s="10" t="str">
        <f>Sheet1!B11</f>
        <v>Slice</v>
      </c>
      <c r="C5" s="11" t="s">
        <v>100</v>
      </c>
      <c r="D5" s="11" t="s">
        <v>88</v>
      </c>
      <c r="E5" s="12">
        <f>Sheet1!D11</f>
        <v>300000</v>
      </c>
      <c r="F5" s="12">
        <f>Sheet1!E11</f>
        <v>175000</v>
      </c>
      <c r="G5" s="12">
        <f>IF(B5="", "", SUMIFS(Monthly_Repayments!$G$9:$G$200, Monthly_Repayments!$D$9:$D$200, B5, Monthly_Repayments!$F$9:$F$200, "Lump Sum") + SUMIFS(Monthly_Repayments!$G$9:$G$200, Monthly_Repayments!$D$9:$D$200, B5, Monthly_Repayments!$F$9:$F$200, "Full Settlement"))</f>
        <v>0</v>
      </c>
      <c r="H5" s="12">
        <f t="shared" si="0"/>
        <v>175000</v>
      </c>
      <c r="I5" s="12">
        <f>Sheet1!F11</f>
        <v>25600</v>
      </c>
      <c r="J5" s="13">
        <f>Sheet1!G11</f>
        <v>0.26</v>
      </c>
      <c r="K5" s="11" t="str">
        <f>Sheet1!J11</f>
        <v>Priority 1 - Urgent</v>
      </c>
      <c r="L5" s="11" t="str">
        <f t="shared" si="1"/>
        <v>Open</v>
      </c>
      <c r="M5" s="18" t="str">
        <f>Sheet1!K11</f>
        <v>High interest rate (26%)</v>
      </c>
      <c r="N5" s="34">
        <f ca="1">IF(B5="", "", SUMIFS(Monthly_Repayments!$G$9:$G$200, Monthly_Repayments!$D$9:$D$200, B5, Monthly_Repayments!$F$9:$F$200, "Lump Sum", Monthly_Repayments!$C$9:$C$200, "&gt;="&amp;DATE(YEAR(TODAY()), MONTH(TODAY()), 1), Monthly_Repayments!$C$9:$C$200, "&lt;="&amp;EOMONTH(TODAY(), 0)) + SUMIFS(Monthly_Repayments!$G$9:$G$200, Monthly_Repayments!$D$9:$D$200, B5, Monthly_Repayments!$F$9:$F$200, "Full Settlement", Monthly_Repayments!$C$9:$C$200, "&gt;="&amp;DATE(YEAR(TODAY()), MONTH(TODAY()), 1), Monthly_Repayments!$C$9:$C$200, "&lt;="&amp;EOMONTH(TODAY(), 0)))</f>
        <v>0</v>
      </c>
      <c r="O5" s="36">
        <f>IF(Sheet1!H11="","",Sheet1!H11)</f>
        <v>46113</v>
      </c>
      <c r="P5" s="36">
        <f>IF(Sheet1!I11="","",Sheet1!I11)</f>
        <v>46512</v>
      </c>
    </row>
    <row r="6" spans="2:16" ht="12.75">
      <c r="B6" s="10" t="str">
        <f>Sheet1!B12</f>
        <v>Cred 2</v>
      </c>
      <c r="C6" s="11" t="s">
        <v>87</v>
      </c>
      <c r="D6" s="11" t="s">
        <v>88</v>
      </c>
      <c r="E6" s="12">
        <f>Sheet1!D12</f>
        <v>150000</v>
      </c>
      <c r="F6" s="12">
        <f>Sheet1!E12</f>
        <v>122000</v>
      </c>
      <c r="G6" s="12">
        <f>IF(B6="", "", SUMIFS(Monthly_Repayments!$G$9:$G$200, Monthly_Repayments!$D$9:$D$200, B6, Monthly_Repayments!$F$9:$F$200, "Lump Sum") + SUMIFS(Monthly_Repayments!$G$9:$G$200, Monthly_Repayments!$D$9:$D$200, B6, Monthly_Repayments!$F$9:$F$200, "Full Settlement"))</f>
        <v>0</v>
      </c>
      <c r="H6" s="12">
        <f t="shared" si="0"/>
        <v>122000</v>
      </c>
      <c r="I6" s="12">
        <f>Sheet1!F12</f>
        <v>11300</v>
      </c>
      <c r="J6" s="13">
        <f>Sheet1!G12</f>
        <v>0.16500000000000001</v>
      </c>
      <c r="K6" s="11" t="str">
        <f>Sheet1!J12</f>
        <v>Priority 2 - Medium</v>
      </c>
      <c r="L6" s="11" t="str">
        <f t="shared" si="1"/>
        <v>Open</v>
      </c>
      <c r="M6" s="18" t="str">
        <f>Sheet1!K12</f>
        <v>Credit line EMI</v>
      </c>
      <c r="N6" s="34">
        <f ca="1">IF(B6="", "", SUMIFS(Monthly_Repayments!$G$9:$G$200, Monthly_Repayments!$D$9:$D$200, B6, Monthly_Repayments!$F$9:$F$200, "Lump Sum", Monthly_Repayments!$C$9:$C$200, "&gt;="&amp;DATE(YEAR(TODAY()), MONTH(TODAY()), 1), Monthly_Repayments!$C$9:$C$200, "&lt;="&amp;EOMONTH(TODAY(), 0)) + SUMIFS(Monthly_Repayments!$G$9:$G$200, Monthly_Repayments!$D$9:$D$200, B6, Monthly_Repayments!$F$9:$F$200, "Full Settlement", Monthly_Repayments!$C$9:$C$200, "&gt;="&amp;DATE(YEAR(TODAY()), MONTH(TODAY()), 1), Monthly_Repayments!$C$9:$C$200, "&lt;="&amp;EOMONTH(TODAY(), 0)))</f>
        <v>0</v>
      </c>
      <c r="O6" s="36">
        <f>IF(Sheet1!H12="","",Sheet1!H12)</f>
        <v>46179</v>
      </c>
      <c r="P6" s="36">
        <f>IF(Sheet1!I12="","",Sheet1!I12)</f>
        <v>46605</v>
      </c>
    </row>
    <row r="7" spans="2:16" ht="12.75">
      <c r="B7" s="10" t="str">
        <f>Sheet1!B13</f>
        <v>Piramal Capital</v>
      </c>
      <c r="C7" s="11" t="s">
        <v>103</v>
      </c>
      <c r="D7" s="11" t="s">
        <v>88</v>
      </c>
      <c r="E7" s="12">
        <f>Sheet1!D13</f>
        <v>700000</v>
      </c>
      <c r="F7" s="12">
        <f>Sheet1!E13</f>
        <v>955000</v>
      </c>
      <c r="G7" s="12">
        <f>IF(B7="", "", SUMIFS(Monthly_Repayments!$G$9:$G$200, Monthly_Repayments!$D$9:$D$200, B7, Monthly_Repayments!$F$9:$F$200, "Lump Sum") + SUMIFS(Monthly_Repayments!$G$9:$G$200, Monthly_Repayments!$D$9:$D$200, B7, Monthly_Repayments!$F$9:$F$200, "Full Settlement"))</f>
        <v>0</v>
      </c>
      <c r="H7" s="12">
        <f t="shared" si="0"/>
        <v>955000</v>
      </c>
      <c r="I7" s="12">
        <f>Sheet1!F13</f>
        <v>18400</v>
      </c>
      <c r="J7" s="13">
        <f>Sheet1!G13</f>
        <v>0.186</v>
      </c>
      <c r="K7" s="11" t="str">
        <f>Sheet1!J13</f>
        <v>Priority 2 - Medium</v>
      </c>
      <c r="L7" s="11" t="str">
        <f t="shared" si="1"/>
        <v>Open</v>
      </c>
      <c r="M7" s="18" t="str">
        <f>Sheet1!K13</f>
        <v>Long-term NBFC loan</v>
      </c>
      <c r="N7" s="34">
        <f ca="1">IF(B7="", "", SUMIFS(Monthly_Repayments!$G$9:$G$200, Monthly_Repayments!$D$9:$D$200, B7, Monthly_Repayments!$F$9:$F$200, "Lump Sum", Monthly_Repayments!$C$9:$C$200, "&gt;="&amp;DATE(YEAR(TODAY()), MONTH(TODAY()), 1), Monthly_Repayments!$C$9:$C$200, "&lt;="&amp;EOMONTH(TODAY(), 0)) + SUMIFS(Monthly_Repayments!$G$9:$G$200, Monthly_Repayments!$D$9:$D$200, B7, Monthly_Repayments!$F$9:$F$200, "Full Settlement", Monthly_Repayments!$C$9:$C$200, "&gt;="&amp;DATE(YEAR(TODAY()), MONTH(TODAY()), 1), Monthly_Repayments!$C$9:$C$200, "&lt;="&amp;EOMONTH(TODAY(), 0)))</f>
        <v>0</v>
      </c>
      <c r="O7" s="36">
        <f>IF(Sheet1!H13="","",Sheet1!H13)</f>
        <v>46058</v>
      </c>
      <c r="P7" s="36">
        <f>IF(Sheet1!I13="","",Sheet1!I13)</f>
        <v>47884</v>
      </c>
    </row>
    <row r="8" spans="2:16" ht="12.75">
      <c r="B8" s="10" t="str">
        <f>Sheet1!B14</f>
        <v>Abba BC</v>
      </c>
      <c r="C8" s="11" t="s">
        <v>95</v>
      </c>
      <c r="D8" s="11" t="s">
        <v>153</v>
      </c>
      <c r="E8" s="12">
        <f>Sheet1!D14</f>
        <v>200000</v>
      </c>
      <c r="F8" s="12">
        <f>Sheet1!E14</f>
        <v>40000</v>
      </c>
      <c r="G8" s="12">
        <f>IF(B8="", "", SUMIFS(Monthly_Repayments!$G$9:$G$200, Monthly_Repayments!$D$9:$D$200, B8, Monthly_Repayments!$F$9:$F$200, "Lump Sum") + SUMIFS(Monthly_Repayments!$G$9:$G$200, Monthly_Repayments!$D$9:$D$200, B8, Monthly_Repayments!$F$9:$F$200, "Full Settlement"))</f>
        <v>0</v>
      </c>
      <c r="H8" s="12">
        <f t="shared" si="0"/>
        <v>40000</v>
      </c>
      <c r="I8" s="12">
        <f>Sheet1!F14</f>
        <v>9000</v>
      </c>
      <c r="J8" s="13">
        <f>Sheet1!G14</f>
        <v>0</v>
      </c>
      <c r="K8" s="11" t="str">
        <f>Sheet1!J14</f>
        <v>Priority 3 - 0% EMI</v>
      </c>
      <c r="L8" s="11" t="str">
        <f t="shared" si="1"/>
        <v>Open</v>
      </c>
      <c r="M8" s="18" t="str">
        <f>Sheet1!K14</f>
        <v>Committee / BC monthly</v>
      </c>
      <c r="N8" s="34">
        <f ca="1">IF(B8="", "", SUMIFS(Monthly_Repayments!$G$9:$G$200, Monthly_Repayments!$D$9:$D$200, B8, Monthly_Repayments!$F$9:$F$200, "Lump Sum", Monthly_Repayments!$C$9:$C$200, "&gt;="&amp;DATE(YEAR(TODAY()), MONTH(TODAY()), 1), Monthly_Repayments!$C$9:$C$200, "&lt;="&amp;EOMONTH(TODAY(), 0)) + SUMIFS(Monthly_Repayments!$G$9:$G$200, Monthly_Repayments!$D$9:$D$200, B8, Monthly_Repayments!$F$9:$F$200, "Full Settlement", Monthly_Repayments!$C$9:$C$200, "&gt;="&amp;DATE(YEAR(TODAY()), MONTH(TODAY()), 1), Monthly_Repayments!$C$9:$C$200, "&lt;="&amp;EOMONTH(TODAY(), 0)))</f>
        <v>0</v>
      </c>
      <c r="O8" s="36" t="str">
        <f>IF(Sheet1!H14="","",Sheet1!H14)</f>
        <v/>
      </c>
      <c r="P8" s="36">
        <f>IF(Sheet1!I14="","",Sheet1!I14)</f>
        <v>46466</v>
      </c>
    </row>
    <row r="9" spans="2:16" ht="12.75">
      <c r="B9" s="10" t="str">
        <f>Sheet1!B15</f>
        <v>IDFC First Bank</v>
      </c>
      <c r="C9" s="11" t="s">
        <v>103</v>
      </c>
      <c r="D9" s="11" t="s">
        <v>154</v>
      </c>
      <c r="E9" s="12">
        <f>Sheet1!D15</f>
        <v>130000</v>
      </c>
      <c r="F9" s="12">
        <f>Sheet1!E15</f>
        <v>170000</v>
      </c>
      <c r="G9" s="12">
        <f>IF(B9="", "", SUMIFS(Monthly_Repayments!$G$9:$G$200, Monthly_Repayments!$D$9:$D$200, B9, Monthly_Repayments!$F$9:$F$200, "Lump Sum") + SUMIFS(Monthly_Repayments!$G$9:$G$200, Monthly_Repayments!$D$9:$D$200, B9, Monthly_Repayments!$F$9:$F$200, "Full Settlement"))</f>
        <v>0</v>
      </c>
      <c r="H9" s="12">
        <f t="shared" si="0"/>
        <v>170000</v>
      </c>
      <c r="I9" s="12">
        <f>Sheet1!F15</f>
        <v>5000</v>
      </c>
      <c r="J9" s="13">
        <f>Sheet1!G15</f>
        <v>0.23</v>
      </c>
      <c r="K9" s="11" t="str">
        <f>Sheet1!J15</f>
        <v>Priority 1 - Urgent</v>
      </c>
      <c r="L9" s="11" t="str">
        <f t="shared" si="1"/>
        <v>Open</v>
      </c>
      <c r="M9" s="18" t="str">
        <f>Sheet1!K15</f>
        <v>High interest personal loan</v>
      </c>
      <c r="N9" s="34">
        <f ca="1">IF(B9="", "", SUMIFS(Monthly_Repayments!$G$9:$G$200, Monthly_Repayments!$D$9:$D$200, B9, Monthly_Repayments!$F$9:$F$200, "Lump Sum", Monthly_Repayments!$C$9:$C$200, "&gt;="&amp;DATE(YEAR(TODAY()), MONTH(TODAY()), 1), Monthly_Repayments!$C$9:$C$200, "&lt;="&amp;EOMONTH(TODAY(), 0)) + SUMIFS(Monthly_Repayments!$G$9:$G$200, Monthly_Repayments!$D$9:$D$200, B9, Monthly_Repayments!$F$9:$F$200, "Full Settlement", Monthly_Repayments!$C$9:$C$200, "&gt;="&amp;DATE(YEAR(TODAY()), MONTH(TODAY()), 1), Monthly_Repayments!$C$9:$C$200, "&lt;="&amp;EOMONTH(TODAY(), 0)))</f>
        <v>0</v>
      </c>
      <c r="O9" s="36">
        <f>IF(Sheet1!H15="","",Sheet1!H15)</f>
        <v>46147</v>
      </c>
      <c r="P9" s="36">
        <f>IF(Sheet1!I15="","",Sheet1!I15)</f>
        <v>47289</v>
      </c>
    </row>
    <row r="10" spans="2:16" ht="12.75">
      <c r="B10" s="10" t="str">
        <f>Sheet1!B16</f>
        <v>Mahila Samiti</v>
      </c>
      <c r="C10" s="11" t="s">
        <v>97</v>
      </c>
      <c r="D10" s="11" t="s">
        <v>154</v>
      </c>
      <c r="E10" s="12">
        <f>Sheet1!D16</f>
        <v>140000</v>
      </c>
      <c r="F10" s="12">
        <f>Sheet1!E16</f>
        <v>150000</v>
      </c>
      <c r="G10" s="12">
        <f>IF(B10="", "", SUMIFS(Monthly_Repayments!$G$9:$G$200, Monthly_Repayments!$D$9:$D$200, B10, Monthly_Repayments!$F$9:$F$200, "Lump Sum") + SUMIFS(Monthly_Repayments!$G$9:$G$200, Monthly_Repayments!$D$9:$D$200, B10, Monthly_Repayments!$F$9:$F$200, "Full Settlement"))</f>
        <v>0</v>
      </c>
      <c r="H10" s="12">
        <f t="shared" si="0"/>
        <v>150000</v>
      </c>
      <c r="I10" s="12">
        <f>Sheet1!F16</f>
        <v>4500</v>
      </c>
      <c r="J10" s="13">
        <f>Sheet1!G16</f>
        <v>0.36</v>
      </c>
      <c r="K10" s="11" t="str">
        <f>Sheet1!J16</f>
        <v>Priority 1 - Urgent</v>
      </c>
      <c r="L10" s="11" t="str">
        <f t="shared" si="1"/>
        <v>Open</v>
      </c>
      <c r="M10" s="18" t="str">
        <f>Sheet1!K16</f>
        <v>₹4,500 monthly interest (36%)</v>
      </c>
      <c r="N10" s="34">
        <f ca="1">IF(B10="", "", SUMIFS(Monthly_Repayments!$G$9:$G$200, Monthly_Repayments!$D$9:$D$200, B10, Monthly_Repayments!$F$9:$F$200, "Lump Sum", Monthly_Repayments!$C$9:$C$200, "&gt;="&amp;DATE(YEAR(TODAY()), MONTH(TODAY()), 1), Monthly_Repayments!$C$9:$C$200, "&lt;="&amp;EOMONTH(TODAY(), 0)) + SUMIFS(Monthly_Repayments!$G$9:$G$200, Monthly_Repayments!$D$9:$D$200, B10, Monthly_Repayments!$F$9:$F$200, "Full Settlement", Monthly_Repayments!$C$9:$C$200, "&gt;="&amp;DATE(YEAR(TODAY()), MONTH(TODAY()), 1), Monthly_Repayments!$C$9:$C$200, "&lt;="&amp;EOMONTH(TODAY(), 0)))</f>
        <v>0</v>
      </c>
      <c r="O10" s="36" t="str">
        <f>IF(Sheet1!H16="","",Sheet1!H16)</f>
        <v/>
      </c>
      <c r="P10" s="36" t="str">
        <f>IF(Sheet1!I16="","",Sheet1!I16)</f>
        <v/>
      </c>
    </row>
    <row r="11" spans="2:16" ht="12.75">
      <c r="B11" s="10" t="str">
        <f>Sheet1!B17</f>
        <v>Riyasat (2k)</v>
      </c>
      <c r="C11" s="11" t="s">
        <v>103</v>
      </c>
      <c r="D11" s="11" t="s">
        <v>160</v>
      </c>
      <c r="E11" s="12">
        <f>Sheet1!D17</f>
        <v>50000</v>
      </c>
      <c r="F11" s="12">
        <f>Sheet1!E17</f>
        <v>30000</v>
      </c>
      <c r="G11" s="12">
        <f>IF(B11="", "", SUMIFS(Monthly_Repayments!$G$9:$G$200, Monthly_Repayments!$D$9:$D$200, B11, Monthly_Repayments!$F$9:$F$200, "Lump Sum") + SUMIFS(Monthly_Repayments!$G$9:$G$200, Monthly_Repayments!$D$9:$D$200, B11, Monthly_Repayments!$F$9:$F$200, "Full Settlement"))</f>
        <v>0</v>
      </c>
      <c r="H11" s="12">
        <f t="shared" si="0"/>
        <v>30000</v>
      </c>
      <c r="I11" s="12">
        <f>Sheet1!F17</f>
        <v>2000</v>
      </c>
      <c r="J11" s="13">
        <f>Sheet1!G17</f>
        <v>0</v>
      </c>
      <c r="K11" s="11" t="str">
        <f>Sheet1!J17</f>
        <v>Priority 3 - 0% EMI</v>
      </c>
      <c r="L11" s="11" t="str">
        <f t="shared" si="1"/>
        <v>Open</v>
      </c>
      <c r="M11" s="18" t="str">
        <f>Sheet1!K17</f>
        <v>₹2,000 monthly payment</v>
      </c>
      <c r="N11" s="34">
        <f ca="1">IF(B11="", "", SUMIFS(Monthly_Repayments!$G$9:$G$200, Monthly_Repayments!$D$9:$D$200, B11, Monthly_Repayments!$F$9:$F$200, "Lump Sum", Monthly_Repayments!$C$9:$C$200, "&gt;="&amp;DATE(YEAR(TODAY()), MONTH(TODAY()), 1), Monthly_Repayments!$C$9:$C$200, "&lt;="&amp;EOMONTH(TODAY(), 0)) + SUMIFS(Monthly_Repayments!$G$9:$G$200, Monthly_Repayments!$D$9:$D$200, B11, Monthly_Repayments!$F$9:$F$200, "Full Settlement", Monthly_Repayments!$C$9:$C$200, "&gt;="&amp;DATE(YEAR(TODAY()), MONTH(TODAY()), 1), Monthly_Repayments!$C$9:$C$200, "&lt;="&amp;EOMONTH(TODAY(), 0)))</f>
        <v>0</v>
      </c>
      <c r="O11" s="36" t="str">
        <f>IF(Sheet1!H17="","",Sheet1!H17)</f>
        <v/>
      </c>
      <c r="P11" s="36" t="str">
        <f>IF(Sheet1!I17="","",Sheet1!I17)</f>
        <v/>
      </c>
    </row>
    <row r="12" spans="2:16" ht="12.75">
      <c r="B12" s="10" t="str">
        <f>Sheet1!B18</f>
        <v>Riyasat (2ksha)</v>
      </c>
      <c r="C12" s="11" t="s">
        <v>103</v>
      </c>
      <c r="D12" s="11" t="s">
        <v>88</v>
      </c>
      <c r="E12" s="12">
        <f>Sheet1!D18</f>
        <v>50000</v>
      </c>
      <c r="F12" s="12">
        <f>Sheet1!E18</f>
        <v>40000</v>
      </c>
      <c r="G12" s="12">
        <f>IF(B12="", "", SUMIFS(Monthly_Repayments!$G$9:$G$200, Monthly_Repayments!$D$9:$D$200, B12, Monthly_Repayments!$F$9:$F$200, "Lump Sum") + SUMIFS(Monthly_Repayments!$G$9:$G$200, Monthly_Repayments!$D$9:$D$200, B12, Monthly_Repayments!$F$9:$F$200, "Full Settlement"))</f>
        <v>0</v>
      </c>
      <c r="H12" s="12">
        <f t="shared" si="0"/>
        <v>40000</v>
      </c>
      <c r="I12" s="12">
        <f>Sheet1!F18</f>
        <v>2000</v>
      </c>
      <c r="J12" s="13">
        <f>Sheet1!G18</f>
        <v>0</v>
      </c>
      <c r="K12" s="11" t="str">
        <f>Sheet1!J18</f>
        <v>Priority 3 - 0% EMI</v>
      </c>
      <c r="L12" s="11" t="str">
        <f t="shared" si="1"/>
        <v>Open</v>
      </c>
      <c r="M12" s="18" t="str">
        <f>Sheet1!K18</f>
        <v>₹2,000 monthly payment</v>
      </c>
      <c r="N12" s="34">
        <f ca="1">IF(B12="", "", SUMIFS(Monthly_Repayments!$G$9:$G$200, Monthly_Repayments!$D$9:$D$200, B12, Monthly_Repayments!$F$9:$F$200, "Lump Sum", Monthly_Repayments!$C$9:$C$200, "&gt;="&amp;DATE(YEAR(TODAY()), MONTH(TODAY()), 1), Monthly_Repayments!$C$9:$C$200, "&lt;="&amp;EOMONTH(TODAY(), 0)) + SUMIFS(Monthly_Repayments!$G$9:$G$200, Monthly_Repayments!$D$9:$D$200, B12, Monthly_Repayments!$F$9:$F$200, "Full Settlement", Monthly_Repayments!$C$9:$C$200, "&gt;="&amp;DATE(YEAR(TODAY()), MONTH(TODAY()), 1), Monthly_Repayments!$C$9:$C$200, "&lt;="&amp;EOMONTH(TODAY(), 0)))</f>
        <v>0</v>
      </c>
      <c r="O12" s="36" t="str">
        <f>IF(Sheet1!H18="","",Sheet1!H18)</f>
        <v/>
      </c>
      <c r="P12" s="36" t="str">
        <f>IF(Sheet1!I18="","",Sheet1!I18)</f>
        <v/>
      </c>
    </row>
    <row r="13" spans="2:16" ht="12.75">
      <c r="B13" s="10" t="str">
        <f>Sheet1!B19</f>
        <v>Riyasat (1k)</v>
      </c>
      <c r="C13" s="11" t="s">
        <v>103</v>
      </c>
      <c r="D13" s="11" t="s">
        <v>160</v>
      </c>
      <c r="E13" s="12">
        <f>Sheet1!D19</f>
        <v>20000</v>
      </c>
      <c r="F13" s="12">
        <f>Sheet1!E19</f>
        <v>10000</v>
      </c>
      <c r="G13" s="12">
        <f>IF(B13="", "", SUMIFS(Monthly_Repayments!$G$9:$G$200, Monthly_Repayments!$D$9:$D$200, B13, Monthly_Repayments!$F$9:$F$200, "Lump Sum") + SUMIFS(Monthly_Repayments!$G$9:$G$200, Monthly_Repayments!$D$9:$D$200, B13, Monthly_Repayments!$F$9:$F$200, "Full Settlement"))</f>
        <v>0</v>
      </c>
      <c r="H13" s="12">
        <f t="shared" si="0"/>
        <v>10000</v>
      </c>
      <c r="I13" s="12">
        <f>Sheet1!F19</f>
        <v>1000</v>
      </c>
      <c r="J13" s="13">
        <f>Sheet1!G19</f>
        <v>0</v>
      </c>
      <c r="K13" s="11" t="str">
        <f>Sheet1!J19</f>
        <v>Priority 3 - 0% EMI</v>
      </c>
      <c r="L13" s="11" t="str">
        <f t="shared" si="1"/>
        <v>Open</v>
      </c>
      <c r="M13" s="18" t="str">
        <f>Sheet1!K19</f>
        <v>₹1,000 monthly payment</v>
      </c>
      <c r="N13" s="34">
        <f ca="1">IF(B13="", "", SUMIFS(Monthly_Repayments!$G$9:$G$200, Monthly_Repayments!$D$9:$D$200, B13, Monthly_Repayments!$F$9:$F$200, "Lump Sum", Monthly_Repayments!$C$9:$C$200, "&gt;="&amp;DATE(YEAR(TODAY()), MONTH(TODAY()), 1), Monthly_Repayments!$C$9:$C$200, "&lt;="&amp;EOMONTH(TODAY(), 0)) + SUMIFS(Monthly_Repayments!$G$9:$G$200, Monthly_Repayments!$D$9:$D$200, B13, Monthly_Repayments!$F$9:$F$200, "Full Settlement", Monthly_Repayments!$C$9:$C$200, "&gt;="&amp;DATE(YEAR(TODAY()), MONTH(TODAY()), 1), Monthly_Repayments!$C$9:$C$200, "&lt;="&amp;EOMONTH(TODAY(), 0)))</f>
        <v>0</v>
      </c>
      <c r="O13" s="36" t="str">
        <f>IF(Sheet1!H19="","",Sheet1!H19)</f>
        <v/>
      </c>
      <c r="P13" s="36" t="str">
        <f>IF(Sheet1!I19="","",Sheet1!I19)</f>
        <v/>
      </c>
    </row>
    <row r="14" spans="2:16" ht="12.75">
      <c r="B14" s="10" t="str">
        <f>Sheet1!B20</f>
        <v>Charku 1</v>
      </c>
      <c r="C14" s="11" t="s">
        <v>103</v>
      </c>
      <c r="D14" s="11" t="s">
        <v>191</v>
      </c>
      <c r="E14" s="12">
        <f>Sheet1!D20</f>
        <v>24000</v>
      </c>
      <c r="F14" s="12">
        <f>Sheet1!E20</f>
        <v>24000</v>
      </c>
      <c r="G14" s="12">
        <f>IF(B14="", "", SUMIFS(Monthly_Repayments!$G$9:$G$200, Monthly_Repayments!$D$9:$D$200, B14, Monthly_Repayments!$F$9:$F$200, "Lump Sum") + SUMIFS(Monthly_Repayments!$G$9:$G$200, Monthly_Repayments!$D$9:$D$200, B14, Monthly_Repayments!$F$9:$F$200, "Full Settlement"))</f>
        <v>0</v>
      </c>
      <c r="H14" s="12">
        <f t="shared" si="0"/>
        <v>24000</v>
      </c>
      <c r="I14" s="12">
        <f>Sheet1!F20</f>
        <v>3000</v>
      </c>
      <c r="J14" s="13">
        <f>Sheet1!G20</f>
        <v>0</v>
      </c>
      <c r="K14" s="11" t="str">
        <f>Sheet1!J20</f>
        <v>Priority 3 - 0% EMI</v>
      </c>
      <c r="L14" s="11" t="str">
        <f t="shared" si="1"/>
        <v>Open</v>
      </c>
      <c r="M14" s="18" t="str">
        <f>Sheet1!K20</f>
        <v>₹3,000 monthly payment</v>
      </c>
      <c r="N14" s="34">
        <f ca="1">IF(B14="", "", SUMIFS(Monthly_Repayments!$G$9:$G$200, Monthly_Repayments!$D$9:$D$200, B14, Monthly_Repayments!$F$9:$F$200, "Lump Sum", Monthly_Repayments!$C$9:$C$200, "&gt;="&amp;DATE(YEAR(TODAY()), MONTH(TODAY()), 1), Monthly_Repayments!$C$9:$C$200, "&lt;="&amp;EOMONTH(TODAY(), 0)) + SUMIFS(Monthly_Repayments!$G$9:$G$200, Monthly_Repayments!$D$9:$D$200, B14, Monthly_Repayments!$F$9:$F$200, "Full Settlement", Monthly_Repayments!$C$9:$C$200, "&gt;="&amp;DATE(YEAR(TODAY()), MONTH(TODAY()), 1), Monthly_Repayments!$C$9:$C$200, "&lt;="&amp;EOMONTH(TODAY(), 0)))</f>
        <v>0</v>
      </c>
      <c r="O14" s="36" t="str">
        <f>IF(Sheet1!H20="","",Sheet1!H20)</f>
        <v/>
      </c>
      <c r="P14" s="36" t="str">
        <f>IF(Sheet1!I20="","",Sheet1!I20)</f>
        <v/>
      </c>
    </row>
    <row r="15" spans="2:16" ht="12.75">
      <c r="B15" s="10" t="str">
        <f>Sheet1!B21</f>
        <v>Charku 2</v>
      </c>
      <c r="C15" s="11" t="s">
        <v>103</v>
      </c>
      <c r="D15" s="11" t="s">
        <v>160</v>
      </c>
      <c r="E15" s="12">
        <f>Sheet1!D21</f>
        <v>50000</v>
      </c>
      <c r="F15" s="12">
        <f>Sheet1!E21</f>
        <v>50000</v>
      </c>
      <c r="G15" s="12">
        <f>IF(B15="", "", SUMIFS(Monthly_Repayments!$G$9:$G$200, Monthly_Repayments!$D$9:$D$200, B15, Monthly_Repayments!$F$9:$F$200, "Lump Sum") + SUMIFS(Monthly_Repayments!$G$9:$G$200, Monthly_Repayments!$D$9:$D$200, B15, Monthly_Repayments!$F$9:$F$200, "Full Settlement"))</f>
        <v>0</v>
      </c>
      <c r="H15" s="12">
        <f t="shared" si="0"/>
        <v>50000</v>
      </c>
      <c r="I15" s="12">
        <f>Sheet1!F21</f>
        <v>3000</v>
      </c>
      <c r="J15" s="13">
        <f>Sheet1!G21</f>
        <v>0</v>
      </c>
      <c r="K15" s="11" t="str">
        <f>Sheet1!J21</f>
        <v>Priority 3 - 0% EMI</v>
      </c>
      <c r="L15" s="11" t="str">
        <f t="shared" si="1"/>
        <v>Open</v>
      </c>
      <c r="M15" s="18" t="str">
        <f>Sheet1!K21</f>
        <v>₹3,000 monthly payment</v>
      </c>
      <c r="N15" s="34">
        <f ca="1">IF(B15="", "", SUMIFS(Monthly_Repayments!$G$9:$G$200, Monthly_Repayments!$D$9:$D$200, B15, Monthly_Repayments!$F$9:$F$200, "Lump Sum", Monthly_Repayments!$C$9:$C$200, "&gt;="&amp;DATE(YEAR(TODAY()), MONTH(TODAY()), 1), Monthly_Repayments!$C$9:$C$200, "&lt;="&amp;EOMONTH(TODAY(), 0)) + SUMIFS(Monthly_Repayments!$G$9:$G$200, Monthly_Repayments!$D$9:$D$200, B15, Monthly_Repayments!$F$9:$F$200, "Full Settlement", Monthly_Repayments!$C$9:$C$200, "&gt;="&amp;DATE(YEAR(TODAY()), MONTH(TODAY()), 1), Monthly_Repayments!$C$9:$C$200, "&lt;="&amp;EOMONTH(TODAY(), 0)))</f>
        <v>0</v>
      </c>
      <c r="O15" s="36" t="str">
        <f>IF(Sheet1!H21="","",Sheet1!H21)</f>
        <v/>
      </c>
      <c r="P15" s="36" t="str">
        <f>IF(Sheet1!I21="","",Sheet1!I21)</f>
        <v/>
      </c>
    </row>
    <row r="16" spans="2:16" ht="12.75">
      <c r="B16" s="10" t="str">
        <f>Sheet1!B22</f>
        <v>Pinki</v>
      </c>
      <c r="C16" s="11" t="s">
        <v>102</v>
      </c>
      <c r="D16" s="11" t="s">
        <v>154</v>
      </c>
      <c r="E16" s="12">
        <f>Sheet1!D22</f>
        <v>50000</v>
      </c>
      <c r="F16" s="12">
        <f>Sheet1!E22</f>
        <v>50000</v>
      </c>
      <c r="G16" s="12">
        <f>IF(B16="", "", SUMIFS(Monthly_Repayments!$G$9:$G$200, Monthly_Repayments!$D$9:$D$200, B16, Monthly_Repayments!$F$9:$F$200, "Lump Sum") + SUMIFS(Monthly_Repayments!$G$9:$G$200, Monthly_Repayments!$D$9:$D$200, B16, Monthly_Repayments!$F$9:$F$200, "Full Settlement"))</f>
        <v>0</v>
      </c>
      <c r="H16" s="12">
        <f t="shared" si="0"/>
        <v>50000</v>
      </c>
      <c r="I16" s="12">
        <f>Sheet1!F22</f>
        <v>0</v>
      </c>
      <c r="J16" s="13">
        <f>Sheet1!G22</f>
        <v>0</v>
      </c>
      <c r="K16" s="11" t="str">
        <f>Sheet1!J22</f>
        <v>Priority 4 - Flexible</v>
      </c>
      <c r="L16" s="11" t="str">
        <f t="shared" si="1"/>
        <v>Open</v>
      </c>
      <c r="M16" s="18" t="str">
        <f>Sheet1!K22</f>
        <v>Lump sum repayment</v>
      </c>
      <c r="N16" s="34">
        <f ca="1">IF(B16="", "", SUMIFS(Monthly_Repayments!$G$9:$G$200, Monthly_Repayments!$D$9:$D$200, B16, Monthly_Repayments!$F$9:$F$200, "Lump Sum", Monthly_Repayments!$C$9:$C$200, "&gt;="&amp;DATE(YEAR(TODAY()), MONTH(TODAY()), 1), Monthly_Repayments!$C$9:$C$200, "&lt;="&amp;EOMONTH(TODAY(), 0)) + SUMIFS(Monthly_Repayments!$G$9:$G$200, Monthly_Repayments!$D$9:$D$200, B16, Monthly_Repayments!$F$9:$F$200, "Full Settlement", Monthly_Repayments!$C$9:$C$200, "&gt;="&amp;DATE(YEAR(TODAY()), MONTH(TODAY()), 1), Monthly_Repayments!$C$9:$C$200, "&lt;="&amp;EOMONTH(TODAY(), 0)))</f>
        <v>0</v>
      </c>
      <c r="O16" s="36" t="str">
        <f>IF(Sheet1!H22="","",Sheet1!H22)</f>
        <v/>
      </c>
      <c r="P16" s="36" t="str">
        <f>IF(Sheet1!I22="","",Sheet1!I22)</f>
        <v/>
      </c>
    </row>
    <row r="17" spans="2:16" ht="12.75">
      <c r="B17" s="10" t="str">
        <f>Sheet1!B23</f>
        <v>Jewar (Gold Loan)</v>
      </c>
      <c r="C17" s="11" t="s">
        <v>104</v>
      </c>
      <c r="D17" s="11" t="s">
        <v>154</v>
      </c>
      <c r="E17" s="12">
        <f>Sheet1!D23</f>
        <v>35000</v>
      </c>
      <c r="F17" s="12">
        <f>Sheet1!E23</f>
        <v>35000</v>
      </c>
      <c r="G17" s="12">
        <f ca="1">IF(B17="", "", SUMIFS(Monthly_Repayments!$G$9:$G$200, Monthly_Repayments!$D$9:$D$200, B17, Monthly_Repayments!$F$9:$F$200, "Lump Sum") + SUMIFS(Monthly_Repayments!$G$9:$G$200, Monthly_Repayments!$D$9:$D$200, B17, Monthly_Repayments!$F$9:$F$200, "Full Settlement"))</f>
        <v>0</v>
      </c>
      <c r="H17" s="12">
        <f t="shared" ca="1" si="0"/>
        <v>35000</v>
      </c>
      <c r="I17" s="12">
        <f>Sheet1!F23</f>
        <v>1000</v>
      </c>
      <c r="J17" s="13">
        <f>Sheet1!G23</f>
        <v>0.36</v>
      </c>
      <c r="K17" s="11" t="str">
        <f>Sheet1!J23</f>
        <v>Priority 1 - Urgent</v>
      </c>
      <c r="L17" s="11" t="str">
        <f t="shared" ca="1" si="1"/>
        <v>Open</v>
      </c>
      <c r="M17" s="18" t="str">
        <f>Sheet1!K23</f>
        <v>₹1,000 monthly interest (36%)</v>
      </c>
      <c r="N17" s="34">
        <f ca="1">IF(B17="", "", SUMIFS(Monthly_Repayments!$G$9:$G$200, Monthly_Repayments!$D$9:$D$200, B17, Monthly_Repayments!$F$9:$F$200, "Lump Sum", Monthly_Repayments!$C$9:$C$200, "&gt;="&amp;DATE(YEAR(TODAY()), MONTH(TODAY()), 1), Monthly_Repayments!$C$9:$C$200, "&lt;="&amp;EOMONTH(TODAY(), 0)) + SUMIFS(Monthly_Repayments!$G$9:$G$200, Monthly_Repayments!$D$9:$D$200, B17, Monthly_Repayments!$F$9:$F$200, "Full Settlement", Monthly_Repayments!$C$9:$C$200, "&gt;="&amp;DATE(YEAR(TODAY()), MONTH(TODAY()), 1), Monthly_Repayments!$C$9:$C$200, "&lt;="&amp;EOMONTH(TODAY(), 0)))</f>
        <v>0</v>
      </c>
      <c r="O17" s="36" t="str">
        <f>IF(Sheet1!H23="","",Sheet1!H23)</f>
        <v/>
      </c>
      <c r="P17" s="36" t="str">
        <f>IF(Sheet1!I23="","",Sheet1!I23)</f>
        <v/>
      </c>
    </row>
    <row r="18" spans="2:16" ht="12.75">
      <c r="B18" s="10" t="str">
        <f>Sheet1!B24</f>
        <v>Jalil</v>
      </c>
      <c r="C18" s="11" t="s">
        <v>102</v>
      </c>
      <c r="D18" s="11" t="s">
        <v>153</v>
      </c>
      <c r="E18" s="12">
        <f>Sheet1!D24</f>
        <v>210000</v>
      </c>
      <c r="F18" s="12">
        <f>Sheet1!E24</f>
        <v>210000</v>
      </c>
      <c r="G18" s="12">
        <f>IF(B18="", "", SUMIFS(Monthly_Repayments!$G$9:$G$200, Monthly_Repayments!$D$9:$D$200, B18, Monthly_Repayments!$F$9:$F$200, "Lump Sum") + SUMIFS(Monthly_Repayments!$G$9:$G$200, Monthly_Repayments!$D$9:$D$200, B18, Monthly_Repayments!$F$9:$F$200, "Full Settlement"))</f>
        <v>0</v>
      </c>
      <c r="H18" s="12">
        <f t="shared" si="0"/>
        <v>210000</v>
      </c>
      <c r="I18" s="12">
        <f>Sheet1!F24</f>
        <v>0</v>
      </c>
      <c r="J18" s="13">
        <f>Sheet1!G24</f>
        <v>0</v>
      </c>
      <c r="K18" s="11" t="str">
        <f>Sheet1!J24</f>
        <v>Priority 4 - Flexible</v>
      </c>
      <c r="L18" s="11" t="str">
        <f t="shared" si="1"/>
        <v>Open</v>
      </c>
      <c r="M18" s="18" t="str">
        <f>Sheet1!K24</f>
        <v>Lump sum repayment</v>
      </c>
      <c r="N18" s="34">
        <f ca="1">IF(B18="", "", SUMIFS(Monthly_Repayments!$G$9:$G$200, Monthly_Repayments!$D$9:$D$200, B18, Monthly_Repayments!$F$9:$F$200, "Lump Sum", Monthly_Repayments!$C$9:$C$200, "&gt;="&amp;DATE(YEAR(TODAY()), MONTH(TODAY()), 1), Monthly_Repayments!$C$9:$C$200, "&lt;="&amp;EOMONTH(TODAY(), 0)) + SUMIFS(Monthly_Repayments!$G$9:$G$200, Monthly_Repayments!$D$9:$D$200, B18, Monthly_Repayments!$F$9:$F$200, "Full Settlement", Monthly_Repayments!$C$9:$C$200, "&gt;="&amp;DATE(YEAR(TODAY()), MONTH(TODAY()), 1), Monthly_Repayments!$C$9:$C$200, "&lt;="&amp;EOMONTH(TODAY(), 0)))</f>
        <v>0</v>
      </c>
      <c r="O18" s="36" t="str">
        <f>IF(Sheet1!H24="","",Sheet1!H24)</f>
        <v/>
      </c>
      <c r="P18" s="36" t="str">
        <f>IF(Sheet1!I24="","",Sheet1!I24)</f>
        <v/>
      </c>
    </row>
    <row r="19" spans="2:16" ht="12.75">
      <c r="B19" s="10" t="str">
        <f>Sheet1!B25</f>
        <v>Door Renovation</v>
      </c>
      <c r="C19" s="11" t="s">
        <v>105</v>
      </c>
      <c r="D19" s="11" t="s">
        <v>153</v>
      </c>
      <c r="E19" s="12">
        <f>Sheet1!D25</f>
        <v>25000</v>
      </c>
      <c r="F19" s="12">
        <f>Sheet1!E25</f>
        <v>25000</v>
      </c>
      <c r="G19" s="12">
        <f>IF(B19="", "", SUMIFS(Monthly_Repayments!$G$9:$G$200, Monthly_Repayments!$D$9:$D$200, B19, Monthly_Repayments!$F$9:$F$200, "Lump Sum") + SUMIFS(Monthly_Repayments!$G$9:$G$200, Monthly_Repayments!$D$9:$D$200, B19, Monthly_Repayments!$F$9:$F$200, "Full Settlement"))</f>
        <v>0</v>
      </c>
      <c r="H19" s="12">
        <f t="shared" si="0"/>
        <v>25000</v>
      </c>
      <c r="I19" s="12">
        <f>Sheet1!F25</f>
        <v>0</v>
      </c>
      <c r="J19" s="13">
        <f>Sheet1!G25</f>
        <v>0</v>
      </c>
      <c r="K19" s="11" t="str">
        <f>Sheet1!J25</f>
        <v>Priority 4 - Flexible</v>
      </c>
      <c r="L19" s="11" t="str">
        <f t="shared" si="1"/>
        <v>Open</v>
      </c>
      <c r="M19" s="18" t="str">
        <f>Sheet1!K25</f>
        <v>Home vendor pending</v>
      </c>
      <c r="N19" s="34">
        <f ca="1">IF(B19="", "", SUMIFS(Monthly_Repayments!$G$9:$G$200, Monthly_Repayments!$D$9:$D$200, B19, Monthly_Repayments!$F$9:$F$200, "Lump Sum", Monthly_Repayments!$C$9:$C$200, "&gt;="&amp;DATE(YEAR(TODAY()), MONTH(TODAY()), 1), Monthly_Repayments!$C$9:$C$200, "&lt;="&amp;EOMONTH(TODAY(), 0)) + SUMIFS(Monthly_Repayments!$G$9:$G$200, Monthly_Repayments!$D$9:$D$200, B19, Monthly_Repayments!$F$9:$F$200, "Full Settlement", Monthly_Repayments!$C$9:$C$200, "&gt;="&amp;DATE(YEAR(TODAY()), MONTH(TODAY()), 1), Monthly_Repayments!$C$9:$C$200, "&lt;="&amp;EOMONTH(TODAY(), 0)))</f>
        <v>0</v>
      </c>
      <c r="O19" s="36" t="str">
        <f>IF(Sheet1!H25="","",Sheet1!H25)</f>
        <v/>
      </c>
      <c r="P19" s="36" t="str">
        <f>IF(Sheet1!I25="","",Sheet1!I25)</f>
        <v/>
      </c>
    </row>
    <row r="20" spans="2:16" ht="12.75">
      <c r="B20" s="10" t="str">
        <f>Sheet1!B26</f>
        <v>Cement Material</v>
      </c>
      <c r="C20" s="11" t="s">
        <v>105</v>
      </c>
      <c r="D20" s="11" t="s">
        <v>153</v>
      </c>
      <c r="E20" s="12">
        <f>Sheet1!D26</f>
        <v>50000</v>
      </c>
      <c r="F20" s="12">
        <f>Sheet1!E26</f>
        <v>50000</v>
      </c>
      <c r="G20" s="12">
        <f>IF(B20="", "", SUMIFS(Monthly_Repayments!$G$9:$G$200, Monthly_Repayments!$D$9:$D$200, B20, Monthly_Repayments!$F$9:$F$200, "Lump Sum") + SUMIFS(Monthly_Repayments!$G$9:$G$200, Monthly_Repayments!$D$9:$D$200, B20, Monthly_Repayments!$F$9:$F$200, "Full Settlement"))</f>
        <v>0</v>
      </c>
      <c r="H20" s="12">
        <f t="shared" si="0"/>
        <v>50000</v>
      </c>
      <c r="I20" s="12">
        <f>Sheet1!F26</f>
        <v>0</v>
      </c>
      <c r="J20" s="13">
        <f>Sheet1!G26</f>
        <v>0</v>
      </c>
      <c r="K20" s="11" t="str">
        <f>Sheet1!J26</f>
        <v>Priority 4 - Flexible</v>
      </c>
      <c r="L20" s="11" t="str">
        <f t="shared" si="1"/>
        <v>Open</v>
      </c>
      <c r="M20" s="18" t="str">
        <f>Sheet1!K26</f>
        <v>Construction material</v>
      </c>
      <c r="N20" s="34">
        <f ca="1">IF(B20="", "", SUMIFS(Monthly_Repayments!$G$9:$G$200, Monthly_Repayments!$D$9:$D$200, B20, Monthly_Repayments!$F$9:$F$200, "Lump Sum", Monthly_Repayments!$C$9:$C$200, "&gt;="&amp;DATE(YEAR(TODAY()), MONTH(TODAY()), 1), Monthly_Repayments!$C$9:$C$200, "&lt;="&amp;EOMONTH(TODAY(), 0)) + SUMIFS(Monthly_Repayments!$G$9:$G$200, Monthly_Repayments!$D$9:$D$200, B20, Monthly_Repayments!$F$9:$F$200, "Full Settlement", Monthly_Repayments!$C$9:$C$200, "&gt;="&amp;DATE(YEAR(TODAY()), MONTH(TODAY()), 1), Monthly_Repayments!$C$9:$C$200, "&lt;="&amp;EOMONTH(TODAY(), 0)))</f>
        <v>0</v>
      </c>
      <c r="O20" s="36" t="str">
        <f>IF(Sheet1!H26="","",Sheet1!H26)</f>
        <v/>
      </c>
      <c r="P20" s="36" t="str">
        <f>IF(Sheet1!I26="","",Sheet1!I26)</f>
        <v/>
      </c>
    </row>
    <row r="21" spans="2:16" ht="12.75">
      <c r="B21" s="10" t="str">
        <f>Sheet1!B27</f>
        <v>Kalijan</v>
      </c>
      <c r="C21" s="11" t="s">
        <v>102</v>
      </c>
      <c r="D21" s="11" t="s">
        <v>154</v>
      </c>
      <c r="E21" s="12">
        <f>Sheet1!D27</f>
        <v>30000</v>
      </c>
      <c r="F21" s="12">
        <f>Sheet1!E27</f>
        <v>30000</v>
      </c>
      <c r="G21" s="12">
        <f>IF(B21="", "", SUMIFS(Monthly_Repayments!$G$9:$G$200, Monthly_Repayments!$D$9:$D$200, B21, Monthly_Repayments!$F$9:$F$200, "Lump Sum") + SUMIFS(Monthly_Repayments!$G$9:$G$200, Monthly_Repayments!$D$9:$D$200, B21, Monthly_Repayments!$F$9:$F$200, "Full Settlement"))</f>
        <v>0</v>
      </c>
      <c r="H21" s="12">
        <f t="shared" si="0"/>
        <v>30000</v>
      </c>
      <c r="I21" s="12">
        <f>Sheet1!F27</f>
        <v>0</v>
      </c>
      <c r="J21" s="13">
        <f>Sheet1!G27</f>
        <v>0</v>
      </c>
      <c r="K21" s="11" t="str">
        <f>Sheet1!J27</f>
        <v>Priority 4 - Flexible</v>
      </c>
      <c r="L21" s="11" t="str">
        <f t="shared" si="1"/>
        <v>Open</v>
      </c>
      <c r="M21" s="18" t="str">
        <f>Sheet1!K27</f>
        <v>Family / informal debt</v>
      </c>
      <c r="N21" s="34">
        <f ca="1">IF(B21="", "", SUMIFS(Monthly_Repayments!$G$9:$G$200, Monthly_Repayments!$D$9:$D$200, B21, Monthly_Repayments!$F$9:$F$200, "Lump Sum", Monthly_Repayments!$C$9:$C$200, "&gt;="&amp;DATE(YEAR(TODAY()), MONTH(TODAY()), 1), Monthly_Repayments!$C$9:$C$200, "&lt;="&amp;EOMONTH(TODAY(), 0)) + SUMIFS(Monthly_Repayments!$G$9:$G$200, Monthly_Repayments!$D$9:$D$200, B21, Monthly_Repayments!$F$9:$F$200, "Full Settlement", Monthly_Repayments!$C$9:$C$200, "&gt;="&amp;DATE(YEAR(TODAY()), MONTH(TODAY()), 1), Monthly_Repayments!$C$9:$C$200, "&lt;="&amp;EOMONTH(TODAY(), 0)))</f>
        <v>0</v>
      </c>
      <c r="O21" s="36" t="str">
        <f>IF(Sheet1!H27="","",Sheet1!H27)</f>
        <v/>
      </c>
      <c r="P21" s="36" t="str">
        <f>IF(Sheet1!I27="","",Sheet1!I27)</f>
        <v/>
      </c>
    </row>
    <row r="22" spans="2:16" ht="12.75">
      <c r="B22" s="10" t="str">
        <f>Sheet1!B28</f>
        <v>Khatija</v>
      </c>
      <c r="C22" s="11" t="s">
        <v>102</v>
      </c>
      <c r="D22" s="11" t="s">
        <v>154</v>
      </c>
      <c r="E22" s="12">
        <f>Sheet1!D28</f>
        <v>30000</v>
      </c>
      <c r="F22" s="12">
        <f>Sheet1!E28</f>
        <v>30000</v>
      </c>
      <c r="G22" s="12">
        <f>IF(B22="", "", SUMIFS(Monthly_Repayments!$G$9:$G$200, Monthly_Repayments!$D$9:$D$200, B22, Monthly_Repayments!$F$9:$F$200, "Lump Sum") + SUMIFS(Monthly_Repayments!$G$9:$G$200, Monthly_Repayments!$D$9:$D$200, B22, Monthly_Repayments!$F$9:$F$200, "Full Settlement"))</f>
        <v>0</v>
      </c>
      <c r="H22" s="12">
        <f t="shared" si="0"/>
        <v>30000</v>
      </c>
      <c r="I22" s="12">
        <f>Sheet1!F28</f>
        <v>0</v>
      </c>
      <c r="J22" s="13">
        <f>Sheet1!G28</f>
        <v>0</v>
      </c>
      <c r="K22" s="11" t="str">
        <f>Sheet1!J28</f>
        <v>Priority 4 - Flexible</v>
      </c>
      <c r="L22" s="11" t="str">
        <f t="shared" si="1"/>
        <v>Open</v>
      </c>
      <c r="M22" s="18" t="str">
        <f>Sheet1!K28</f>
        <v>Family / informal debt</v>
      </c>
      <c r="N22" s="34">
        <f ca="1">IF(B22="", "", SUMIFS(Monthly_Repayments!$G$9:$G$200, Monthly_Repayments!$D$9:$D$200, B22, Monthly_Repayments!$F$9:$F$200, "Lump Sum", Monthly_Repayments!$C$9:$C$200, "&gt;="&amp;DATE(YEAR(TODAY()), MONTH(TODAY()), 1), Monthly_Repayments!$C$9:$C$200, "&lt;="&amp;EOMONTH(TODAY(), 0)) + SUMIFS(Monthly_Repayments!$G$9:$G$200, Monthly_Repayments!$D$9:$D$200, B22, Monthly_Repayments!$F$9:$F$200, "Full Settlement", Monthly_Repayments!$C$9:$C$200, "&gt;="&amp;DATE(YEAR(TODAY()), MONTH(TODAY()), 1), Monthly_Repayments!$C$9:$C$200, "&lt;="&amp;EOMONTH(TODAY(), 0)))</f>
        <v>0</v>
      </c>
      <c r="O22" s="36" t="str">
        <f>IF(Sheet1!H28="","",Sheet1!H28)</f>
        <v/>
      </c>
      <c r="P22" s="36" t="str">
        <f>IF(Sheet1!I28="","",Sheet1!I28)</f>
        <v/>
      </c>
    </row>
    <row r="23" spans="2:16" ht="12.75">
      <c r="B23" s="10" t="str">
        <f>Sheet1!B29</f>
        <v>Mamu</v>
      </c>
      <c r="C23" s="11" t="s">
        <v>99</v>
      </c>
      <c r="D23" s="11" t="s">
        <v>154</v>
      </c>
      <c r="E23" s="12">
        <f>Sheet1!D29</f>
        <v>20000</v>
      </c>
      <c r="F23" s="12">
        <f>Sheet1!E29</f>
        <v>20000</v>
      </c>
      <c r="G23" s="12">
        <f>IF(B23="", "", SUMIFS(Monthly_Repayments!$G$9:$G$200, Monthly_Repayments!$D$9:$D$200, B23, Monthly_Repayments!$F$9:$F$200, "Lump Sum") + SUMIFS(Monthly_Repayments!$G$9:$G$200, Monthly_Repayments!$D$9:$D$200, B23, Monthly_Repayments!$F$9:$F$200, "Full Settlement"))</f>
        <v>0</v>
      </c>
      <c r="H23" s="12">
        <f t="shared" si="0"/>
        <v>20000</v>
      </c>
      <c r="I23" s="12">
        <f>Sheet1!F29</f>
        <v>0</v>
      </c>
      <c r="J23" s="13">
        <f>Sheet1!G29</f>
        <v>0</v>
      </c>
      <c r="K23" s="11" t="str">
        <f>Sheet1!J29</f>
        <v>Priority 4 - Flexible</v>
      </c>
      <c r="L23" s="11" t="str">
        <f t="shared" si="1"/>
        <v>Open</v>
      </c>
      <c r="M23" s="18" t="str">
        <f>Sheet1!K29</f>
        <v>Family support debt</v>
      </c>
      <c r="N23" s="34">
        <f ca="1">IF(B23="", "", SUMIFS(Monthly_Repayments!$G$9:$G$200, Monthly_Repayments!$D$9:$D$200, B23, Monthly_Repayments!$F$9:$F$200, "Lump Sum", Monthly_Repayments!$C$9:$C$200, "&gt;="&amp;DATE(YEAR(TODAY()), MONTH(TODAY()), 1), Monthly_Repayments!$C$9:$C$200, "&lt;="&amp;EOMONTH(TODAY(), 0)) + SUMIFS(Monthly_Repayments!$G$9:$G$200, Monthly_Repayments!$D$9:$D$200, B23, Monthly_Repayments!$F$9:$F$200, "Full Settlement", Monthly_Repayments!$C$9:$C$200, "&gt;="&amp;DATE(YEAR(TODAY()), MONTH(TODAY()), 1), Monthly_Repayments!$C$9:$C$200, "&lt;="&amp;EOMONTH(TODAY(), 0)))</f>
        <v>0</v>
      </c>
      <c r="O23" s="36" t="str">
        <f>IF(Sheet1!H29="","",Sheet1!H29)</f>
        <v/>
      </c>
      <c r="P23" s="36" t="str">
        <f>IF(Sheet1!I29="","",Sheet1!I29)</f>
        <v/>
      </c>
    </row>
    <row r="24" spans="2:16" ht="12.75">
      <c r="B24" s="10" t="str">
        <f>Sheet1!B30</f>
        <v>Extra Payment</v>
      </c>
      <c r="C24" s="11" t="s">
        <v>98</v>
      </c>
      <c r="D24" s="11" t="s">
        <v>229</v>
      </c>
      <c r="E24" s="12">
        <f>Sheet1!D30</f>
        <v>20000</v>
      </c>
      <c r="F24" s="12">
        <f>Sheet1!E30</f>
        <v>20000</v>
      </c>
      <c r="G24" s="12">
        <f>IF(B24="", "", SUMIFS(Monthly_Repayments!$G$9:$G$200, Monthly_Repayments!$D$9:$D$200, B24, Monthly_Repayments!$F$9:$F$200, "Lump Sum") + SUMIFS(Monthly_Repayments!$G$9:$G$200, Monthly_Repayments!$D$9:$D$200, B24, Monthly_Repayments!$F$9:$F$200, "Full Settlement"))</f>
        <v>0</v>
      </c>
      <c r="H24" s="12">
        <f t="shared" si="0"/>
        <v>20000</v>
      </c>
      <c r="I24" s="12">
        <f>Sheet1!F30</f>
        <v>0</v>
      </c>
      <c r="J24" s="13">
        <f>Sheet1!G30</f>
        <v>0</v>
      </c>
      <c r="K24" s="11" t="str">
        <f>Sheet1!J30</f>
        <v>Priority 4 - Flexible</v>
      </c>
      <c r="L24" s="11" t="str">
        <f t="shared" si="1"/>
        <v>Open</v>
      </c>
      <c r="M24" s="18" t="str">
        <f>Sheet1!K30</f>
        <v>Short-term buffer</v>
      </c>
      <c r="N24" s="34">
        <f ca="1">IF(B24="", "", SUMIFS(Monthly_Repayments!$G$9:$G$200, Monthly_Repayments!$D$9:$D$200, B24, Monthly_Repayments!$F$9:$F$200, "Lump Sum", Monthly_Repayments!$C$9:$C$200, "&gt;="&amp;DATE(YEAR(TODAY()), MONTH(TODAY()), 1), Monthly_Repayments!$C$9:$C$200, "&lt;="&amp;EOMONTH(TODAY(), 0)) + SUMIFS(Monthly_Repayments!$G$9:$G$200, Monthly_Repayments!$D$9:$D$200, B24, Monthly_Repayments!$F$9:$F$200, "Full Settlement", Monthly_Repayments!$C$9:$C$200, "&gt;="&amp;DATE(YEAR(TODAY()), MONTH(TODAY()), 1), Monthly_Repayments!$C$9:$C$200, "&lt;="&amp;EOMONTH(TODAY(), 0)))</f>
        <v>0</v>
      </c>
      <c r="O24" s="36" t="str">
        <f>IF(Sheet1!H30="","",Sheet1!H30)</f>
        <v/>
      </c>
      <c r="P24" s="36" t="str">
        <f>IF(Sheet1!I30="","",Sheet1!I30)</f>
        <v/>
      </c>
    </row>
    <row r="25" spans="2:16" ht="12.75">
      <c r="B25" s="10" t="str">
        <f>Sheet1!B31</f>
        <v>Home Expenses</v>
      </c>
      <c r="C25" s="11" t="s">
        <v>101</v>
      </c>
      <c r="D25" s="11" t="s">
        <v>229</v>
      </c>
      <c r="E25" s="12">
        <f>Sheet1!D31</f>
        <v>10000</v>
      </c>
      <c r="F25" s="12">
        <f>Sheet1!E31</f>
        <v>10000</v>
      </c>
      <c r="G25" s="12">
        <f>IF(B25="", "", SUMIFS(Monthly_Repayments!$G$9:$G$200, Monthly_Repayments!$D$9:$D$200, B25, Monthly_Repayments!$F$9:$F$200, "Lump Sum") + SUMIFS(Monthly_Repayments!$G$9:$G$200, Monthly_Repayments!$D$9:$D$200, B25, Monthly_Repayments!$F$9:$F$200, "Full Settlement"))</f>
        <v>0</v>
      </c>
      <c r="H25" s="12">
        <f t="shared" si="0"/>
        <v>10000</v>
      </c>
      <c r="I25" s="12">
        <f>Sheet1!F31</f>
        <v>10000</v>
      </c>
      <c r="J25" s="13">
        <f>Sheet1!G31</f>
        <v>0</v>
      </c>
      <c r="K25" s="11" t="str">
        <f>Sheet1!J31</f>
        <v>Priority 3 - 0% EMI</v>
      </c>
      <c r="L25" s="11" t="str">
        <f t="shared" si="1"/>
        <v>Open</v>
      </c>
      <c r="M25" s="18" t="str">
        <f>Sheet1!K31</f>
        <v>Immediate monthly expense</v>
      </c>
      <c r="N25" s="34">
        <f ca="1">IF(B25="", "", SUMIFS(Monthly_Repayments!$G$9:$G$200, Monthly_Repayments!$D$9:$D$200, B25, Monthly_Repayments!$F$9:$F$200, "Lump Sum", Monthly_Repayments!$C$9:$C$200, "&gt;="&amp;DATE(YEAR(TODAY()), MONTH(TODAY()), 1), Monthly_Repayments!$C$9:$C$200, "&lt;="&amp;EOMONTH(TODAY(), 0)) + SUMIFS(Monthly_Repayments!$G$9:$G$200, Monthly_Repayments!$D$9:$D$200, B25, Monthly_Repayments!$F$9:$F$200, "Full Settlement", Monthly_Repayments!$C$9:$C$200, "&gt;="&amp;DATE(YEAR(TODAY()), MONTH(TODAY()), 1), Monthly_Repayments!$C$9:$C$200, "&lt;="&amp;EOMONTH(TODAY(), 0)))</f>
        <v>0</v>
      </c>
      <c r="O25" s="36" t="str">
        <f>IF(Sheet1!H31="","",Sheet1!H31)</f>
        <v/>
      </c>
      <c r="P25" s="36" t="str">
        <f>IF(Sheet1!I31="","",Sheet1!I31)</f>
        <v/>
      </c>
    </row>
    <row r="26" spans="2:16" ht="12.75">
      <c r="B26" s="10"/>
      <c r="C26" s="11"/>
      <c r="D26" s="11"/>
      <c r="E26" s="12"/>
      <c r="F26" s="12"/>
      <c r="G26" s="12" t="str">
        <f>IF(B26="", "", SUMIFS(Monthly_Repayments!$G$9:$G$200, Monthly_Repayments!$D$9:$D$200, B26, Monthly_Repayments!$F$9:$F$200, "Lump Sum") + SUMIFS(Monthly_Repayments!$G$9:$G$200, Monthly_Repayments!$D$9:$D$200, B26, Monthly_Repayments!$F$9:$F$200, "Full Settlement"))</f>
        <v/>
      </c>
      <c r="H26" s="12" t="str">
        <f t="shared" si="0"/>
        <v/>
      </c>
      <c r="I26" s="12"/>
      <c r="J26" s="13"/>
      <c r="K26" s="11"/>
      <c r="L26" s="11" t="str">
        <f t="shared" si="1"/>
        <v/>
      </c>
      <c r="M26" s="18"/>
      <c r="N26" s="34" t="str">
        <f ca="1">IF(B26="", "", SUMIFS(Monthly_Repayments!$G$9:$G$200, Monthly_Repayments!$D$9:$D$200, B26, Monthly_Repayments!$F$9:$F$200, "Lump Sum", Monthly_Repayments!$C$9:$C$200, "&gt;="&amp;DATE(YEAR(TODAY()), MONTH(TODAY()), 1), Monthly_Repayments!$C$9:$C$200, "&lt;="&amp;EOMONTH(TODAY(), 0)) + SUMIFS(Monthly_Repayments!$G$9:$G$200, Monthly_Repayments!$D$9:$D$200, B26, Monthly_Repayments!$F$9:$F$200, "Full Settlement", Monthly_Repayments!$C$9:$C$200, "&gt;="&amp;DATE(YEAR(TODAY()), MONTH(TODAY()), 1), Monthly_Repayments!$C$9:$C$200, "&lt;="&amp;EOMONTH(TODAY(), 0)))</f>
        <v/>
      </c>
      <c r="O26" s="36"/>
      <c r="P26" s="36"/>
    </row>
    <row r="27" spans="2:16" ht="12.75">
      <c r="B27" s="10"/>
      <c r="C27" s="11"/>
      <c r="D27" s="11"/>
      <c r="E27" s="12"/>
      <c r="F27" s="12"/>
      <c r="G27" s="12" t="str">
        <f>IF(B27="", "", SUMIFS(Monthly_Repayments!$G$9:$G$200, Monthly_Repayments!$D$9:$D$200, B27, Monthly_Repayments!$F$9:$F$200, "Lump Sum") + SUMIFS(Monthly_Repayments!$G$9:$G$200, Monthly_Repayments!$D$9:$D$200, B27, Monthly_Repayments!$F$9:$F$200, "Full Settlement"))</f>
        <v/>
      </c>
      <c r="H27" s="12" t="str">
        <f t="shared" si="0"/>
        <v/>
      </c>
      <c r="I27" s="12"/>
      <c r="J27" s="13"/>
      <c r="K27" s="11"/>
      <c r="L27" s="11" t="str">
        <f t="shared" si="1"/>
        <v/>
      </c>
      <c r="M27" s="18"/>
      <c r="N27" s="34" t="str">
        <f ca="1">IF(B27="", "", SUMIFS(Monthly_Repayments!$G$9:$G$200, Monthly_Repayments!$D$9:$D$200, B27, Monthly_Repayments!$F$9:$F$200, "Lump Sum", Monthly_Repayments!$C$9:$C$200, "&gt;="&amp;DATE(YEAR(TODAY()), MONTH(TODAY()), 1), Monthly_Repayments!$C$9:$C$200, "&lt;="&amp;EOMONTH(TODAY(), 0)) + SUMIFS(Monthly_Repayments!$G$9:$G$200, Monthly_Repayments!$D$9:$D$200, B27, Monthly_Repayments!$F$9:$F$200, "Full Settlement", Monthly_Repayments!$C$9:$C$200, "&gt;="&amp;DATE(YEAR(TODAY()), MONTH(TODAY()), 1), Monthly_Repayments!$C$9:$C$200, "&lt;="&amp;EOMONTH(TODAY(), 0)))</f>
        <v/>
      </c>
      <c r="O27" s="36"/>
      <c r="P27" s="36"/>
    </row>
    <row r="28" spans="2:16" ht="12.75">
      <c r="B28" s="10"/>
      <c r="C28" s="11"/>
      <c r="D28" s="11"/>
      <c r="E28" s="12"/>
      <c r="F28" s="12"/>
      <c r="G28" s="12" t="str">
        <f>IF(B28="", "", SUMIFS(Monthly_Repayments!$G$9:$G$200, Monthly_Repayments!$D$9:$D$200, B28, Monthly_Repayments!$F$9:$F$200, "Lump Sum") + SUMIFS(Monthly_Repayments!$G$9:$G$200, Monthly_Repayments!$D$9:$D$200, B28, Monthly_Repayments!$F$9:$F$200, "Full Settlement"))</f>
        <v/>
      </c>
      <c r="H28" s="12" t="str">
        <f t="shared" si="0"/>
        <v/>
      </c>
      <c r="I28" s="12"/>
      <c r="J28" s="13"/>
      <c r="K28" s="11"/>
      <c r="L28" s="11" t="str">
        <f t="shared" si="1"/>
        <v/>
      </c>
      <c r="M28" s="18"/>
      <c r="N28" s="34" t="str">
        <f ca="1">IF(B28="", "", SUMIFS(Monthly_Repayments!$G$9:$G$200, Monthly_Repayments!$D$9:$D$200, B28, Monthly_Repayments!$F$9:$F$200, "Lump Sum", Monthly_Repayments!$C$9:$C$200, "&gt;="&amp;DATE(YEAR(TODAY()), MONTH(TODAY()), 1), Monthly_Repayments!$C$9:$C$200, "&lt;="&amp;EOMONTH(TODAY(), 0)) + SUMIFS(Monthly_Repayments!$G$9:$G$200, Monthly_Repayments!$D$9:$D$200, B28, Monthly_Repayments!$F$9:$F$200, "Full Settlement", Monthly_Repayments!$C$9:$C$200, "&gt;="&amp;DATE(YEAR(TODAY()), MONTH(TODAY()), 1), Monthly_Repayments!$C$9:$C$200, "&lt;="&amp;EOMONTH(TODAY(), 0)))</f>
        <v/>
      </c>
      <c r="O28" s="36"/>
      <c r="P28" s="36"/>
    </row>
    <row r="29" spans="2:16" ht="12.75">
      <c r="B29" s="10"/>
      <c r="C29" s="11"/>
      <c r="D29" s="11"/>
      <c r="E29" s="12"/>
      <c r="F29" s="12"/>
      <c r="G29" s="12" t="str">
        <f>IF(B29="", "", SUMIFS(Monthly_Repayments!$G$9:$G$200, Monthly_Repayments!$D$9:$D$200, B29, Monthly_Repayments!$F$9:$F$200, "Lump Sum") + SUMIFS(Monthly_Repayments!$G$9:$G$200, Monthly_Repayments!$D$9:$D$200, B29, Monthly_Repayments!$F$9:$F$200, "Full Settlement"))</f>
        <v/>
      </c>
      <c r="H29" s="12" t="str">
        <f t="shared" si="0"/>
        <v/>
      </c>
      <c r="I29" s="12"/>
      <c r="J29" s="13"/>
      <c r="K29" s="11"/>
      <c r="L29" s="11" t="str">
        <f t="shared" si="1"/>
        <v/>
      </c>
      <c r="M29" s="18"/>
      <c r="N29" s="34" t="str">
        <f ca="1">IF(B29="", "", SUMIFS(Monthly_Repayments!$G$9:$G$200, Monthly_Repayments!$D$9:$D$200, B29, Monthly_Repayments!$F$9:$F$200, "Lump Sum", Monthly_Repayments!$C$9:$C$200, "&gt;="&amp;DATE(YEAR(TODAY()), MONTH(TODAY()), 1), Monthly_Repayments!$C$9:$C$200, "&lt;="&amp;EOMONTH(TODAY(), 0)) + SUMIFS(Monthly_Repayments!$G$9:$G$200, Monthly_Repayments!$D$9:$D$200, B29, Monthly_Repayments!$F$9:$F$200, "Full Settlement", Monthly_Repayments!$C$9:$C$200, "&gt;="&amp;DATE(YEAR(TODAY()), MONTH(TODAY()), 1), Monthly_Repayments!$C$9:$C$200, "&lt;="&amp;EOMONTH(TODAY(), 0)))</f>
        <v/>
      </c>
      <c r="O29" s="36"/>
      <c r="P29" s="36"/>
    </row>
    <row r="30" spans="2:16" ht="12.75">
      <c r="B30" s="10"/>
      <c r="C30" s="11"/>
      <c r="D30" s="11"/>
      <c r="E30" s="12"/>
      <c r="F30" s="12"/>
      <c r="G30" s="12" t="str">
        <f>IF(B30="", "", SUMIFS(Monthly_Repayments!$G$9:$G$200, Monthly_Repayments!$D$9:$D$200, B30, Monthly_Repayments!$F$9:$F$200, "Lump Sum") + SUMIFS(Monthly_Repayments!$G$9:$G$200, Monthly_Repayments!$D$9:$D$200, B30, Monthly_Repayments!$F$9:$F$200, "Full Settlement"))</f>
        <v/>
      </c>
      <c r="H30" s="12" t="str">
        <f t="shared" si="0"/>
        <v/>
      </c>
      <c r="I30" s="12"/>
      <c r="J30" s="13"/>
      <c r="K30" s="11"/>
      <c r="L30" s="11" t="str">
        <f t="shared" si="1"/>
        <v/>
      </c>
      <c r="M30" s="18"/>
      <c r="N30" s="34" t="str">
        <f ca="1">IF(B30="", "", SUMIFS(Monthly_Repayments!$G$9:$G$200, Monthly_Repayments!$D$9:$D$200, B30, Monthly_Repayments!$F$9:$F$200, "Lump Sum", Monthly_Repayments!$C$9:$C$200, "&gt;="&amp;DATE(YEAR(TODAY()), MONTH(TODAY()), 1), Monthly_Repayments!$C$9:$C$200, "&lt;="&amp;EOMONTH(TODAY(), 0)) + SUMIFS(Monthly_Repayments!$G$9:$G$200, Monthly_Repayments!$D$9:$D$200, B30, Monthly_Repayments!$F$9:$F$200, "Full Settlement", Monthly_Repayments!$C$9:$C$200, "&gt;="&amp;DATE(YEAR(TODAY()), MONTH(TODAY()), 1), Monthly_Repayments!$C$9:$C$200, "&lt;="&amp;EOMONTH(TODAY(), 0)))</f>
        <v/>
      </c>
      <c r="O30" s="36"/>
      <c r="P30" s="36"/>
    </row>
    <row r="31" spans="2:16" ht="12.75">
      <c r="B31" s="10"/>
      <c r="C31" s="11"/>
      <c r="D31" s="11"/>
      <c r="E31" s="12"/>
      <c r="F31" s="12"/>
      <c r="G31" s="12" t="str">
        <f>IF(B31="", "", SUMIFS(Monthly_Repayments!$G$9:$G$200, Monthly_Repayments!$D$9:$D$200, B31, Monthly_Repayments!$F$9:$F$200, "Lump Sum") + SUMIFS(Monthly_Repayments!$G$9:$G$200, Monthly_Repayments!$D$9:$D$200, B31, Monthly_Repayments!$F$9:$F$200, "Full Settlement"))</f>
        <v/>
      </c>
      <c r="H31" s="12" t="str">
        <f t="shared" si="0"/>
        <v/>
      </c>
      <c r="I31" s="12"/>
      <c r="J31" s="13"/>
      <c r="K31" s="11"/>
      <c r="L31" s="11" t="str">
        <f t="shared" si="1"/>
        <v/>
      </c>
      <c r="M31" s="18"/>
      <c r="N31" s="34" t="str">
        <f ca="1">IF(B31="", "", SUMIFS(Monthly_Repayments!$G$9:$G$200, Monthly_Repayments!$D$9:$D$200, B31, Monthly_Repayments!$F$9:$F$200, "Lump Sum", Monthly_Repayments!$C$9:$C$200, "&gt;="&amp;DATE(YEAR(TODAY()), MONTH(TODAY()), 1), Monthly_Repayments!$C$9:$C$200, "&lt;="&amp;EOMONTH(TODAY(), 0)) + SUMIFS(Monthly_Repayments!$G$9:$G$200, Monthly_Repayments!$D$9:$D$200, B31, Monthly_Repayments!$F$9:$F$200, "Full Settlement", Monthly_Repayments!$C$9:$C$200, "&gt;="&amp;DATE(YEAR(TODAY()), MONTH(TODAY()), 1), Monthly_Repayments!$C$9:$C$200, "&lt;="&amp;EOMONTH(TODAY(), 0)))</f>
        <v/>
      </c>
      <c r="O31" s="36"/>
      <c r="P31" s="36"/>
    </row>
    <row r="32" spans="2:16" ht="12.75">
      <c r="B32" s="10"/>
      <c r="C32" s="11"/>
      <c r="D32" s="11"/>
      <c r="E32" s="12"/>
      <c r="F32" s="12"/>
      <c r="G32" s="12" t="str">
        <f>IF(B32="", "", SUMIFS(Monthly_Repayments!$G$9:$G$200, Monthly_Repayments!$D$9:$D$200, B32, Monthly_Repayments!$F$9:$F$200, "Lump Sum") + SUMIFS(Monthly_Repayments!$G$9:$G$200, Monthly_Repayments!$D$9:$D$200, B32, Monthly_Repayments!$F$9:$F$200, "Full Settlement"))</f>
        <v/>
      </c>
      <c r="H32" s="12" t="str">
        <f t="shared" si="0"/>
        <v/>
      </c>
      <c r="I32" s="12"/>
      <c r="J32" s="13"/>
      <c r="K32" s="11"/>
      <c r="L32" s="11" t="str">
        <f t="shared" si="1"/>
        <v/>
      </c>
      <c r="M32" s="18"/>
      <c r="N32" s="34" t="str">
        <f ca="1">IF(B32="", "", SUMIFS(Monthly_Repayments!$G$9:$G$200, Monthly_Repayments!$D$9:$D$200, B32, Monthly_Repayments!$F$9:$F$200, "Lump Sum", Monthly_Repayments!$C$9:$C$200, "&gt;="&amp;DATE(YEAR(TODAY()), MONTH(TODAY()), 1), Monthly_Repayments!$C$9:$C$200, "&lt;="&amp;EOMONTH(TODAY(), 0)) + SUMIFS(Monthly_Repayments!$G$9:$G$200, Monthly_Repayments!$D$9:$D$200, B32, Monthly_Repayments!$F$9:$F$200, "Full Settlement", Monthly_Repayments!$C$9:$C$200, "&gt;="&amp;DATE(YEAR(TODAY()), MONTH(TODAY()), 1), Monthly_Repayments!$C$9:$C$200, "&lt;="&amp;EOMONTH(TODAY(), 0)))</f>
        <v/>
      </c>
      <c r="O32" s="36"/>
      <c r="P32" s="36"/>
    </row>
    <row r="33" spans="2:16" ht="12.75">
      <c r="B33" s="10"/>
      <c r="C33" s="11"/>
      <c r="D33" s="11"/>
      <c r="E33" s="12"/>
      <c r="F33" s="12"/>
      <c r="G33" s="12" t="str">
        <f>IF(B33="", "", SUMIFS(Monthly_Repayments!$G$9:$G$200, Monthly_Repayments!$D$9:$D$200, B33, Monthly_Repayments!$F$9:$F$200, "Lump Sum") + SUMIFS(Monthly_Repayments!$G$9:$G$200, Monthly_Repayments!$D$9:$D$200, B33, Monthly_Repayments!$F$9:$F$200, "Full Settlement"))</f>
        <v/>
      </c>
      <c r="H33" s="12" t="str">
        <f t="shared" si="0"/>
        <v/>
      </c>
      <c r="I33" s="12"/>
      <c r="J33" s="13"/>
      <c r="K33" s="11"/>
      <c r="L33" s="11" t="str">
        <f t="shared" si="1"/>
        <v/>
      </c>
      <c r="M33" s="18"/>
      <c r="N33" s="34" t="str">
        <f ca="1">IF(B33="", "", SUMIFS(Monthly_Repayments!$G$9:$G$200, Monthly_Repayments!$D$9:$D$200, B33, Monthly_Repayments!$F$9:$F$200, "Lump Sum", Monthly_Repayments!$C$9:$C$200, "&gt;="&amp;DATE(YEAR(TODAY()), MONTH(TODAY()), 1), Monthly_Repayments!$C$9:$C$200, "&lt;="&amp;EOMONTH(TODAY(), 0)) + SUMIFS(Monthly_Repayments!$G$9:$G$200, Monthly_Repayments!$D$9:$D$200, B33, Monthly_Repayments!$F$9:$F$200, "Full Settlement", Monthly_Repayments!$C$9:$C$200, "&gt;="&amp;DATE(YEAR(TODAY()), MONTH(TODAY()), 1), Monthly_Repayments!$C$9:$C$200, "&lt;="&amp;EOMONTH(TODAY(), 0)))</f>
        <v/>
      </c>
      <c r="O33" s="36"/>
      <c r="P33" s="36"/>
    </row>
    <row r="34" spans="2:16" ht="12.75">
      <c r="B34" s="10"/>
      <c r="C34" s="11"/>
      <c r="D34" s="11"/>
      <c r="E34" s="12"/>
      <c r="F34" s="12"/>
      <c r="G34" s="12" t="str">
        <f>IF(B34="", "", SUMIFS(Monthly_Repayments!$G$9:$G$200, Monthly_Repayments!$D$9:$D$200, B34, Monthly_Repayments!$F$9:$F$200, "Lump Sum") + SUMIFS(Monthly_Repayments!$G$9:$G$200, Monthly_Repayments!$D$9:$D$200, B34, Monthly_Repayments!$F$9:$F$200, "Full Settlement"))</f>
        <v/>
      </c>
      <c r="H34" s="12" t="str">
        <f t="shared" si="0"/>
        <v/>
      </c>
      <c r="I34" s="12"/>
      <c r="J34" s="13"/>
      <c r="K34" s="11"/>
      <c r="L34" s="11" t="str">
        <f t="shared" si="1"/>
        <v/>
      </c>
      <c r="M34" s="18"/>
      <c r="N34" s="34" t="str">
        <f ca="1">IF(B34="", "", SUMIFS(Monthly_Repayments!$G$9:$G$200, Monthly_Repayments!$D$9:$D$200, B34, Monthly_Repayments!$F$9:$F$200, "Lump Sum", Monthly_Repayments!$C$9:$C$200, "&gt;="&amp;DATE(YEAR(TODAY()), MONTH(TODAY()), 1), Monthly_Repayments!$C$9:$C$200, "&lt;="&amp;EOMONTH(TODAY(), 0)) + SUMIFS(Monthly_Repayments!$G$9:$G$200, Monthly_Repayments!$D$9:$D$200, B34, Monthly_Repayments!$F$9:$F$200, "Full Settlement", Monthly_Repayments!$C$9:$C$200, "&gt;="&amp;DATE(YEAR(TODAY()), MONTH(TODAY()), 1), Monthly_Repayments!$C$9:$C$200, "&lt;="&amp;EOMONTH(TODAY(), 0)))</f>
        <v/>
      </c>
      <c r="O34" s="36"/>
      <c r="P34" s="36"/>
    </row>
    <row r="35" spans="2:16" ht="12.75">
      <c r="B35" s="10"/>
      <c r="C35" s="11"/>
      <c r="D35" s="11"/>
      <c r="E35" s="12"/>
      <c r="F35" s="12"/>
      <c r="G35" s="12" t="str">
        <f>IF(B35="", "", SUMIFS(Monthly_Repayments!$G$9:$G$200, Monthly_Repayments!$D$9:$D$200, B35, Monthly_Repayments!$F$9:$F$200, "Lump Sum") + SUMIFS(Monthly_Repayments!$G$9:$G$200, Monthly_Repayments!$D$9:$D$200, B35, Monthly_Repayments!$F$9:$F$200, "Full Settlement"))</f>
        <v/>
      </c>
      <c r="H35" s="12" t="str">
        <f t="shared" si="0"/>
        <v/>
      </c>
      <c r="I35" s="12"/>
      <c r="J35" s="13"/>
      <c r="K35" s="11"/>
      <c r="L35" s="11" t="str">
        <f t="shared" si="1"/>
        <v/>
      </c>
      <c r="M35" s="18"/>
      <c r="N35" s="34" t="str">
        <f ca="1">IF(B35="", "", SUMIFS(Monthly_Repayments!$G$9:$G$200, Monthly_Repayments!$D$9:$D$200, B35, Monthly_Repayments!$F$9:$F$200, "Lump Sum", Monthly_Repayments!$C$9:$C$200, "&gt;="&amp;DATE(YEAR(TODAY()), MONTH(TODAY()), 1), Monthly_Repayments!$C$9:$C$200, "&lt;="&amp;EOMONTH(TODAY(), 0)) + SUMIFS(Monthly_Repayments!$G$9:$G$200, Monthly_Repayments!$D$9:$D$200, B35, Monthly_Repayments!$F$9:$F$200, "Full Settlement", Monthly_Repayments!$C$9:$C$200, "&gt;="&amp;DATE(YEAR(TODAY()), MONTH(TODAY()), 1), Monthly_Repayments!$C$9:$C$200, "&lt;="&amp;EOMONTH(TODAY(), 0)))</f>
        <v/>
      </c>
      <c r="O35" s="36"/>
      <c r="P35" s="36"/>
    </row>
    <row r="36" spans="2:16" ht="12.75">
      <c r="B36" s="10"/>
      <c r="C36" s="11"/>
      <c r="D36" s="11"/>
      <c r="E36" s="12"/>
      <c r="F36" s="12"/>
      <c r="G36" s="12" t="str">
        <f>IF(B36="", "", SUMIFS(Monthly_Repayments!$G$9:$G$200, Monthly_Repayments!$D$9:$D$200, B36, Monthly_Repayments!$F$9:$F$200, "Lump Sum") + SUMIFS(Monthly_Repayments!$G$9:$G$200, Monthly_Repayments!$D$9:$D$200, B36, Monthly_Repayments!$F$9:$F$200, "Full Settlement"))</f>
        <v/>
      </c>
      <c r="H36" s="12" t="str">
        <f t="shared" si="0"/>
        <v/>
      </c>
      <c r="I36" s="12"/>
      <c r="J36" s="13"/>
      <c r="K36" s="11"/>
      <c r="L36" s="11" t="str">
        <f t="shared" si="1"/>
        <v/>
      </c>
      <c r="M36" s="18"/>
      <c r="N36" s="34" t="str">
        <f ca="1">IF(B36="", "", SUMIFS(Monthly_Repayments!$G$9:$G$200, Monthly_Repayments!$D$9:$D$200, B36, Monthly_Repayments!$F$9:$F$200, "Lump Sum", Monthly_Repayments!$C$9:$C$200, "&gt;="&amp;DATE(YEAR(TODAY()), MONTH(TODAY()), 1), Monthly_Repayments!$C$9:$C$200, "&lt;="&amp;EOMONTH(TODAY(), 0)) + SUMIFS(Monthly_Repayments!$G$9:$G$200, Monthly_Repayments!$D$9:$D$200, B36, Monthly_Repayments!$F$9:$F$200, "Full Settlement", Monthly_Repayments!$C$9:$C$200, "&gt;="&amp;DATE(YEAR(TODAY()), MONTH(TODAY()), 1), Monthly_Repayments!$C$9:$C$200, "&lt;="&amp;EOMONTH(TODAY(), 0)))</f>
        <v/>
      </c>
      <c r="O36" s="36"/>
      <c r="P36" s="36"/>
    </row>
    <row r="37" spans="2:16" ht="12.75">
      <c r="B37" s="10"/>
      <c r="C37" s="11"/>
      <c r="D37" s="11"/>
      <c r="E37" s="12"/>
      <c r="F37" s="12"/>
      <c r="G37" s="12" t="str">
        <f>IF(B37="", "", SUMIFS(Monthly_Repayments!$G$9:$G$200, Monthly_Repayments!$D$9:$D$200, B37, Monthly_Repayments!$F$9:$F$200, "Lump Sum") + SUMIFS(Monthly_Repayments!$G$9:$G$200, Monthly_Repayments!$D$9:$D$200, B37, Monthly_Repayments!$F$9:$F$200, "Full Settlement"))</f>
        <v/>
      </c>
      <c r="H37" s="12" t="str">
        <f t="shared" si="0"/>
        <v/>
      </c>
      <c r="I37" s="12"/>
      <c r="J37" s="13"/>
      <c r="K37" s="11"/>
      <c r="L37" s="11" t="str">
        <f t="shared" si="1"/>
        <v/>
      </c>
      <c r="M37" s="18"/>
      <c r="N37" s="34" t="str">
        <f ca="1">IF(B37="", "", SUMIFS(Monthly_Repayments!$G$9:$G$200, Monthly_Repayments!$D$9:$D$200, B37, Monthly_Repayments!$F$9:$F$200, "Lump Sum", Monthly_Repayments!$C$9:$C$200, "&gt;="&amp;DATE(YEAR(TODAY()), MONTH(TODAY()), 1), Monthly_Repayments!$C$9:$C$200, "&lt;="&amp;EOMONTH(TODAY(), 0)) + SUMIFS(Monthly_Repayments!$G$9:$G$200, Monthly_Repayments!$D$9:$D$200, B37, Monthly_Repayments!$F$9:$F$200, "Full Settlement", Monthly_Repayments!$C$9:$C$200, "&gt;="&amp;DATE(YEAR(TODAY()), MONTH(TODAY()), 1), Monthly_Repayments!$C$9:$C$200, "&lt;="&amp;EOMONTH(TODAY(), 0)))</f>
        <v/>
      </c>
      <c r="O37" s="36"/>
      <c r="P37" s="36"/>
    </row>
    <row r="38" spans="2:16" ht="12.75">
      <c r="B38" s="10"/>
      <c r="C38" s="11"/>
      <c r="D38" s="11"/>
      <c r="E38" s="12"/>
      <c r="F38" s="12"/>
      <c r="G38" s="12" t="str">
        <f>IF(B38="", "", SUMIFS(Monthly_Repayments!$G$9:$G$200, Monthly_Repayments!$D$9:$D$200, B38, Monthly_Repayments!$F$9:$F$200, "Lump Sum") + SUMIFS(Monthly_Repayments!$G$9:$G$200, Monthly_Repayments!$D$9:$D$200, B38, Monthly_Repayments!$F$9:$F$200, "Full Settlement"))</f>
        <v/>
      </c>
      <c r="H38" s="12" t="str">
        <f t="shared" si="0"/>
        <v/>
      </c>
      <c r="I38" s="12"/>
      <c r="J38" s="13"/>
      <c r="K38" s="11"/>
      <c r="L38" s="11" t="str">
        <f t="shared" si="1"/>
        <v/>
      </c>
      <c r="M38" s="18"/>
      <c r="N38" s="34" t="str">
        <f ca="1">IF(B38="", "", SUMIFS(Monthly_Repayments!$G$9:$G$200, Monthly_Repayments!$D$9:$D$200, B38, Monthly_Repayments!$F$9:$F$200, "Lump Sum", Monthly_Repayments!$C$9:$C$200, "&gt;="&amp;DATE(YEAR(TODAY()), MONTH(TODAY()), 1), Monthly_Repayments!$C$9:$C$200, "&lt;="&amp;EOMONTH(TODAY(), 0)) + SUMIFS(Monthly_Repayments!$G$9:$G$200, Monthly_Repayments!$D$9:$D$200, B38, Monthly_Repayments!$F$9:$F$200, "Full Settlement", Monthly_Repayments!$C$9:$C$200, "&gt;="&amp;DATE(YEAR(TODAY()), MONTH(TODAY()), 1), Monthly_Repayments!$C$9:$C$200, "&lt;="&amp;EOMONTH(TODAY(), 0)))</f>
        <v/>
      </c>
      <c r="O38" s="36"/>
      <c r="P38" s="36"/>
    </row>
    <row r="39" spans="2:16" ht="12.75">
      <c r="B39" s="10"/>
      <c r="C39" s="11"/>
      <c r="D39" s="11"/>
      <c r="E39" s="12"/>
      <c r="F39" s="12"/>
      <c r="G39" s="12" t="str">
        <f>IF(B39="", "", SUMIFS(Monthly_Repayments!$G$9:$G$200, Monthly_Repayments!$D$9:$D$200, B39, Monthly_Repayments!$F$9:$F$200, "Lump Sum") + SUMIFS(Monthly_Repayments!$G$9:$G$200, Monthly_Repayments!$D$9:$D$200, B39, Monthly_Repayments!$F$9:$F$200, "Full Settlement"))</f>
        <v/>
      </c>
      <c r="H39" s="12" t="str">
        <f t="shared" si="0"/>
        <v/>
      </c>
      <c r="I39" s="12"/>
      <c r="J39" s="13"/>
      <c r="K39" s="11"/>
      <c r="L39" s="11" t="str">
        <f t="shared" si="1"/>
        <v/>
      </c>
      <c r="M39" s="18"/>
      <c r="N39" s="34" t="str">
        <f ca="1">IF(B39="", "", SUMIFS(Monthly_Repayments!$G$9:$G$200, Monthly_Repayments!$D$9:$D$200, B39, Monthly_Repayments!$F$9:$F$200, "Lump Sum", Monthly_Repayments!$C$9:$C$200, "&gt;="&amp;DATE(YEAR(TODAY()), MONTH(TODAY()), 1), Monthly_Repayments!$C$9:$C$200, "&lt;="&amp;EOMONTH(TODAY(), 0)) + SUMIFS(Monthly_Repayments!$G$9:$G$200, Monthly_Repayments!$D$9:$D$200, B39, Monthly_Repayments!$F$9:$F$200, "Full Settlement", Monthly_Repayments!$C$9:$C$200, "&gt;="&amp;DATE(YEAR(TODAY()), MONTH(TODAY()), 1), Monthly_Repayments!$C$9:$C$200, "&lt;="&amp;EOMONTH(TODAY(), 0)))</f>
        <v/>
      </c>
      <c r="O39" s="36"/>
      <c r="P39" s="36"/>
    </row>
    <row r="40" spans="2:16" ht="12.75">
      <c r="B40" s="10"/>
      <c r="C40" s="11"/>
      <c r="D40" s="11"/>
      <c r="E40" s="12"/>
      <c r="F40" s="12"/>
      <c r="G40" s="12" t="str">
        <f>IF(B40="", "", SUMIFS(Monthly_Repayments!$G$9:$G$200, Monthly_Repayments!$D$9:$D$200, B40, Monthly_Repayments!$F$9:$F$200, "Lump Sum") + SUMIFS(Monthly_Repayments!$G$9:$G$200, Monthly_Repayments!$D$9:$D$200, B40, Monthly_Repayments!$F$9:$F$200, "Full Settlement"))</f>
        <v/>
      </c>
      <c r="H40" s="12" t="str">
        <f t="shared" si="0"/>
        <v/>
      </c>
      <c r="I40" s="12"/>
      <c r="J40" s="13"/>
      <c r="K40" s="11"/>
      <c r="L40" s="11" t="str">
        <f t="shared" si="1"/>
        <v/>
      </c>
      <c r="M40" s="18"/>
      <c r="N40" s="34" t="str">
        <f ca="1">IF(B40="", "", SUMIFS(Monthly_Repayments!$G$9:$G$200, Monthly_Repayments!$D$9:$D$200, B40, Monthly_Repayments!$F$9:$F$200, "Lump Sum", Monthly_Repayments!$C$9:$C$200, "&gt;="&amp;DATE(YEAR(TODAY()), MONTH(TODAY()), 1), Monthly_Repayments!$C$9:$C$200, "&lt;="&amp;EOMONTH(TODAY(), 0)) + SUMIFS(Monthly_Repayments!$G$9:$G$200, Monthly_Repayments!$D$9:$D$200, B40, Monthly_Repayments!$F$9:$F$200, "Full Settlement", Monthly_Repayments!$C$9:$C$200, "&gt;="&amp;DATE(YEAR(TODAY()), MONTH(TODAY()), 1), Monthly_Repayments!$C$9:$C$200, "&lt;="&amp;EOMONTH(TODAY(), 0)))</f>
        <v/>
      </c>
      <c r="O40" s="36"/>
      <c r="P40" s="36"/>
    </row>
    <row r="41" spans="2:16" ht="12.75">
      <c r="B41" s="10"/>
      <c r="C41" s="11"/>
      <c r="D41" s="11"/>
      <c r="E41" s="12"/>
      <c r="F41" s="12"/>
      <c r="G41" s="12" t="str">
        <f>IF(B41="", "", SUMIFS(Monthly_Repayments!$G$9:$G$200, Monthly_Repayments!$D$9:$D$200, B41, Monthly_Repayments!$F$9:$F$200, "Lump Sum") + SUMIFS(Monthly_Repayments!$G$9:$G$200, Monthly_Repayments!$D$9:$D$200, B41, Monthly_Repayments!$F$9:$F$200, "Full Settlement"))</f>
        <v/>
      </c>
      <c r="H41" s="12" t="str">
        <f t="shared" si="0"/>
        <v/>
      </c>
      <c r="I41" s="12"/>
      <c r="J41" s="13"/>
      <c r="K41" s="11"/>
      <c r="L41" s="11" t="str">
        <f t="shared" si="1"/>
        <v/>
      </c>
      <c r="M41" s="18"/>
      <c r="N41" s="34" t="str">
        <f ca="1">IF(B41="", "", SUMIFS(Monthly_Repayments!$G$9:$G$200, Monthly_Repayments!$D$9:$D$200, B41, Monthly_Repayments!$F$9:$F$200, "Lump Sum", Monthly_Repayments!$C$9:$C$200, "&gt;="&amp;DATE(YEAR(TODAY()), MONTH(TODAY()), 1), Monthly_Repayments!$C$9:$C$200, "&lt;="&amp;EOMONTH(TODAY(), 0)) + SUMIFS(Monthly_Repayments!$G$9:$G$200, Monthly_Repayments!$D$9:$D$200, B41, Monthly_Repayments!$F$9:$F$200, "Full Settlement", Monthly_Repayments!$C$9:$C$200, "&gt;="&amp;DATE(YEAR(TODAY()), MONTH(TODAY()), 1), Monthly_Repayments!$C$9:$C$200, "&lt;="&amp;EOMONTH(TODAY(), 0)))</f>
        <v/>
      </c>
      <c r="O41" s="36"/>
      <c r="P41" s="36"/>
    </row>
    <row r="42" spans="2:16" ht="12.75">
      <c r="B42" s="10"/>
      <c r="C42" s="11"/>
      <c r="D42" s="11"/>
      <c r="E42" s="12"/>
      <c r="F42" s="12"/>
      <c r="G42" s="12" t="str">
        <f>IF(B42="", "", SUMIFS(Monthly_Repayments!$G$9:$G$200, Monthly_Repayments!$D$9:$D$200, B42, Monthly_Repayments!$F$9:$F$200, "Lump Sum") + SUMIFS(Monthly_Repayments!$G$9:$G$200, Monthly_Repayments!$D$9:$D$200, B42, Monthly_Repayments!$F$9:$F$200, "Full Settlement"))</f>
        <v/>
      </c>
      <c r="H42" s="12" t="str">
        <f t="shared" si="0"/>
        <v/>
      </c>
      <c r="I42" s="12"/>
      <c r="J42" s="13"/>
      <c r="K42" s="11"/>
      <c r="L42" s="11" t="str">
        <f t="shared" si="1"/>
        <v/>
      </c>
      <c r="M42" s="18"/>
      <c r="N42" s="34" t="str">
        <f ca="1">IF(B42="", "", SUMIFS(Monthly_Repayments!$G$9:$G$200, Monthly_Repayments!$D$9:$D$200, B42, Monthly_Repayments!$F$9:$F$200, "Lump Sum", Monthly_Repayments!$C$9:$C$200, "&gt;="&amp;DATE(YEAR(TODAY()), MONTH(TODAY()), 1), Monthly_Repayments!$C$9:$C$200, "&lt;="&amp;EOMONTH(TODAY(), 0)) + SUMIFS(Monthly_Repayments!$G$9:$G$200, Monthly_Repayments!$D$9:$D$200, B42, Monthly_Repayments!$F$9:$F$200, "Full Settlement", Monthly_Repayments!$C$9:$C$200, "&gt;="&amp;DATE(YEAR(TODAY()), MONTH(TODAY()), 1), Monthly_Repayments!$C$9:$C$200, "&lt;="&amp;EOMONTH(TODAY(), 0)))</f>
        <v/>
      </c>
      <c r="O42" s="36"/>
      <c r="P42" s="36"/>
    </row>
    <row r="43" spans="2:16" ht="12.75">
      <c r="B43" s="10"/>
      <c r="C43" s="11"/>
      <c r="D43" s="11"/>
      <c r="E43" s="12"/>
      <c r="F43" s="12"/>
      <c r="G43" s="12" t="str">
        <f>IF(B43="", "", SUMIFS(Monthly_Repayments!$G$9:$G$200, Monthly_Repayments!$D$9:$D$200, B43, Monthly_Repayments!$F$9:$F$200, "Lump Sum") + SUMIFS(Monthly_Repayments!$G$9:$G$200, Monthly_Repayments!$D$9:$D$200, B43, Monthly_Repayments!$F$9:$F$200, "Full Settlement"))</f>
        <v/>
      </c>
      <c r="H43" s="12" t="str">
        <f t="shared" si="0"/>
        <v/>
      </c>
      <c r="I43" s="12"/>
      <c r="J43" s="13"/>
      <c r="K43" s="11"/>
      <c r="L43" s="11" t="str">
        <f t="shared" si="1"/>
        <v/>
      </c>
      <c r="M43" s="18"/>
      <c r="N43" s="34" t="str">
        <f ca="1">IF(B43="", "", SUMIFS(Monthly_Repayments!$G$9:$G$200, Monthly_Repayments!$D$9:$D$200, B43, Monthly_Repayments!$F$9:$F$200, "Lump Sum", Monthly_Repayments!$C$9:$C$200, "&gt;="&amp;DATE(YEAR(TODAY()), MONTH(TODAY()), 1), Monthly_Repayments!$C$9:$C$200, "&lt;="&amp;EOMONTH(TODAY(), 0)) + SUMIFS(Monthly_Repayments!$G$9:$G$200, Monthly_Repayments!$D$9:$D$200, B43, Monthly_Repayments!$F$9:$F$200, "Full Settlement", Monthly_Repayments!$C$9:$C$200, "&gt;="&amp;DATE(YEAR(TODAY()), MONTH(TODAY()), 1), Monthly_Repayments!$C$9:$C$200, "&lt;="&amp;EOMONTH(TODAY(), 0)))</f>
        <v/>
      </c>
      <c r="O43" s="36"/>
      <c r="P43" s="36"/>
    </row>
    <row r="44" spans="2:16" ht="12.75">
      <c r="B44" s="10"/>
      <c r="C44" s="11"/>
      <c r="D44" s="11"/>
      <c r="E44" s="12"/>
      <c r="F44" s="12"/>
      <c r="G44" s="12" t="str">
        <f>IF(B44="", "", SUMIFS(Monthly_Repayments!$G$9:$G$200, Monthly_Repayments!$D$9:$D$200, B44, Monthly_Repayments!$F$9:$F$200, "Lump Sum") + SUMIFS(Monthly_Repayments!$G$9:$G$200, Monthly_Repayments!$D$9:$D$200, B44, Monthly_Repayments!$F$9:$F$200, "Full Settlement"))</f>
        <v/>
      </c>
      <c r="H44" s="12" t="str">
        <f t="shared" si="0"/>
        <v/>
      </c>
      <c r="I44" s="12"/>
      <c r="J44" s="13"/>
      <c r="K44" s="11"/>
      <c r="L44" s="11" t="str">
        <f t="shared" si="1"/>
        <v/>
      </c>
      <c r="M44" s="18"/>
      <c r="N44" s="34" t="str">
        <f ca="1">IF(B44="", "", SUMIFS(Monthly_Repayments!$G$9:$G$200, Monthly_Repayments!$D$9:$D$200, B44, Monthly_Repayments!$F$9:$F$200, "Lump Sum", Monthly_Repayments!$C$9:$C$200, "&gt;="&amp;DATE(YEAR(TODAY()), MONTH(TODAY()), 1), Monthly_Repayments!$C$9:$C$200, "&lt;="&amp;EOMONTH(TODAY(), 0)) + SUMIFS(Monthly_Repayments!$G$9:$G$200, Monthly_Repayments!$D$9:$D$200, B44, Monthly_Repayments!$F$9:$F$200, "Full Settlement", Monthly_Repayments!$C$9:$C$200, "&gt;="&amp;DATE(YEAR(TODAY()), MONTH(TODAY()), 1), Monthly_Repayments!$C$9:$C$200, "&lt;="&amp;EOMONTH(TODAY(), 0)))</f>
        <v/>
      </c>
      <c r="O44" s="36"/>
      <c r="P44" s="36"/>
    </row>
    <row r="45" spans="2:16" ht="12.75">
      <c r="B45" s="10"/>
      <c r="C45" s="11"/>
      <c r="D45" s="11"/>
      <c r="E45" s="12"/>
      <c r="F45" s="12"/>
      <c r="G45" s="12" t="str">
        <f>IF(B45="", "", SUMIFS(Monthly_Repayments!$G$9:$G$200, Monthly_Repayments!$D$9:$D$200, B45, Monthly_Repayments!$F$9:$F$200, "Lump Sum") + SUMIFS(Monthly_Repayments!$G$9:$G$200, Monthly_Repayments!$D$9:$D$200, B45, Monthly_Repayments!$F$9:$F$200, "Full Settlement"))</f>
        <v/>
      </c>
      <c r="H45" s="12" t="str">
        <f t="shared" si="0"/>
        <v/>
      </c>
      <c r="I45" s="12"/>
      <c r="J45" s="13"/>
      <c r="K45" s="11"/>
      <c r="L45" s="11" t="str">
        <f t="shared" si="1"/>
        <v/>
      </c>
      <c r="M45" s="18"/>
      <c r="N45" s="34" t="str">
        <f ca="1">IF(B45="", "", SUMIFS(Monthly_Repayments!$G$9:$G$200, Monthly_Repayments!$D$9:$D$200, B45, Monthly_Repayments!$F$9:$F$200, "Lump Sum", Monthly_Repayments!$C$9:$C$200, "&gt;="&amp;DATE(YEAR(TODAY()), MONTH(TODAY()), 1), Monthly_Repayments!$C$9:$C$200, "&lt;="&amp;EOMONTH(TODAY(), 0)) + SUMIFS(Monthly_Repayments!$G$9:$G$200, Monthly_Repayments!$D$9:$D$200, B45, Monthly_Repayments!$F$9:$F$200, "Full Settlement", Monthly_Repayments!$C$9:$C$200, "&gt;="&amp;DATE(YEAR(TODAY()), MONTH(TODAY()), 1), Monthly_Repayments!$C$9:$C$200, "&lt;="&amp;EOMONTH(TODAY(), 0)))</f>
        <v/>
      </c>
      <c r="O45" s="36"/>
      <c r="P45" s="36"/>
    </row>
    <row r="46" spans="2:16" ht="12.75">
      <c r="B46" s="10"/>
      <c r="C46" s="11"/>
      <c r="D46" s="11"/>
      <c r="E46" s="12"/>
      <c r="F46" s="12"/>
      <c r="G46" s="12" t="str">
        <f>IF(B46="", "", SUMIFS(Monthly_Repayments!$G$9:$G$200, Monthly_Repayments!$D$9:$D$200, B46, Monthly_Repayments!$F$9:$F$200, "Lump Sum") + SUMIFS(Monthly_Repayments!$G$9:$G$200, Monthly_Repayments!$D$9:$D$200, B46, Monthly_Repayments!$F$9:$F$200, "Full Settlement"))</f>
        <v/>
      </c>
      <c r="H46" s="12" t="str">
        <f t="shared" si="0"/>
        <v/>
      </c>
      <c r="I46" s="12"/>
      <c r="J46" s="13"/>
      <c r="K46" s="11"/>
      <c r="L46" s="11" t="str">
        <f t="shared" si="1"/>
        <v/>
      </c>
      <c r="M46" s="18"/>
      <c r="N46" s="34" t="str">
        <f ca="1">IF(B46="", "", SUMIFS(Monthly_Repayments!$G$9:$G$200, Monthly_Repayments!$D$9:$D$200, B46, Monthly_Repayments!$F$9:$F$200, "Lump Sum", Monthly_Repayments!$C$9:$C$200, "&gt;="&amp;DATE(YEAR(TODAY()), MONTH(TODAY()), 1), Monthly_Repayments!$C$9:$C$200, "&lt;="&amp;EOMONTH(TODAY(), 0)) + SUMIFS(Monthly_Repayments!$G$9:$G$200, Monthly_Repayments!$D$9:$D$200, B46, Monthly_Repayments!$F$9:$F$200, "Full Settlement", Monthly_Repayments!$C$9:$C$200, "&gt;="&amp;DATE(YEAR(TODAY()), MONTH(TODAY()), 1), Monthly_Repayments!$C$9:$C$200, "&lt;="&amp;EOMONTH(TODAY(), 0)))</f>
        <v/>
      </c>
      <c r="O46" s="36"/>
      <c r="P46" s="36"/>
    </row>
    <row r="47" spans="2:16" ht="12.75">
      <c r="B47" s="10"/>
      <c r="C47" s="11"/>
      <c r="D47" s="11"/>
      <c r="E47" s="12"/>
      <c r="F47" s="12"/>
      <c r="G47" s="12" t="str">
        <f>IF(B47="", "", SUMIFS(Monthly_Repayments!$G$9:$G$200, Monthly_Repayments!$D$9:$D$200, B47, Monthly_Repayments!$F$9:$F$200, "Lump Sum") + SUMIFS(Monthly_Repayments!$G$9:$G$200, Monthly_Repayments!$D$9:$D$200, B47, Monthly_Repayments!$F$9:$F$200, "Full Settlement"))</f>
        <v/>
      </c>
      <c r="H47" s="12" t="str">
        <f t="shared" si="0"/>
        <v/>
      </c>
      <c r="I47" s="12"/>
      <c r="J47" s="13"/>
      <c r="K47" s="11"/>
      <c r="L47" s="11" t="str">
        <f t="shared" si="1"/>
        <v/>
      </c>
      <c r="M47" s="18"/>
      <c r="N47" s="34" t="str">
        <f ca="1">IF(B47="", "", SUMIFS(Monthly_Repayments!$G$9:$G$200, Monthly_Repayments!$D$9:$D$200, B47, Monthly_Repayments!$F$9:$F$200, "Lump Sum", Monthly_Repayments!$C$9:$C$200, "&gt;="&amp;DATE(YEAR(TODAY()), MONTH(TODAY()), 1), Monthly_Repayments!$C$9:$C$200, "&lt;="&amp;EOMONTH(TODAY(), 0)) + SUMIFS(Monthly_Repayments!$G$9:$G$200, Monthly_Repayments!$D$9:$D$200, B47, Monthly_Repayments!$F$9:$F$200, "Full Settlement", Monthly_Repayments!$C$9:$C$200, "&gt;="&amp;DATE(YEAR(TODAY()), MONTH(TODAY()), 1), Monthly_Repayments!$C$9:$C$200, "&lt;="&amp;EOMONTH(TODAY(), 0)))</f>
        <v/>
      </c>
      <c r="O47" s="36"/>
      <c r="P47" s="36"/>
    </row>
    <row r="48" spans="2:16" ht="12.75">
      <c r="B48" s="10"/>
      <c r="C48" s="11"/>
      <c r="D48" s="11"/>
      <c r="E48" s="12"/>
      <c r="F48" s="12"/>
      <c r="G48" s="12" t="str">
        <f>IF(B48="", "", SUMIFS(Monthly_Repayments!$G$9:$G$200, Monthly_Repayments!$D$9:$D$200, B48, Monthly_Repayments!$F$9:$F$200, "Lump Sum") + SUMIFS(Monthly_Repayments!$G$9:$G$200, Monthly_Repayments!$D$9:$D$200, B48, Monthly_Repayments!$F$9:$F$200, "Full Settlement"))</f>
        <v/>
      </c>
      <c r="H48" s="12" t="str">
        <f t="shared" si="0"/>
        <v/>
      </c>
      <c r="I48" s="12"/>
      <c r="J48" s="13"/>
      <c r="K48" s="11"/>
      <c r="L48" s="11" t="str">
        <f t="shared" si="1"/>
        <v/>
      </c>
      <c r="M48" s="18"/>
      <c r="N48" s="34" t="str">
        <f ca="1">IF(B48="", "", SUMIFS(Monthly_Repayments!$G$9:$G$200, Monthly_Repayments!$D$9:$D$200, B48, Monthly_Repayments!$F$9:$F$200, "Lump Sum", Monthly_Repayments!$C$9:$C$200, "&gt;="&amp;DATE(YEAR(TODAY()), MONTH(TODAY()), 1), Monthly_Repayments!$C$9:$C$200, "&lt;="&amp;EOMONTH(TODAY(), 0)) + SUMIFS(Monthly_Repayments!$G$9:$G$200, Monthly_Repayments!$D$9:$D$200, B48, Monthly_Repayments!$F$9:$F$200, "Full Settlement", Monthly_Repayments!$C$9:$C$200, "&gt;="&amp;DATE(YEAR(TODAY()), MONTH(TODAY()), 1), Monthly_Repayments!$C$9:$C$200, "&lt;="&amp;EOMONTH(TODAY(), 0)))</f>
        <v/>
      </c>
      <c r="O48" s="36"/>
      <c r="P48" s="36"/>
    </row>
    <row r="49" spans="2:16" ht="12.75">
      <c r="B49" s="10"/>
      <c r="C49" s="11"/>
      <c r="D49" s="11"/>
      <c r="E49" s="12"/>
      <c r="F49" s="12"/>
      <c r="G49" s="12" t="str">
        <f>IF(B49="", "", SUMIFS(Monthly_Repayments!$G$9:$G$200, Monthly_Repayments!$D$9:$D$200, B49, Monthly_Repayments!$F$9:$F$200, "Lump Sum") + SUMIFS(Monthly_Repayments!$G$9:$G$200, Monthly_Repayments!$D$9:$D$200, B49, Monthly_Repayments!$F$9:$F$200, "Full Settlement"))</f>
        <v/>
      </c>
      <c r="H49" s="12" t="str">
        <f t="shared" si="0"/>
        <v/>
      </c>
      <c r="I49" s="12"/>
      <c r="J49" s="13"/>
      <c r="K49" s="11"/>
      <c r="L49" s="11" t="str">
        <f t="shared" si="1"/>
        <v/>
      </c>
      <c r="M49" s="18"/>
      <c r="N49" s="34" t="str">
        <f ca="1">IF(B49="", "", SUMIFS(Monthly_Repayments!$G$9:$G$200, Monthly_Repayments!$D$9:$D$200, B49, Monthly_Repayments!$F$9:$F$200, "Lump Sum", Monthly_Repayments!$C$9:$C$200, "&gt;="&amp;DATE(YEAR(TODAY()), MONTH(TODAY()), 1), Monthly_Repayments!$C$9:$C$200, "&lt;="&amp;EOMONTH(TODAY(), 0)) + SUMIFS(Monthly_Repayments!$G$9:$G$200, Monthly_Repayments!$D$9:$D$200, B49, Monthly_Repayments!$F$9:$F$200, "Full Settlement", Monthly_Repayments!$C$9:$C$200, "&gt;="&amp;DATE(YEAR(TODAY()), MONTH(TODAY()), 1), Monthly_Repayments!$C$9:$C$200, "&lt;="&amp;EOMONTH(TODAY(), 0)))</f>
        <v/>
      </c>
      <c r="O49" s="36"/>
      <c r="P49" s="36"/>
    </row>
    <row r="50" spans="2:16" ht="12.75">
      <c r="B50" s="89" t="s">
        <v>150</v>
      </c>
      <c r="C50" s="90"/>
      <c r="D50" s="91"/>
      <c r="E50" s="92">
        <f t="shared" ref="E50:I50" si="2">SUM(E3:E49)</f>
        <v>2344000</v>
      </c>
      <c r="F50" s="92">
        <f t="shared" si="2"/>
        <v>2263000</v>
      </c>
      <c r="G50" s="92">
        <f t="shared" ca="1" si="2"/>
        <v>0</v>
      </c>
      <c r="H50" s="92">
        <f t="shared" ca="1" si="2"/>
        <v>2263000</v>
      </c>
      <c r="I50" s="92">
        <f t="shared" si="2"/>
        <v>107550</v>
      </c>
      <c r="J50" s="93">
        <f ca="1">IF(SUM(H3:H49)&gt;0, SUMPRODUCT(H3:H49, J3:J49)/SUM(H3:H49), 0)</f>
        <v>0.15550154661953158</v>
      </c>
      <c r="K50" s="90"/>
      <c r="L50" s="90" t="str">
        <f ca="1">COUNTIF(L3:L49, "Open") &amp; " Open / " &amp; COUNTIF(L3:L49, "Closed") &amp; " Closed"</f>
        <v>23 Open / 0 Closed</v>
      </c>
      <c r="M50" s="94" t="str">
        <f>COUNTIF(B3:B49, "&lt;&gt;") &amp; " Active Accounts"</f>
        <v>23 Active Accounts</v>
      </c>
      <c r="N50" s="95">
        <f ca="1">SUM(N3:N49)</f>
        <v>0</v>
      </c>
      <c r="O50" s="96"/>
      <c r="P50" s="96"/>
    </row>
    <row r="51" spans="2:16" ht="12.75">
      <c r="B51" s="97" t="s">
        <v>152</v>
      </c>
      <c r="C51" s="98"/>
      <c r="D51" s="99"/>
      <c r="E51" s="100">
        <f>IFERROR(AVERAGEIF(B3:B49, "&lt;&gt;", E3:E49), 0)</f>
        <v>101913.04347826086</v>
      </c>
      <c r="F51" s="100">
        <f>IFERROR(AVERAGEIF(B3:B49, "&lt;&gt;", F3:F49), 0)</f>
        <v>98391.304347826081</v>
      </c>
      <c r="G51" s="100">
        <f ca="1">IFERROR(AVERAGEIF(B3:B49, "&lt;&gt;", G3:G49), 0)</f>
        <v>0</v>
      </c>
      <c r="H51" s="100">
        <f ca="1">IFERROR(AVERAGEIF(B3:B49, "&lt;&gt;", H3:H49), 0)</f>
        <v>98391.304347826081</v>
      </c>
      <c r="I51" s="100">
        <f>IFERROR(AVERAGEIF(B3:B49, "&lt;&gt;", I3:I49), 0)</f>
        <v>4676.086956521739</v>
      </c>
      <c r="J51" s="101">
        <f>IFERROR(AVERAGEIF(B3:B49, "&lt;&gt;", J3:J49), 0)</f>
        <v>8.2869565217391292E-2</v>
      </c>
      <c r="K51" s="98"/>
      <c r="L51" s="98"/>
      <c r="M51" s="102"/>
      <c r="N51" s="103">
        <f ca="1">IFERROR(AVERAGEIF(B3:B49, "&lt;&gt;", N3:N49), 0)</f>
        <v>0</v>
      </c>
      <c r="O51" s="96"/>
      <c r="P51" s="96"/>
    </row>
  </sheetData>
  <mergeCells count="2">
    <mergeCell ref="B1:L1"/>
    <mergeCell ref="M1:P1"/>
  </mergeCells>
  <conditionalFormatting sqref="L3:L49">
    <cfRule type="cellIs" dxfId="3" priority="1" stopIfTrue="1" operator="equal">
      <formula>"Closed"</formula>
    </cfRule>
    <cfRule type="cellIs" dxfId="2" priority="2" stopIfTrue="1" operator="equal">
      <formula>"Open"</formula>
    </cfRule>
  </conditionalFormatting>
  <dataValidations count="2">
    <dataValidation type="list" allowBlank="1" sqref="C3:C49" xr:uid="{00000000-0002-0000-0200-000000000000}">
      <formula1>"Credit Card,Fintech Credit,Personal Loan,Chit Fund / BC,Community Loan,Informal Loan,Secured / Jewel,Vendor / Home,Family Loan,Contingency,Household,Other"</formula1>
    </dataValidation>
    <dataValidation type="list" allowBlank="1" sqref="D3:D49" xr:uid="{00000000-0002-0000-0200-000001000000}">
      <formula1>"Shahil,Mukhtar,Israfil,Abba,Ammi,Others"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P24"/>
  <sheetViews>
    <sheetView workbookViewId="0"/>
  </sheetViews>
  <sheetFormatPr defaultColWidth="12.5703125" defaultRowHeight="15" customHeight="1"/>
  <cols>
    <col min="1" max="1" width="3.28515625" customWidth="1"/>
    <col min="2" max="2" width="18.28515625" customWidth="1"/>
    <col min="3" max="3" width="10.7109375" customWidth="1"/>
    <col min="4" max="4" width="17.5703125" customWidth="1"/>
    <col min="5" max="5" width="14.42578125" customWidth="1"/>
    <col min="6" max="6" width="12" customWidth="1"/>
    <col min="7" max="7" width="10.7109375" customWidth="1"/>
  </cols>
  <sheetData>
    <row r="2" spans="1:16" ht="33.75" customHeight="1">
      <c r="B2" s="157" t="s">
        <v>178</v>
      </c>
      <c r="C2" s="123"/>
      <c r="D2" s="123"/>
      <c r="E2" s="123"/>
      <c r="F2" s="123"/>
      <c r="G2" s="123"/>
      <c r="H2" s="123"/>
      <c r="I2" s="123"/>
      <c r="J2" s="156" t="s">
        <v>179</v>
      </c>
      <c r="K2" s="123"/>
      <c r="L2" s="123"/>
      <c r="M2" s="123"/>
      <c r="N2" s="123"/>
    </row>
    <row r="4" spans="1:16" ht="19.5" customHeight="1">
      <c r="B4" s="158" t="s">
        <v>180</v>
      </c>
      <c r="C4" s="159"/>
      <c r="D4" s="158" t="s">
        <v>181</v>
      </c>
      <c r="E4" s="159"/>
      <c r="F4" s="158" t="s">
        <v>182</v>
      </c>
      <c r="G4" s="159"/>
      <c r="H4" s="158" t="s">
        <v>183</v>
      </c>
      <c r="I4" s="160"/>
      <c r="J4" s="159"/>
      <c r="K4" s="65"/>
      <c r="L4" s="66"/>
      <c r="M4" s="66"/>
      <c r="N4" s="66"/>
      <c r="O4" s="66"/>
      <c r="P4" s="66"/>
    </row>
    <row r="5" spans="1:16" ht="27" customHeight="1">
      <c r="B5" s="161" t="s">
        <v>187</v>
      </c>
      <c r="C5" s="159"/>
      <c r="D5" s="161" t="s">
        <v>188</v>
      </c>
      <c r="E5" s="159"/>
      <c r="F5" s="161" t="s">
        <v>189</v>
      </c>
      <c r="G5" s="159"/>
      <c r="H5" s="161" t="s">
        <v>190</v>
      </c>
      <c r="I5" s="160"/>
      <c r="J5" s="159"/>
      <c r="K5" s="67"/>
      <c r="L5" s="66"/>
      <c r="M5" s="66"/>
      <c r="N5" s="66"/>
      <c r="O5" s="66"/>
      <c r="P5" s="66"/>
    </row>
    <row r="6" spans="1:16" ht="9" customHeight="1">
      <c r="A6" s="66" t="s">
        <v>192</v>
      </c>
      <c r="B6" s="68" t="s">
        <v>192</v>
      </c>
      <c r="C6" s="69" t="s">
        <v>192</v>
      </c>
      <c r="D6" s="68" t="s">
        <v>192</v>
      </c>
      <c r="E6" s="69" t="s">
        <v>192</v>
      </c>
      <c r="F6" s="68" t="s">
        <v>192</v>
      </c>
      <c r="G6" s="69" t="s">
        <v>192</v>
      </c>
      <c r="H6" s="68" t="s">
        <v>192</v>
      </c>
      <c r="I6" s="69" t="s">
        <v>192</v>
      </c>
      <c r="J6" s="68" t="s">
        <v>192</v>
      </c>
      <c r="K6" s="69" t="s">
        <v>192</v>
      </c>
      <c r="L6" s="66" t="s">
        <v>192</v>
      </c>
      <c r="M6" s="66" t="s">
        <v>192</v>
      </c>
      <c r="N6" s="66" t="s">
        <v>192</v>
      </c>
      <c r="O6" s="66" t="s">
        <v>192</v>
      </c>
      <c r="P6" s="66" t="s">
        <v>192</v>
      </c>
    </row>
    <row r="7" spans="1:16" ht="18" customHeight="1">
      <c r="B7" s="162" t="s">
        <v>195</v>
      </c>
      <c r="C7" s="159"/>
      <c r="D7" s="162" t="s">
        <v>71</v>
      </c>
      <c r="E7" s="159"/>
      <c r="F7" s="162" t="s">
        <v>196</v>
      </c>
      <c r="G7" s="159"/>
      <c r="H7" s="162" t="s">
        <v>197</v>
      </c>
      <c r="I7" s="159"/>
      <c r="J7" s="162" t="s">
        <v>198</v>
      </c>
      <c r="K7" s="159"/>
    </row>
    <row r="8" spans="1:16" ht="28.5" customHeight="1">
      <c r="B8" s="165">
        <f ca="1">SUMIFS(Loan_Management!$H$3:$H$49, Loan_Management!$D$3:$D$49, IF($B$5="All Owners", "*", $B$5), Loan_Management!$C$3:$C$49, IF($D$5="All Categories", "*", $D$5), Loan_Management!$L$3:$L$49, IF($F$5="All Status", "*", $F$5))</f>
        <v>2263000</v>
      </c>
      <c r="C8" s="159"/>
      <c r="D8" s="166">
        <f ca="1">SUMIFS(Loan_Management!$I$3:$I$49, Loan_Management!$D$3:$D$49, IF($B$5="All Owners", "*", $B$5), Loan_Management!$C$3:$C$49, IF($D$5="All Categories", "*", $D$5), Loan_Management!$L$3:$L$49, IF($F$5="All Status", "*", $F$5))</f>
        <v>107550</v>
      </c>
      <c r="E8" s="159"/>
      <c r="F8" s="167">
        <f ca="1">SUMIFS(Loan_Management!$G$3:$G$49, Loan_Management!$D$3:$D$49, IF($B$5="All Owners", "*", $B$5), Loan_Management!$C$3:$C$49, IF($D$5="All Categories", "*", $D$5), Loan_Management!$L$3:$L$49, IF($F$5="All Status", "*", $F$5))</f>
        <v>0</v>
      </c>
      <c r="G8" s="159"/>
      <c r="H8" s="168">
        <f ca="1">SUMIFS(Loan_Management!$N$3:$N$49, Loan_Management!$D$3:$D$49, IF($B$5="All Owners", "*", $B$5), Loan_Management!$C$3:$C$49, IF($D$5="All Categories", "*", $D$5), Loan_Management!$L$3:$L$49, IF($F$5="All Status", "*", $F$5))</f>
        <v>0</v>
      </c>
      <c r="I8" s="159"/>
      <c r="J8" s="169" t="str">
        <f ca="1">COUNTIFS(Loan_Management!$D$3:$D$49, IF($B$5="All Owners", "*", $B$5), Loan_Management!$C$3:$C$49, IF($D$5="All Categories", "*", $D$5), Loan_Management!$L$3:$L$49, "Open") &amp; " Open / " &amp; COUNTIFS(Loan_Management!$D$3:$D$49, IF($B$5="All Owners", "*", $B$5), Loan_Management!$C$3:$C$49, IF($D$5="All Categories", "*", $D$5), Loan_Management!$L$3:$L$49, "Closed") &amp; " Closed"</f>
        <v>23 Open / 0 Closed</v>
      </c>
      <c r="K8" s="159"/>
    </row>
    <row r="9" spans="1:16" ht="16.5" customHeight="1">
      <c r="B9" s="163" t="s">
        <v>206</v>
      </c>
      <c r="C9" s="159"/>
      <c r="D9" s="163" t="s">
        <v>207</v>
      </c>
      <c r="E9" s="159"/>
      <c r="F9" s="163" t="s">
        <v>208</v>
      </c>
      <c r="G9" s="159"/>
      <c r="H9" s="163" t="s">
        <v>209</v>
      </c>
      <c r="I9" s="159"/>
      <c r="J9" s="163" t="str">
        <f ca="1">COUNTIFS(Loan_Management!$D$3:$D$49, IF($B$5="All Owners", "*", $B$5), Loan_Management!$C$3:$C$49, IF($D$5="All Categories", "*", $D$5), Loan_Management!$L$3:$L$49, IF($F$5="All Status", "*", $F$5)) &amp; " Filtered accounts"</f>
        <v>23 Filtered accounts</v>
      </c>
      <c r="K9" s="159"/>
    </row>
    <row r="10" spans="1:16" ht="9" customHeight="1"/>
    <row r="11" spans="1:16">
      <c r="B11" s="164" t="s">
        <v>212</v>
      </c>
      <c r="C11" s="123"/>
      <c r="D11" s="123"/>
      <c r="E11" s="123"/>
      <c r="F11" s="123"/>
      <c r="G11" s="123"/>
    </row>
    <row r="12" spans="1:16" ht="12.75">
      <c r="B12" s="70" t="s">
        <v>69</v>
      </c>
      <c r="C12" s="71" t="s">
        <v>213</v>
      </c>
      <c r="D12" s="71" t="s">
        <v>94</v>
      </c>
      <c r="E12" s="71" t="str">
        <f>IF($H$5="Lump Sum View", "Lump Sum Paid", "Monthly EMI")</f>
        <v>Lump Sum Paid</v>
      </c>
      <c r="F12" s="71" t="s">
        <v>214</v>
      </c>
      <c r="G12" s="72" t="s">
        <v>215</v>
      </c>
    </row>
    <row r="13" spans="1:16" ht="12.75">
      <c r="B13" s="73" t="s">
        <v>103</v>
      </c>
      <c r="C13" s="74">
        <f>IF(OR($D$5="All Categories", $D$5=B13), COUNTIFS(Loan_Management!$C$3:$C$49, B13, Loan_Management!$D$3:$D$49, IF($B$5="All Owners", "*", $B$5), Loan_Management!$L$3:$L$49, IF($F$5="All Status", "*", $F$5)), 0)</f>
        <v>7</v>
      </c>
      <c r="D13" s="76">
        <f>IF(OR($D$5="All Categories", $D$5=B13), SUMIFS(Loan_Management!$H$3:$H$49, Loan_Management!$C$3:$C$49, B13, Loan_Management!$D$3:$D$49, IF($B$5="All Owners", "*", $B$5), Loan_Management!$L$3:$L$49, IF($F$5="All Status", "*", $F$5)), 0)</f>
        <v>1279000</v>
      </c>
      <c r="E13" s="76">
        <f>IF(OR($D$5="All Categories", $D$5=B13), IF($H$5="Lump Sum View", SUMIFS(Loan_Management!$G$3:$G$49, Loan_Management!$C$3:$C$49, B13, Loan_Management!$D$3:$D$49, IF($B$5="All Owners", "*", $B$5), Loan_Management!$L$3:$L$49, IF($F$5="All Status", "*", $F$5)), SUMIFS(Loan_Management!$I$3:$I$49, Loan_Management!$C$3:$C$49, B13, Loan_Management!$D$3:$D$49, IF($B$5="All Owners", "*", $B$5), Loan_Management!$L$3:$L$49, IF($F$5="All Status", "*", $F$5))), 0)</f>
        <v>0</v>
      </c>
      <c r="F13" s="80">
        <f>IF(AND(OR($D$5="All Categories", $D$5=B13), D13&gt;0), IFERROR(AVERAGEIFS(Loan_Management!$J$3:$J$49, Loan_Management!$C$3:$C$49, B13, Loan_Management!$D$3:$D$49, IF($B$5="All Owners", "*", $B$5), Loan_Management!$L$3:$L$49, IF($F$5="All Status", "*", $F$5)), 0), 0)</f>
        <v>5.9428571428571435E-2</v>
      </c>
      <c r="G13" s="81">
        <f t="shared" ref="G13:G21" ca="1" si="0">IF($D$22&gt;0, D13/$D$22, 0)</f>
        <v>0.56517896597437034</v>
      </c>
    </row>
    <row r="14" spans="1:16" ht="12.75">
      <c r="B14" s="73" t="s">
        <v>102</v>
      </c>
      <c r="C14" s="74">
        <f>IF(OR($D$5="All Categories", $D$5=B14), COUNTIFS(Loan_Management!$C$3:$C$49, B14, Loan_Management!$D$3:$D$49, IF($B$5="All Owners", "*", $B$5), Loan_Management!$L$3:$L$49, IF($F$5="All Status", "*", $F$5)), 0)</f>
        <v>4</v>
      </c>
      <c r="D14" s="76">
        <f>IF(OR($D$5="All Categories", $D$5=B14), SUMIFS(Loan_Management!$H$3:$H$49, Loan_Management!$C$3:$C$49, B14, Loan_Management!$D$3:$D$49, IF($B$5="All Owners", "*", $B$5), Loan_Management!$L$3:$L$49, IF($F$5="All Status", "*", $F$5)), 0)</f>
        <v>320000</v>
      </c>
      <c r="E14" s="76">
        <f>IF(OR($D$5="All Categories", $D$5=B14), IF($H$5="Lump Sum View", SUMIFS(Loan_Management!$G$3:$G$49, Loan_Management!$C$3:$C$49, B14, Loan_Management!$D$3:$D$49, IF($B$5="All Owners", "*", $B$5), Loan_Management!$L$3:$L$49, IF($F$5="All Status", "*", $F$5)), SUMIFS(Loan_Management!$I$3:$I$49, Loan_Management!$C$3:$C$49, B14, Loan_Management!$D$3:$D$49, IF($B$5="All Owners", "*", $B$5), Loan_Management!$L$3:$L$49, IF($F$5="All Status", "*", $F$5))), 0)</f>
        <v>0</v>
      </c>
      <c r="F14" s="80">
        <f>IF(AND(OR($D$5="All Categories", $D$5=B14), D14&gt;0), IFERROR(AVERAGEIFS(Loan_Management!$J$3:$J$49, Loan_Management!$C$3:$C$49, B14, Loan_Management!$D$3:$D$49, IF($B$5="All Owners", "*", $B$5), Loan_Management!$L$3:$L$49, IF($F$5="All Status", "*", $F$5)), 0), 0)</f>
        <v>0</v>
      </c>
      <c r="G14" s="81">
        <f t="shared" ca="1" si="0"/>
        <v>0.14140521431727796</v>
      </c>
    </row>
    <row r="15" spans="1:16" ht="12.75">
      <c r="B15" s="73" t="s">
        <v>100</v>
      </c>
      <c r="C15" s="74">
        <f>IF(OR($D$5="All Categories", $D$5=B15), COUNTIFS(Loan_Management!$C$3:$C$49, B15, Loan_Management!$D$3:$D$49, IF($B$5="All Owners", "*", $B$5), Loan_Management!$L$3:$L$49, IF($F$5="All Status", "*", $F$5)), 0)</f>
        <v>1</v>
      </c>
      <c r="D15" s="76">
        <f>IF(OR($D$5="All Categories", $D$5=B15), SUMIFS(Loan_Management!$H$3:$H$49, Loan_Management!$C$3:$C$49, B15, Loan_Management!$D$3:$D$49, IF($B$5="All Owners", "*", $B$5), Loan_Management!$L$3:$L$49, IF($F$5="All Status", "*", $F$5)), 0)</f>
        <v>175000</v>
      </c>
      <c r="E15" s="76">
        <f>IF(OR($D$5="All Categories", $D$5=B15), IF($H$5="Lump Sum View", SUMIFS(Loan_Management!$G$3:$G$49, Loan_Management!$C$3:$C$49, B15, Loan_Management!$D$3:$D$49, IF($B$5="All Owners", "*", $B$5), Loan_Management!$L$3:$L$49, IF($F$5="All Status", "*", $F$5)), SUMIFS(Loan_Management!$I$3:$I$49, Loan_Management!$C$3:$C$49, B15, Loan_Management!$D$3:$D$49, IF($B$5="All Owners", "*", $B$5), Loan_Management!$L$3:$L$49, IF($F$5="All Status", "*", $F$5))), 0)</f>
        <v>0</v>
      </c>
      <c r="F15" s="80">
        <f>IF(AND(OR($D$5="All Categories", $D$5=B15), D15&gt;0), IFERROR(AVERAGEIFS(Loan_Management!$J$3:$J$49, Loan_Management!$C$3:$C$49, B15, Loan_Management!$D$3:$D$49, IF($B$5="All Owners", "*", $B$5), Loan_Management!$L$3:$L$49, IF($F$5="All Status", "*", $F$5)), 0), 0)</f>
        <v>0.26</v>
      </c>
      <c r="G15" s="81">
        <f t="shared" ca="1" si="0"/>
        <v>7.7330976579761374E-2</v>
      </c>
    </row>
    <row r="16" spans="1:16" ht="12.75">
      <c r="B16" s="73" t="s">
        <v>97</v>
      </c>
      <c r="C16" s="74">
        <f>IF(OR($D$5="All Categories", $D$5=B16), COUNTIFS(Loan_Management!$C$3:$C$49, B16, Loan_Management!$D$3:$D$49, IF($B$5="All Owners", "*", $B$5), Loan_Management!$L$3:$L$49, IF($F$5="All Status", "*", $F$5)), 0)</f>
        <v>1</v>
      </c>
      <c r="D16" s="76">
        <f>IF(OR($D$5="All Categories", $D$5=B16), SUMIFS(Loan_Management!$H$3:$H$49, Loan_Management!$C$3:$C$49, B16, Loan_Management!$D$3:$D$49, IF($B$5="All Owners", "*", $B$5), Loan_Management!$L$3:$L$49, IF($F$5="All Status", "*", $F$5)), 0)</f>
        <v>150000</v>
      </c>
      <c r="E16" s="76">
        <f>IF(OR($D$5="All Categories", $D$5=B16), IF($H$5="Lump Sum View", SUMIFS(Loan_Management!$G$3:$G$49, Loan_Management!$C$3:$C$49, B16, Loan_Management!$D$3:$D$49, IF($B$5="All Owners", "*", $B$5), Loan_Management!$L$3:$L$49, IF($F$5="All Status", "*", $F$5)), SUMIFS(Loan_Management!$I$3:$I$49, Loan_Management!$C$3:$C$49, B16, Loan_Management!$D$3:$D$49, IF($B$5="All Owners", "*", $B$5), Loan_Management!$L$3:$L$49, IF($F$5="All Status", "*", $F$5))), 0)</f>
        <v>0</v>
      </c>
      <c r="F16" s="80">
        <f>IF(AND(OR($D$5="All Categories", $D$5=B16), D16&gt;0), IFERROR(AVERAGEIFS(Loan_Management!$J$3:$J$49, Loan_Management!$C$3:$C$49, B16, Loan_Management!$D$3:$D$49, IF($B$5="All Owners", "*", $B$5), Loan_Management!$L$3:$L$49, IF($F$5="All Status", "*", $F$5)), 0), 0)</f>
        <v>0.36</v>
      </c>
      <c r="G16" s="81">
        <f t="shared" ca="1" si="0"/>
        <v>6.6283694211224042E-2</v>
      </c>
    </row>
    <row r="17" spans="2:7" ht="12.75">
      <c r="B17" s="73" t="s">
        <v>87</v>
      </c>
      <c r="C17" s="74">
        <f>IF(OR($D$5="All Categories", $D$5=B17), COUNTIFS(Loan_Management!$C$3:$C$49, B17, Loan_Management!$D$3:$D$49, IF($B$5="All Owners", "*", $B$5), Loan_Management!$L$3:$L$49, IF($F$5="All Status", "*", $F$5)), 0)</f>
        <v>3</v>
      </c>
      <c r="D17" s="76">
        <f>IF(OR($D$5="All Categories", $D$5=B17), SUMIFS(Loan_Management!$H$3:$H$49, Loan_Management!$C$3:$C$49, B17, Loan_Management!$D$3:$D$49, IF($B$5="All Owners", "*", $B$5), Loan_Management!$L$3:$L$49, IF($F$5="All Status", "*", $F$5)), 0)</f>
        <v>139000</v>
      </c>
      <c r="E17" s="76">
        <f>IF(OR($D$5="All Categories", $D$5=B17), IF($H$5="Lump Sum View", SUMIFS(Loan_Management!$G$3:$G$49, Loan_Management!$C$3:$C$49, B17, Loan_Management!$D$3:$D$49, IF($B$5="All Owners", "*", $B$5), Loan_Management!$L$3:$L$49, IF($F$5="All Status", "*", $F$5)), SUMIFS(Loan_Management!$I$3:$I$49, Loan_Management!$C$3:$C$49, B17, Loan_Management!$D$3:$D$49, IF($B$5="All Owners", "*", $B$5), Loan_Management!$L$3:$L$49, IF($F$5="All Status", "*", $F$5))), 0)</f>
        <v>0</v>
      </c>
      <c r="F17" s="80">
        <f>IF(AND(OR($D$5="All Categories", $D$5=B17), D17&gt;0), IFERROR(AVERAGEIFS(Loan_Management!$J$3:$J$49, Loan_Management!$C$3:$C$49, B17, Loan_Management!$D$3:$D$49, IF($B$5="All Owners", "*", $B$5), Loan_Management!$L$3:$L$49, IF($F$5="All Status", "*", $F$5)), 0), 0)</f>
        <v>0.17</v>
      </c>
      <c r="G17" s="81">
        <f t="shared" ca="1" si="0"/>
        <v>6.1422889969067612E-2</v>
      </c>
    </row>
    <row r="18" spans="2:7" ht="12.75">
      <c r="B18" s="73" t="s">
        <v>105</v>
      </c>
      <c r="C18" s="74">
        <f>IF(OR($D$5="All Categories", $D$5=B18), COUNTIFS(Loan_Management!$C$3:$C$49, B18, Loan_Management!$D$3:$D$49, IF($B$5="All Owners", "*", $B$5), Loan_Management!$L$3:$L$49, IF($F$5="All Status", "*", $F$5)), 0)</f>
        <v>2</v>
      </c>
      <c r="D18" s="76">
        <f>IF(OR($D$5="All Categories", $D$5=B18), SUMIFS(Loan_Management!$H$3:$H$49, Loan_Management!$C$3:$C$49, B18, Loan_Management!$D$3:$D$49, IF($B$5="All Owners", "*", $B$5), Loan_Management!$L$3:$L$49, IF($F$5="All Status", "*", $F$5)), 0)</f>
        <v>75000</v>
      </c>
      <c r="E18" s="76">
        <f>IF(OR($D$5="All Categories", $D$5=B18), IF($H$5="Lump Sum View", SUMIFS(Loan_Management!$G$3:$G$49, Loan_Management!$C$3:$C$49, B18, Loan_Management!$D$3:$D$49, IF($B$5="All Owners", "*", $B$5), Loan_Management!$L$3:$L$49, IF($F$5="All Status", "*", $F$5)), SUMIFS(Loan_Management!$I$3:$I$49, Loan_Management!$C$3:$C$49, B18, Loan_Management!$D$3:$D$49, IF($B$5="All Owners", "*", $B$5), Loan_Management!$L$3:$L$49, IF($F$5="All Status", "*", $F$5))), 0)</f>
        <v>0</v>
      </c>
      <c r="F18" s="80">
        <f>IF(AND(OR($D$5="All Categories", $D$5=B18), D18&gt;0), IFERROR(AVERAGEIFS(Loan_Management!$J$3:$J$49, Loan_Management!$C$3:$C$49, B18, Loan_Management!$D$3:$D$49, IF($B$5="All Owners", "*", $B$5), Loan_Management!$L$3:$L$49, IF($F$5="All Status", "*", $F$5)), 0), 0)</f>
        <v>0</v>
      </c>
      <c r="G18" s="81">
        <f t="shared" ca="1" si="0"/>
        <v>3.3141847105612021E-2</v>
      </c>
    </row>
    <row r="19" spans="2:7" ht="12.75">
      <c r="B19" s="73" t="s">
        <v>95</v>
      </c>
      <c r="C19" s="74">
        <f>IF(OR($D$5="All Categories", $D$5=B19), COUNTIFS(Loan_Management!$C$3:$C$49, B19, Loan_Management!$D$3:$D$49, IF($B$5="All Owners", "*", $B$5), Loan_Management!$L$3:$L$49, IF($F$5="All Status", "*", $F$5)), 0)</f>
        <v>1</v>
      </c>
      <c r="D19" s="76">
        <f>IF(OR($D$5="All Categories", $D$5=B19), SUMIFS(Loan_Management!$H$3:$H$49, Loan_Management!$C$3:$C$49, B19, Loan_Management!$D$3:$D$49, IF($B$5="All Owners", "*", $B$5), Loan_Management!$L$3:$L$49, IF($F$5="All Status", "*", $F$5)), 0)</f>
        <v>40000</v>
      </c>
      <c r="E19" s="76">
        <f>IF(OR($D$5="All Categories", $D$5=B19), IF($H$5="Lump Sum View", SUMIFS(Loan_Management!$G$3:$G$49, Loan_Management!$C$3:$C$49, B19, Loan_Management!$D$3:$D$49, IF($B$5="All Owners", "*", $B$5), Loan_Management!$L$3:$L$49, IF($F$5="All Status", "*", $F$5)), SUMIFS(Loan_Management!$I$3:$I$49, Loan_Management!$C$3:$C$49, B19, Loan_Management!$D$3:$D$49, IF($B$5="All Owners", "*", $B$5), Loan_Management!$L$3:$L$49, IF($F$5="All Status", "*", $F$5))), 0)</f>
        <v>0</v>
      </c>
      <c r="F19" s="80">
        <f>IF(AND(OR($D$5="All Categories", $D$5=B19), D19&gt;0), IFERROR(AVERAGEIFS(Loan_Management!$J$3:$J$49, Loan_Management!$C$3:$C$49, B19, Loan_Management!$D$3:$D$49, IF($B$5="All Owners", "*", $B$5), Loan_Management!$L$3:$L$49, IF($F$5="All Status", "*", $F$5)), 0), 0)</f>
        <v>0</v>
      </c>
      <c r="G19" s="81">
        <f t="shared" ca="1" si="0"/>
        <v>1.7675651789659744E-2</v>
      </c>
    </row>
    <row r="20" spans="2:7" ht="12.75">
      <c r="B20" s="73" t="s">
        <v>104</v>
      </c>
      <c r="C20" s="74">
        <f ca="1">IF(OR($D$5="All Categories", $D$5=B20), COUNTIFS(Loan_Management!$C$3:$C$49, B20, Loan_Management!$D$3:$D$49, IF($B$5="All Owners", "*", $B$5), Loan_Management!$L$3:$L$49, IF($F$5="All Status", "*", $F$5)), 0)</f>
        <v>1</v>
      </c>
      <c r="D20" s="76">
        <f ca="1">IF(OR($D$5="All Categories", $D$5=B20), SUMIFS(Loan_Management!$H$3:$H$49, Loan_Management!$C$3:$C$49, B20, Loan_Management!$D$3:$D$49, IF($B$5="All Owners", "*", $B$5), Loan_Management!$L$3:$L$49, IF($F$5="All Status", "*", $F$5)), 0)</f>
        <v>35000</v>
      </c>
      <c r="E20" s="76">
        <f ca="1">IF(OR($D$5="All Categories", $D$5=B20), IF($H$5="Lump Sum View", SUMIFS(Loan_Management!$G$3:$G$49, Loan_Management!$C$3:$C$49, B20, Loan_Management!$D$3:$D$49, IF($B$5="All Owners", "*", $B$5), Loan_Management!$L$3:$L$49, IF($F$5="All Status", "*", $F$5)), SUMIFS(Loan_Management!$I$3:$I$49, Loan_Management!$C$3:$C$49, B20, Loan_Management!$D$3:$D$49, IF($B$5="All Owners", "*", $B$5), Loan_Management!$L$3:$L$49, IF($F$5="All Status", "*", $F$5))), 0)</f>
        <v>0</v>
      </c>
      <c r="F20" s="80">
        <f ca="1">IF(AND(OR($D$5="All Categories", $D$5=B20), D20&gt;0), IFERROR(AVERAGEIFS(Loan_Management!$J$3:$J$49, Loan_Management!$C$3:$C$49, B20, Loan_Management!$D$3:$D$49, IF($B$5="All Owners", "*", $B$5), Loan_Management!$L$3:$L$49, IF($F$5="All Status", "*", $F$5)), 0), 0)</f>
        <v>0.36</v>
      </c>
      <c r="G20" s="81">
        <f t="shared" ca="1" si="0"/>
        <v>1.5466195315952275E-2</v>
      </c>
    </row>
    <row r="21" spans="2:7" ht="12.75">
      <c r="B21" s="73" t="s">
        <v>230</v>
      </c>
      <c r="C21" s="74">
        <f>IF(OR($D$5="All Categories", $D$5=B21), COUNTIFS(Loan_Management!$C$3:$C$49, "Family Loan", Loan_Management!$D$3:$D$49, IF($B$5="All Owners", "*", $B$5), Loan_Management!$L$3:$L$49, IF($F$5="All Status", "*", $F$5)) + COUNTIFS(Loan_Management!$C$3:$C$49, "Contingency", Loan_Management!$D$3:$D$49, IF($B$5="All Owners", "*", $B$5), Loan_Management!$L$3:$L$49, IF($F$5="All Status", "*", $F$5)) + COUNTIFS(Loan_Management!$C$3:$C$49, "Household", Loan_Management!$D$3:$D$49, IF($B$5="All Owners", "*", $B$5), Loan_Management!$L$3:$L$49, IF($F$5="All Status", "*", $F$5)) + COUNTIFS(Loan_Management!$C$3:$C$49, "Other", Loan_Management!$D$3:$D$49, IF($B$5="All Owners", "*", $B$5), Loan_Management!$L$3:$L$49, IF($F$5="All Status", "*", $F$5)), 0)</f>
        <v>3</v>
      </c>
      <c r="D21" s="76">
        <f>IF(OR($D$5="All Categories", $D$5=B21), SUMIFS(Loan_Management!$H$3:$H$49, Loan_Management!$C$3:$C$49, "Family Loan", Loan_Management!$D$3:$D$49, IF($B$5="All Owners", "*", $B$5), Loan_Management!$L$3:$L$49, IF($F$5="All Status", "*", $F$5)) + SUMIFS(Loan_Management!$H$3:$H$49, Loan_Management!$C$3:$C$49, "Contingency", Loan_Management!$D$3:$D$49, IF($B$5="All Owners", "*", $B$5), Loan_Management!$L$3:$L$49, IF($F$5="All Status", "*", $F$5)) + SUMIFS(Loan_Management!$H$3:$H$49, Loan_Management!$C$3:$C$49, "Household", Loan_Management!$D$3:$D$49, IF($B$5="All Owners", "*", $B$5), Loan_Management!$L$3:$L$49, IF($F$5="All Status", "*", $F$5)) + SUMIFS(Loan_Management!$H$3:$H$49, Loan_Management!$C$3:$C$49, "Other", Loan_Management!$D$3:$D$49, IF($B$5="All Owners", "*", $B$5), Loan_Management!$L$3:$L$49, IF($F$5="All Status", "*", $F$5)), 0)</f>
        <v>50000</v>
      </c>
      <c r="E21" s="76">
        <f>IF(OR($D$5="All Categories", $D$5=B21), IF($H$5="Lump Sum View", SUMIFS(Loan_Management!$G$3:$G$49, Loan_Management!$C$3:$C$49, "Family Loan", Loan_Management!$D$3:$D$49, IF($B$5="All Owners", "*", $B$5), Loan_Management!$L$3:$L$49, IF($F$5="All Status", "*", $F$5)) + SUMIFS(Loan_Management!$G$3:$G$49, Loan_Management!$C$3:$C$49, "Contingency", Loan_Management!$D$3:$D$49, IF($B$5="All Owners", "*", $B$5), Loan_Management!$L$3:$L$49, IF($F$5="All Status", "*", $F$5)) + SUMIFS(Loan_Management!$G$3:$G$49, Loan_Management!$C$3:$C$49, "Household", Loan_Management!$D$3:$D$49, IF($B$5="All Owners", "*", $B$5), Loan_Management!$L$3:$L$49, IF($F$5="All Status", "*", $F$5)) + SUMIFS(Loan_Management!$G$3:$G$49, Loan_Management!$C$3:$C$49, "Other", Loan_Management!$D$3:$D$49, IF($B$5="All Owners", "*", $B$5), Loan_Management!$L$3:$L$49, IF($F$5="All Status", "*", $F$5)), SUMIFS(Loan_Management!$I$3:$I$49, Loan_Management!$C$3:$C$49, "Family Loan", Loan_Management!$D$3:$D$49, IF($B$5="All Owners", "*", $B$5), Loan_Management!$L$3:$L$49, IF($F$5="All Status", "*", $F$5)) + SUMIFS(Loan_Management!$I$3:$I$49, Loan_Management!$C$3:$C$49, "Contingency", Loan_Management!$D$3:$D$49, IF($B$5="All Owners", "*", $B$5), Loan_Management!$L$3:$L$49, IF($F$5="All Status", "*", $F$5)) + SUMIFS(Loan_Management!$I$3:$I$49, Loan_Management!$C$3:$C$49, "Household", Loan_Management!$D$3:$D$49, IF($B$5="All Owners", "*", $B$5), Loan_Management!$L$3:$L$49, IF($F$5="All Status", "*", $F$5)) + SUMIFS(Loan_Management!$I$3:$I$49, Loan_Management!$C$3:$C$49, "Other", Loan_Management!$D$3:$D$49, IF($B$5="All Owners", "*", $B$5), Loan_Management!$L$3:$L$49, IF($F$5="All Status", "*", $F$5))), 0)</f>
        <v>0</v>
      </c>
      <c r="F21" s="83">
        <v>0</v>
      </c>
      <c r="G21" s="81">
        <f t="shared" ca="1" si="0"/>
        <v>2.209456473707468E-2</v>
      </c>
    </row>
    <row r="22" spans="2:7" ht="12.75">
      <c r="B22" s="84" t="s">
        <v>150</v>
      </c>
      <c r="C22" s="85">
        <f t="shared" ref="C22:E22" ca="1" si="1">SUM(C13:C21)</f>
        <v>23</v>
      </c>
      <c r="D22" s="86">
        <f t="shared" ca="1" si="1"/>
        <v>2263000</v>
      </c>
      <c r="E22" s="86">
        <f t="shared" ca="1" si="1"/>
        <v>0</v>
      </c>
      <c r="F22" s="87">
        <f ca="1">IF(D22&gt;0, SUMPRODUCT(D13:D21, F13:F21)/D22, 0)</f>
        <v>9.3565683984596942E-2</v>
      </c>
      <c r="G22" s="88">
        <f ca="1">SUM(G13:G21)</f>
        <v>1</v>
      </c>
    </row>
    <row r="23" spans="2:7" ht="12" customHeight="1"/>
    <row r="24" spans="2:7" ht="12" customHeight="1"/>
  </sheetData>
  <mergeCells count="26">
    <mergeCell ref="J8:K8"/>
    <mergeCell ref="B9:C9"/>
    <mergeCell ref="J9:K9"/>
    <mergeCell ref="F9:G9"/>
    <mergeCell ref="H9:I9"/>
    <mergeCell ref="D9:E9"/>
    <mergeCell ref="B11:G11"/>
    <mergeCell ref="B8:C8"/>
    <mergeCell ref="D8:E8"/>
    <mergeCell ref="F8:G8"/>
    <mergeCell ref="H8:I8"/>
    <mergeCell ref="B5:C5"/>
    <mergeCell ref="H5:J5"/>
    <mergeCell ref="D5:E5"/>
    <mergeCell ref="F5:G5"/>
    <mergeCell ref="B7:C7"/>
    <mergeCell ref="D7:E7"/>
    <mergeCell ref="F7:G7"/>
    <mergeCell ref="H7:I7"/>
    <mergeCell ref="J7:K7"/>
    <mergeCell ref="B2:I2"/>
    <mergeCell ref="J2:N2"/>
    <mergeCell ref="B4:C4"/>
    <mergeCell ref="D4:E4"/>
    <mergeCell ref="F4:G4"/>
    <mergeCell ref="H4:J4"/>
  </mergeCells>
  <dataValidations count="4">
    <dataValidation type="list" allowBlank="1" sqref="D5" xr:uid="{00000000-0002-0000-0500-000000000000}">
      <formula1>"All Categories,Personal Loan,Credit Card,Fintech Credit,Community Loan,Vendor / Home,Chit Fund / BC,Secured / Jewel,Family &amp; Other,Informal Loan"</formula1>
    </dataValidation>
    <dataValidation type="list" allowBlank="1" sqref="F5" xr:uid="{00000000-0002-0000-0500-000001000000}">
      <formula1>"All Status,Open,Closed"</formula1>
    </dataValidation>
    <dataValidation type="list" allowBlank="1" sqref="H5" xr:uid="{00000000-0002-0000-0500-000002000000}">
      <formula1>"All Payments,EMI View,Lump Sum View"</formula1>
    </dataValidation>
    <dataValidation type="list" allowBlank="1" sqref="B5" xr:uid="{00000000-0002-0000-0500-000003000000}">
      <formula1>"All Owners,Shahil,Mukhtar,Israfil,Abba,Ammi,Others"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I100"/>
  <sheetViews>
    <sheetView workbookViewId="0">
      <pane ySplit="8" topLeftCell="A9" activePane="bottomLeft" state="frozen"/>
      <selection pane="bottomLeft" activeCell="C8" sqref="C8:G8"/>
    </sheetView>
  </sheetViews>
  <sheetFormatPr defaultColWidth="12.5703125" defaultRowHeight="15" customHeight="1"/>
  <cols>
    <col min="1" max="1" width="3.5703125" customWidth="1"/>
    <col min="2" max="3" width="13.85546875" customWidth="1"/>
    <col min="4" max="4" width="22.5703125" customWidth="1"/>
    <col min="5" max="5" width="13.85546875" customWidth="1"/>
    <col min="6" max="6" width="18.28515625" customWidth="1"/>
    <col min="7" max="7" width="17" customWidth="1"/>
    <col min="8" max="8" width="23.42578125" customWidth="1"/>
    <col min="9" max="9" width="30.140625" customWidth="1"/>
  </cols>
  <sheetData>
    <row r="1" spans="2:9" ht="12.75">
      <c r="B1" s="172" t="s">
        <v>155</v>
      </c>
      <c r="C1" s="123"/>
      <c r="D1" s="123"/>
      <c r="E1" s="123"/>
      <c r="F1" s="123"/>
      <c r="G1" s="123"/>
      <c r="H1" s="173"/>
      <c r="I1" s="123"/>
    </row>
    <row r="2" spans="2:9" ht="15" customHeight="1">
      <c r="B2" s="123"/>
      <c r="C2" s="123"/>
      <c r="D2" s="123"/>
      <c r="E2" s="123"/>
      <c r="F2" s="123"/>
      <c r="G2" s="123"/>
      <c r="H2" s="123"/>
      <c r="I2" s="123"/>
    </row>
    <row r="4" spans="2:9" ht="12.75">
      <c r="B4" s="174" t="s">
        <v>156</v>
      </c>
      <c r="C4" s="159"/>
      <c r="D4" s="174" t="s">
        <v>157</v>
      </c>
      <c r="E4" s="159"/>
      <c r="F4" s="174" t="s">
        <v>158</v>
      </c>
      <c r="G4" s="159"/>
      <c r="H4" s="174" t="s">
        <v>159</v>
      </c>
      <c r="I4" s="159"/>
    </row>
    <row r="5" spans="2:9" ht="21">
      <c r="B5" s="170">
        <f ca="1">SUM(G9:G100)</f>
        <v>0</v>
      </c>
      <c r="C5" s="159"/>
      <c r="D5" s="170">
        <f ca="1">SUMIFS(G9:G100, C9:C100, "&gt;="&amp;DATE(YEAR(TODAY()), MONTH(TODAY()), 1), C9:C100, "&lt;="&amp;EOMONTH(TODAY(), 0))</f>
        <v>0</v>
      </c>
      <c r="E5" s="159"/>
      <c r="F5" s="170">
        <f ca="1">SUMIF(F9:F100, "Lump Sum", G9:G100)</f>
        <v>0</v>
      </c>
      <c r="G5" s="159"/>
      <c r="H5" s="170">
        <f ca="1">IFERROR(AVERAGEIF(G9:G100, "&gt;0"), 0)</f>
        <v>0</v>
      </c>
      <c r="I5" s="159"/>
    </row>
    <row r="6" spans="2:9" ht="12.75">
      <c r="B6" s="171" t="s">
        <v>161</v>
      </c>
      <c r="C6" s="159"/>
      <c r="D6" s="171" t="s">
        <v>162</v>
      </c>
      <c r="E6" s="159"/>
      <c r="F6" s="171" t="s">
        <v>163</v>
      </c>
      <c r="G6" s="159"/>
      <c r="H6" s="171" t="s">
        <v>164</v>
      </c>
      <c r="I6" s="159"/>
    </row>
    <row r="8" spans="2:9" ht="24" customHeight="1">
      <c r="B8" s="56" t="s">
        <v>165</v>
      </c>
      <c r="C8" s="56" t="s">
        <v>166</v>
      </c>
      <c r="D8" s="56" t="s">
        <v>67</v>
      </c>
      <c r="E8" s="56" t="s">
        <v>167</v>
      </c>
      <c r="F8" s="56" t="s">
        <v>168</v>
      </c>
      <c r="G8" s="56" t="s">
        <v>169</v>
      </c>
      <c r="H8" s="56" t="s">
        <v>170</v>
      </c>
      <c r="I8" s="56" t="s">
        <v>171</v>
      </c>
    </row>
    <row r="9" spans="2:9" ht="19.5" customHeight="1">
      <c r="B9" s="57" t="s">
        <v>172</v>
      </c>
      <c r="C9" s="58">
        <v>46300</v>
      </c>
      <c r="D9" s="59" t="s">
        <v>110</v>
      </c>
      <c r="E9" s="57" t="s">
        <v>88</v>
      </c>
      <c r="F9" s="57" t="s">
        <v>77</v>
      </c>
      <c r="G9" s="60">
        <f t="array" aca="1" ref="G9" ca="1">IF(OR(D9="", F9=""), "", IFERROR(_xludf.IFS(F9="Monthly EMI", _xlfn.XLOOKUP(D9, Loan_Management!$B$3:$B$25, Loan_Management!$I$3:$I$25, 0), F9="Full Settlement", _xlfn.XLOOKUP(D9, Loan_Management!$B$3:$B$25, Loan_Management!$F$3:$F$25, 0), F9="Interest Only", _xlfn.XLOOKUP(D9, Loan_Management!$B$3:$B$25, Loan_Management!$I$3:$I$25, 0), F9="Lump Sum", 10000, TRUE, 0), 0))</f>
        <v>0</v>
      </c>
      <c r="H9" s="57" t="s">
        <v>173</v>
      </c>
      <c r="I9" s="59" t="s">
        <v>174</v>
      </c>
    </row>
    <row r="10" spans="2:9" ht="19.5" customHeight="1">
      <c r="B10" s="61" t="s">
        <v>175</v>
      </c>
      <c r="C10" s="62">
        <v>46300</v>
      </c>
      <c r="D10" s="63" t="s">
        <v>96</v>
      </c>
      <c r="E10" s="61" t="s">
        <v>88</v>
      </c>
      <c r="F10" s="61" t="s">
        <v>77</v>
      </c>
      <c r="G10" s="64">
        <f t="array" aca="1" ref="G10" ca="1">IF(OR(D10="", F10=""), "", IFERROR(_xludf.IFS(F10="Monthly EMI", _xlfn.XLOOKUP(D10, Loan_Management!$B$3:$B$25, Loan_Management!$I$3:$I$25, 0), F10="Full Settlement", _xlfn.XLOOKUP(D10, Loan_Management!$B$3:$B$25, Loan_Management!$F$3:$F$25, 0), F10="Interest Only", _xlfn.XLOOKUP(D10, Loan_Management!$B$3:$B$25, Loan_Management!$I$3:$I$25, 0), F10="Lump Sum", 10000, TRUE, 0), 0))</f>
        <v>0</v>
      </c>
      <c r="H10" s="61" t="s">
        <v>173</v>
      </c>
      <c r="I10" s="63" t="s">
        <v>176</v>
      </c>
    </row>
    <row r="11" spans="2:9" ht="19.5" customHeight="1">
      <c r="B11" s="57" t="s">
        <v>177</v>
      </c>
      <c r="C11" s="58">
        <v>46300</v>
      </c>
      <c r="D11" s="59" t="s">
        <v>116</v>
      </c>
      <c r="E11" s="57" t="s">
        <v>153</v>
      </c>
      <c r="F11" s="57" t="s">
        <v>77</v>
      </c>
      <c r="G11" s="60">
        <f t="array" aca="1" ref="G11" ca="1">IF(OR(D11="", F11=""), "", IFERROR(_xludf.IFS(F11="Monthly EMI", _xlfn.XLOOKUP(D11, Loan_Management!$B$3:$B$25, Loan_Management!$I$3:$I$25, 0), F11="Full Settlement", _xlfn.XLOOKUP(D11, Loan_Management!$B$3:$B$25, Loan_Management!$F$3:$F$25, 0), F11="Interest Only", _xlfn.XLOOKUP(D11, Loan_Management!$B$3:$B$25, Loan_Management!$I$3:$I$25, 0), F11="Lump Sum", 10000, TRUE, 0), 0))</f>
        <v>0</v>
      </c>
      <c r="H11" s="57" t="s">
        <v>173</v>
      </c>
      <c r="I11" s="59" t="s">
        <v>184</v>
      </c>
    </row>
    <row r="12" spans="2:9" ht="19.5" customHeight="1">
      <c r="B12" s="61" t="s">
        <v>185</v>
      </c>
      <c r="C12" s="62">
        <v>46315</v>
      </c>
      <c r="D12" s="63" t="s">
        <v>121</v>
      </c>
      <c r="E12" s="61" t="s">
        <v>154</v>
      </c>
      <c r="F12" s="61" t="s">
        <v>186</v>
      </c>
      <c r="G12" s="64">
        <f t="array" aca="1" ref="G12" ca="1">IF(OR(D12="", F12=""), "", IFERROR(_xludf.IFS(F12="Monthly EMI", _xlfn.XLOOKUP(D12, Loan_Management!$B$3:$B$25, Loan_Management!$I$3:$I$25, 0), F12="Full Settlement", _xlfn.XLOOKUP(D12, Loan_Management!$B$3:$B$25, Loan_Management!$F$3:$F$25, 0), F12="Interest Only", _xlfn.XLOOKUP(D12, Loan_Management!$B$3:$B$25, Loan_Management!$I$3:$I$25, 0), F12="Lump Sum", 10000, TRUE, 0), 0))</f>
        <v>0</v>
      </c>
      <c r="H12" s="61" t="s">
        <v>173</v>
      </c>
      <c r="I12" s="63" t="s">
        <v>193</v>
      </c>
    </row>
    <row r="13" spans="2:9" ht="19.5" customHeight="1">
      <c r="B13" s="57" t="s">
        <v>194</v>
      </c>
      <c r="C13" s="58">
        <v>46305</v>
      </c>
      <c r="D13" s="59" t="s">
        <v>123</v>
      </c>
      <c r="E13" s="57" t="s">
        <v>160</v>
      </c>
      <c r="F13" s="57" t="s">
        <v>77</v>
      </c>
      <c r="G13" s="60">
        <f t="array" aca="1" ref="G13" ca="1">IF(OR(D13="", F13=""), "", IFERROR(_xludf.IFS(F13="Monthly EMI", _xlfn.XLOOKUP(D13, Loan_Management!$B$3:$B$25, Loan_Management!$I$3:$I$25, 0), F13="Full Settlement", _xlfn.XLOOKUP(D13, Loan_Management!$B$3:$B$25, Loan_Management!$F$3:$F$25, 0), F13="Interest Only", _xlfn.XLOOKUP(D13, Loan_Management!$B$3:$B$25, Loan_Management!$I$3:$I$25, 0), F13="Lump Sum", 10000, TRUE, 0), 0))</f>
        <v>0</v>
      </c>
      <c r="H13" s="57" t="s">
        <v>173</v>
      </c>
      <c r="I13" s="59" t="s">
        <v>199</v>
      </c>
    </row>
    <row r="14" spans="2:9" ht="19.5" customHeight="1">
      <c r="B14" s="61" t="s">
        <v>200</v>
      </c>
      <c r="C14" s="62">
        <v>46331</v>
      </c>
      <c r="D14" s="63" t="s">
        <v>134</v>
      </c>
      <c r="E14" s="61" t="s">
        <v>154</v>
      </c>
      <c r="F14" s="61" t="s">
        <v>201</v>
      </c>
      <c r="G14" s="64">
        <f t="array" aca="1" ref="G14" ca="1">IF(OR(D14="", F14=""), "", IFERROR(_xludf.IFS(F14="Monthly EMI", _xlfn.XLOOKUP(D14, Loan_Management!$B$3:$B$25, Loan_Management!$I$3:$I$25, 0), F14="Full Settlement", _xlfn.XLOOKUP(D14, Loan_Management!$B$3:$B$25, Loan_Management!$F$3:$F$25, 0), F14="Interest Only", _xlfn.XLOOKUP(D14, Loan_Management!$B$3:$B$25, Loan_Management!$I$3:$I$25, 0), F14="Lump Sum", 10000, TRUE, 0), 0))</f>
        <v>0</v>
      </c>
      <c r="H14" s="61" t="s">
        <v>173</v>
      </c>
      <c r="I14" s="63" t="s">
        <v>202</v>
      </c>
    </row>
    <row r="15" spans="2:9" ht="19.5" customHeight="1">
      <c r="B15" s="57" t="s">
        <v>203</v>
      </c>
      <c r="C15" s="58">
        <v>46300</v>
      </c>
      <c r="D15" s="59" t="s">
        <v>114</v>
      </c>
      <c r="E15" s="57" t="s">
        <v>88</v>
      </c>
      <c r="F15" s="57" t="s">
        <v>77</v>
      </c>
      <c r="G15" s="60">
        <f t="array" aca="1" ref="G15" ca="1">IF(OR(D15="", F15=""), "", IFERROR(_xludf.IFS(F15="Monthly EMI", _xlfn.XLOOKUP(D15, Loan_Management!$B$3:$B$25, Loan_Management!$I$3:$I$25, 0), F15="Full Settlement", _xlfn.XLOOKUP(D15, Loan_Management!$B$3:$B$25, Loan_Management!$F$3:$F$25, 0), F15="Interest Only", _xlfn.XLOOKUP(D15, Loan_Management!$B$3:$B$25, Loan_Management!$I$3:$I$25, 0), F15="Lump Sum", 10000, TRUE, 0), 0))</f>
        <v>0</v>
      </c>
      <c r="H15" s="57" t="s">
        <v>173</v>
      </c>
      <c r="I15" s="59" t="s">
        <v>204</v>
      </c>
    </row>
    <row r="16" spans="2:9" ht="19.5" customHeight="1">
      <c r="B16" s="61" t="s">
        <v>205</v>
      </c>
      <c r="C16" s="62">
        <v>46315</v>
      </c>
      <c r="D16" s="63" t="s">
        <v>119</v>
      </c>
      <c r="E16" s="61" t="s">
        <v>154</v>
      </c>
      <c r="F16" s="61" t="s">
        <v>77</v>
      </c>
      <c r="G16" s="64">
        <f t="array" aca="1" ref="G16" ca="1">IF(OR(D16="", F16=""), "", IFERROR(_xludf.IFS(F16="Monthly EMI", _xlfn.XLOOKUP(D16, Loan_Management!$B$3:$B$25, Loan_Management!$I$3:$I$25, 0), F16="Full Settlement", _xlfn.XLOOKUP(D16, Loan_Management!$B$3:$B$25, Loan_Management!$F$3:$F$25, 0), F16="Interest Only", _xlfn.XLOOKUP(D16, Loan_Management!$B$3:$B$25, Loan_Management!$I$3:$I$25, 0), F16="Lump Sum", 10000, TRUE, 0), 0))</f>
        <v>0</v>
      </c>
      <c r="H16" s="61" t="s">
        <v>173</v>
      </c>
      <c r="I16" s="63" t="s">
        <v>210</v>
      </c>
    </row>
    <row r="17" spans="2:9" ht="19.5" customHeight="1">
      <c r="B17" s="57" t="s">
        <v>211</v>
      </c>
      <c r="C17" s="58">
        <v>46300</v>
      </c>
      <c r="D17" s="59" t="s">
        <v>108</v>
      </c>
      <c r="E17" s="57" t="s">
        <v>88</v>
      </c>
      <c r="F17" s="57" t="s">
        <v>77</v>
      </c>
      <c r="G17" s="60">
        <f t="array" aca="1" ref="G17" ca="1">IF(OR(D17="", F17=""), "", IFERROR(_xludf.IFS(F17="Monthly EMI", _xlfn.XLOOKUP(D17, Loan_Management!$B$3:$B$25, Loan_Management!$I$3:$I$25, 0), F17="Full Settlement", _xlfn.XLOOKUP(D17, Loan_Management!$B$3:$B$25, Loan_Management!$F$3:$F$25, 0), F17="Interest Only", _xlfn.XLOOKUP(D17, Loan_Management!$B$3:$B$25, Loan_Management!$I$3:$I$25, 0), F17="Lump Sum", 10000, TRUE, 0), 0))</f>
        <v>0</v>
      </c>
      <c r="H17" s="57" t="s">
        <v>173</v>
      </c>
      <c r="I17" s="59" t="s">
        <v>216</v>
      </c>
    </row>
    <row r="18" spans="2:9" ht="19.5" customHeight="1">
      <c r="B18" s="61" t="s">
        <v>217</v>
      </c>
      <c r="C18" s="62">
        <v>46300</v>
      </c>
      <c r="D18" s="63" t="s">
        <v>113</v>
      </c>
      <c r="E18" s="61" t="s">
        <v>88</v>
      </c>
      <c r="F18" s="61" t="s">
        <v>77</v>
      </c>
      <c r="G18" s="64">
        <f t="array" aca="1" ref="G18" ca="1">IF(OR(D18="", F18=""), "", IFERROR(_xludf.IFS(F18="Monthly EMI", _xlfn.XLOOKUP(D18, Loan_Management!$B$3:$B$25, Loan_Management!$I$3:$I$25, 0), F18="Full Settlement", _xlfn.XLOOKUP(D18, Loan_Management!$B$3:$B$25, Loan_Management!$F$3:$F$25, 0), F18="Interest Only", _xlfn.XLOOKUP(D18, Loan_Management!$B$3:$B$25, Loan_Management!$I$3:$I$25, 0), F18="Lump Sum", 10000, TRUE, 0), 0))</f>
        <v>0</v>
      </c>
      <c r="H18" s="61" t="s">
        <v>173</v>
      </c>
      <c r="I18" s="63" t="s">
        <v>218</v>
      </c>
    </row>
    <row r="19" spans="2:9" ht="21" customHeight="1">
      <c r="B19" s="61" t="s">
        <v>219</v>
      </c>
      <c r="C19" s="75"/>
      <c r="D19" s="63"/>
      <c r="E19" s="75"/>
      <c r="F19" s="77"/>
      <c r="G19" s="78" t="str">
        <f t="array" ref="G19">IF(OR(D19="", F19=""), "", IFERROR(_xludf.IFS(F19="Monthly EMI", _xlfn.XLOOKUP(D19, Loan_Management!$B$3:$B$25, Loan_Management!$I$3:$I$25, 0), F19="Full Settlement", _xlfn.XLOOKUP(D19, Loan_Management!$B$3:$B$25, Loan_Management!$F$3:$F$25, 0), F19="Interest Only", _xlfn.XLOOKUP(D19, Loan_Management!$B$3:$B$25, Loan_Management!$I$3:$I$25, 0), F19="Lump Sum", 10000, TRUE, 0), 0))</f>
        <v/>
      </c>
      <c r="H19" s="79"/>
      <c r="I19" s="75"/>
    </row>
    <row r="20" spans="2:9" ht="12.75">
      <c r="B20" s="61" t="s">
        <v>220</v>
      </c>
      <c r="D20" s="63"/>
      <c r="G20" s="82" t="str">
        <f t="array" ref="G20">IF(OR(D20="", F20=""), "", IFERROR(_xludf.IFS(F20="Monthly EMI", _xlfn.XLOOKUP(D20, Loan_Management!$B$3:$B$25, Loan_Management!$I$3:$I$25, 0), F20="Full Settlement", _xlfn.XLOOKUP(D20, Loan_Management!$B$3:$B$25, Loan_Management!$F$3:$F$25, 0), F20="Interest Only", _xlfn.XLOOKUP(D20, Loan_Management!$B$3:$B$25, Loan_Management!$I$3:$I$25, 0), F20="Lump Sum", 10000, TRUE, 0), 0))</f>
        <v/>
      </c>
    </row>
    <row r="21" spans="2:9" ht="12.75">
      <c r="B21" s="61" t="s">
        <v>221</v>
      </c>
      <c r="D21" s="63"/>
      <c r="G21" s="82" t="str">
        <f t="array" ref="G21">IF(OR(D21="", F21=""), "", IFERROR(_xludf.IFS(F21="Monthly EMI", _xlfn.XLOOKUP(D21, Loan_Management!$B$3:$B$25, Loan_Management!$I$3:$I$25, 0), F21="Full Settlement", _xlfn.XLOOKUP(D21, Loan_Management!$B$3:$B$25, Loan_Management!$F$3:$F$25, 0), F21="Interest Only", _xlfn.XLOOKUP(D21, Loan_Management!$B$3:$B$25, Loan_Management!$I$3:$I$25, 0), F21="Lump Sum", 10000, TRUE, 0), 0))</f>
        <v/>
      </c>
    </row>
    <row r="22" spans="2:9" ht="12.75">
      <c r="B22" s="61" t="s">
        <v>222</v>
      </c>
      <c r="D22" s="63"/>
      <c r="G22" s="82" t="str">
        <f t="array" ref="G22">IF(OR(D22="", F22=""), "", IFERROR(_xludf.IFS(F22="Monthly EMI", _xlfn.XLOOKUP(D22, Loan_Management!$B$3:$B$25, Loan_Management!$I$3:$I$25, 0), F22="Full Settlement", _xlfn.XLOOKUP(D22, Loan_Management!$B$3:$B$25, Loan_Management!$F$3:$F$25, 0), F22="Interest Only", _xlfn.XLOOKUP(D22, Loan_Management!$B$3:$B$25, Loan_Management!$I$3:$I$25, 0), F22="Lump Sum", 10000, TRUE, 0), 0))</f>
        <v/>
      </c>
    </row>
    <row r="23" spans="2:9" ht="12.75">
      <c r="B23" s="61" t="s">
        <v>223</v>
      </c>
      <c r="D23" s="1"/>
      <c r="G23" s="82" t="str">
        <f t="array" ref="G23">IF(OR(D23="", F23=""), "", IFERROR(_xludf.IFS(F23="Monthly EMI", _xlfn.XLOOKUP(D23, Loan_Management!$B$3:$B$25, Loan_Management!$I$3:$I$25, 0), F23="Full Settlement", _xlfn.XLOOKUP(D23, Loan_Management!$B$3:$B$25, Loan_Management!$F$3:$F$25, 0), F23="Interest Only", _xlfn.XLOOKUP(D23, Loan_Management!$B$3:$B$25, Loan_Management!$I$3:$I$25, 0), F23="Lump Sum", 10000, TRUE, 0), 0))</f>
        <v/>
      </c>
    </row>
    <row r="24" spans="2:9" ht="12.75">
      <c r="B24" s="61" t="s">
        <v>224</v>
      </c>
      <c r="D24" s="1"/>
      <c r="G24" s="82" t="str">
        <f t="array" ref="G24">IF(OR(D24="", F24=""), "", IFERROR(_xludf.IFS(F24="Monthly EMI", _xlfn.XLOOKUP(D24, Loan_Management!$B$3:$B$25, Loan_Management!$I$3:$I$25, 0), F24="Full Settlement", _xlfn.XLOOKUP(D24, Loan_Management!$B$3:$B$25, Loan_Management!$F$3:$F$25, 0), F24="Interest Only", _xlfn.XLOOKUP(D24, Loan_Management!$B$3:$B$25, Loan_Management!$I$3:$I$25, 0), F24="Lump Sum", 10000, TRUE, 0), 0))</f>
        <v/>
      </c>
    </row>
    <row r="25" spans="2:9" ht="12.75">
      <c r="B25" s="61" t="s">
        <v>225</v>
      </c>
      <c r="D25" s="1"/>
      <c r="G25" s="82" t="str">
        <f t="array" ref="G25">IF(OR(D25="", F25=""), "", IFERROR(_xludf.IFS(F25="Monthly EMI", _xlfn.XLOOKUP(D25, Loan_Management!$B$3:$B$25, Loan_Management!$I$3:$I$25, 0), F25="Full Settlement", _xlfn.XLOOKUP(D25, Loan_Management!$B$3:$B$25, Loan_Management!$F$3:$F$25, 0), F25="Interest Only", _xlfn.XLOOKUP(D25, Loan_Management!$B$3:$B$25, Loan_Management!$I$3:$I$25, 0), F25="Lump Sum", 10000, TRUE, 0), 0))</f>
        <v/>
      </c>
    </row>
    <row r="26" spans="2:9" ht="12.75">
      <c r="B26" s="61" t="s">
        <v>226</v>
      </c>
      <c r="D26" s="1"/>
      <c r="G26" s="82" t="str">
        <f t="array" ref="G26">IF(OR(D26="", F26=""), "", IFERROR(_xludf.IFS(F26="Monthly EMI", _xlfn.XLOOKUP(D26, Loan_Management!$B$3:$B$25, Loan_Management!$I$3:$I$25, 0), F26="Full Settlement", _xlfn.XLOOKUP(D26, Loan_Management!$B$3:$B$25, Loan_Management!$F$3:$F$25, 0), F26="Interest Only", _xlfn.XLOOKUP(D26, Loan_Management!$B$3:$B$25, Loan_Management!$I$3:$I$25, 0), F26="Lump Sum", 10000, TRUE, 0), 0))</f>
        <v/>
      </c>
    </row>
    <row r="27" spans="2:9" ht="12.75">
      <c r="B27" s="61" t="s">
        <v>227</v>
      </c>
      <c r="D27" s="1"/>
      <c r="G27" s="82" t="str">
        <f t="array" ref="G27">IF(OR(D27="", F27=""), "", IFERROR(_xludf.IFS(F27="Monthly EMI", _xlfn.XLOOKUP(D27, Loan_Management!$B$3:$B$25, Loan_Management!$I$3:$I$25, 0), F27="Full Settlement", _xlfn.XLOOKUP(D27, Loan_Management!$B$3:$B$25, Loan_Management!$F$3:$F$25, 0), F27="Interest Only", _xlfn.XLOOKUP(D27, Loan_Management!$B$3:$B$25, Loan_Management!$I$3:$I$25, 0), F27="Lump Sum", 10000, TRUE, 0), 0))</f>
        <v/>
      </c>
    </row>
    <row r="28" spans="2:9" ht="12.75">
      <c r="B28" s="61" t="s">
        <v>228</v>
      </c>
      <c r="D28" s="1"/>
      <c r="G28" s="82" t="str">
        <f t="array" ref="G28">IF(OR(D28="", F28=""), "", IFERROR(_xludf.IFS(F28="Monthly EMI", _xlfn.XLOOKUP(D28, Loan_Management!$B$3:$B$25, Loan_Management!$I$3:$I$25, 0), F28="Full Settlement", _xlfn.XLOOKUP(D28, Loan_Management!$B$3:$B$25, Loan_Management!$F$3:$F$25, 0), F28="Interest Only", _xlfn.XLOOKUP(D28, Loan_Management!$B$3:$B$25, Loan_Management!$I$3:$I$25, 0), F28="Lump Sum", 10000, TRUE, 0), 0))</f>
        <v/>
      </c>
    </row>
    <row r="29" spans="2:9" ht="12.75">
      <c r="D29" s="1"/>
    </row>
    <row r="30" spans="2:9" ht="12.75">
      <c r="D30" s="1"/>
    </row>
    <row r="31" spans="2:9" ht="12.75">
      <c r="D31" s="1"/>
    </row>
    <row r="32" spans="2:9" ht="12.75">
      <c r="D32" s="1"/>
    </row>
    <row r="33" spans="4:4" ht="12.75">
      <c r="D33" s="1"/>
    </row>
    <row r="34" spans="4:4" ht="12.75">
      <c r="D34" s="1"/>
    </row>
    <row r="35" spans="4:4" ht="12.75">
      <c r="D35" s="1"/>
    </row>
    <row r="36" spans="4:4" ht="12.75">
      <c r="D36" s="1"/>
    </row>
    <row r="37" spans="4:4" ht="12.75">
      <c r="D37" s="1"/>
    </row>
    <row r="38" spans="4:4" ht="12.75">
      <c r="D38" s="1"/>
    </row>
    <row r="39" spans="4:4" ht="12.75">
      <c r="D39" s="1"/>
    </row>
    <row r="40" spans="4:4" ht="12.75">
      <c r="D40" s="1"/>
    </row>
    <row r="41" spans="4:4" ht="12.75">
      <c r="D41" s="1"/>
    </row>
    <row r="42" spans="4:4" ht="12.75">
      <c r="D42" s="1"/>
    </row>
    <row r="43" spans="4:4" ht="12.75">
      <c r="D43" s="1"/>
    </row>
    <row r="44" spans="4:4" ht="12.75">
      <c r="D44" s="1"/>
    </row>
    <row r="45" spans="4:4" ht="12.75">
      <c r="D45" s="1"/>
    </row>
    <row r="46" spans="4:4" ht="12.75">
      <c r="D46" s="1"/>
    </row>
    <row r="47" spans="4:4" ht="12.75">
      <c r="D47" s="1"/>
    </row>
    <row r="48" spans="4:4" ht="12.75">
      <c r="D48" s="1"/>
    </row>
    <row r="49" spans="4:4" ht="12.75">
      <c r="D49" s="1"/>
    </row>
    <row r="50" spans="4:4" ht="12.75">
      <c r="D50" s="1"/>
    </row>
    <row r="51" spans="4:4" ht="12.75">
      <c r="D51" s="1"/>
    </row>
    <row r="52" spans="4:4" ht="12.75">
      <c r="D52" s="1"/>
    </row>
    <row r="53" spans="4:4" ht="12.75">
      <c r="D53" s="1"/>
    </row>
    <row r="54" spans="4:4" ht="12.75">
      <c r="D54" s="1"/>
    </row>
    <row r="55" spans="4:4" ht="12.75">
      <c r="D55" s="1"/>
    </row>
    <row r="56" spans="4:4" ht="12.75">
      <c r="D56" s="1"/>
    </row>
    <row r="57" spans="4:4" ht="12.75">
      <c r="D57" s="1"/>
    </row>
    <row r="58" spans="4:4" ht="12.75">
      <c r="D58" s="1"/>
    </row>
    <row r="59" spans="4:4" ht="12.75">
      <c r="D59" s="1"/>
    </row>
    <row r="60" spans="4:4" ht="12.75">
      <c r="D60" s="1"/>
    </row>
    <row r="61" spans="4:4" ht="12.75">
      <c r="D61" s="1"/>
    </row>
    <row r="62" spans="4:4" ht="12.75">
      <c r="D62" s="1"/>
    </row>
    <row r="63" spans="4:4" ht="12.75">
      <c r="D63" s="1"/>
    </row>
    <row r="64" spans="4:4" ht="12.75">
      <c r="D64" s="1"/>
    </row>
    <row r="65" spans="4:4" ht="12.75">
      <c r="D65" s="1"/>
    </row>
    <row r="66" spans="4:4" ht="12.75">
      <c r="D66" s="1"/>
    </row>
    <row r="67" spans="4:4" ht="12.75">
      <c r="D67" s="1"/>
    </row>
    <row r="68" spans="4:4" ht="12.75">
      <c r="D68" s="1"/>
    </row>
    <row r="69" spans="4:4" ht="12.75">
      <c r="D69" s="1"/>
    </row>
    <row r="70" spans="4:4" ht="12.75">
      <c r="D70" s="1"/>
    </row>
    <row r="71" spans="4:4" ht="12.75">
      <c r="D71" s="1"/>
    </row>
    <row r="72" spans="4:4" ht="12.75">
      <c r="D72" s="1"/>
    </row>
    <row r="73" spans="4:4" ht="12.75">
      <c r="D73" s="1"/>
    </row>
    <row r="74" spans="4:4" ht="12.75">
      <c r="D74" s="1"/>
    </row>
    <row r="75" spans="4:4" ht="12.75">
      <c r="D75" s="1"/>
    </row>
    <row r="76" spans="4:4" ht="12.75">
      <c r="D76" s="1"/>
    </row>
    <row r="77" spans="4:4" ht="12.75">
      <c r="D77" s="1"/>
    </row>
    <row r="78" spans="4:4" ht="12.75">
      <c r="D78" s="1"/>
    </row>
    <row r="79" spans="4:4" ht="12.75">
      <c r="D79" s="1"/>
    </row>
    <row r="80" spans="4:4" ht="12.75">
      <c r="D80" s="1"/>
    </row>
    <row r="81" spans="4:4" ht="12.75">
      <c r="D81" s="1"/>
    </row>
    <row r="82" spans="4:4" ht="12.75">
      <c r="D82" s="1"/>
    </row>
    <row r="83" spans="4:4" ht="12.75">
      <c r="D83" s="1"/>
    </row>
    <row r="84" spans="4:4" ht="12.75">
      <c r="D84" s="1"/>
    </row>
    <row r="85" spans="4:4" ht="12.75">
      <c r="D85" s="1"/>
    </row>
    <row r="86" spans="4:4" ht="12.75">
      <c r="D86" s="1"/>
    </row>
    <row r="87" spans="4:4" ht="12.75">
      <c r="D87" s="1"/>
    </row>
    <row r="88" spans="4:4" ht="12.75">
      <c r="D88" s="1"/>
    </row>
    <row r="89" spans="4:4" ht="12.75">
      <c r="D89" s="1"/>
    </row>
    <row r="90" spans="4:4" ht="12.75">
      <c r="D90" s="1"/>
    </row>
    <row r="91" spans="4:4" ht="12.75">
      <c r="D91" s="1"/>
    </row>
    <row r="92" spans="4:4" ht="12.75">
      <c r="D92" s="1"/>
    </row>
    <row r="93" spans="4:4" ht="12.75">
      <c r="D93" s="1"/>
    </row>
    <row r="94" spans="4:4" ht="12.75">
      <c r="D94" s="1"/>
    </row>
    <row r="95" spans="4:4" ht="12.75">
      <c r="D95" s="1"/>
    </row>
    <row r="96" spans="4:4" ht="12.75">
      <c r="D96" s="1"/>
    </row>
    <row r="97" spans="4:4" ht="12.75">
      <c r="D97" s="1"/>
    </row>
    <row r="98" spans="4:4" ht="12.75">
      <c r="D98" s="1"/>
    </row>
    <row r="99" spans="4:4" ht="12.75">
      <c r="D99" s="1"/>
    </row>
    <row r="100" spans="4:4" ht="12.75">
      <c r="D100" s="1"/>
    </row>
  </sheetData>
  <mergeCells count="14">
    <mergeCell ref="H6:I6"/>
    <mergeCell ref="B1:G2"/>
    <mergeCell ref="H1:I2"/>
    <mergeCell ref="B4:C4"/>
    <mergeCell ref="D4:E4"/>
    <mergeCell ref="F4:G4"/>
    <mergeCell ref="H4:I4"/>
    <mergeCell ref="H5:I5"/>
    <mergeCell ref="D5:E5"/>
    <mergeCell ref="F5:G5"/>
    <mergeCell ref="B5:C5"/>
    <mergeCell ref="B6:C6"/>
    <mergeCell ref="D6:E6"/>
    <mergeCell ref="F6:G6"/>
  </mergeCells>
  <dataValidations count="3">
    <dataValidation type="list" allowBlank="1" sqref="E9:E18" xr:uid="{00000000-0002-0000-0600-000000000000}">
      <formula1>"Shahil,Abba,Ammi,Mukhtar,Israfil,Others"</formula1>
    </dataValidation>
    <dataValidation type="list" allowBlank="1" sqref="H9:H18" xr:uid="{00000000-0002-0000-0600-000002000000}">
      <formula1>"Completed,Scheduled,Pending,Failed"</formula1>
    </dataValidation>
    <dataValidation type="list" allowBlank="1" sqref="F9:F18" xr:uid="{00000000-0002-0000-0600-000003000000}">
      <formula1>"Monthly EMI,Lump Sum,Interest Only,Full Settlement"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Loan_Management!$B$3:$B$49</xm:f>
          </x14:formula1>
          <xm:sqref>D9:D100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F28"/>
  <sheetViews>
    <sheetView tabSelected="1" zoomScale="132" workbookViewId="0">
      <selection activeCell="B14" sqref="B14"/>
    </sheetView>
  </sheetViews>
  <sheetFormatPr defaultColWidth="12.5703125" defaultRowHeight="15" customHeight="1"/>
  <cols>
    <col min="1" max="1" width="16" customWidth="1"/>
    <col min="2" max="2" width="14.5703125" customWidth="1"/>
    <col min="3" max="3" width="18" customWidth="1"/>
    <col min="4" max="4" width="12.85546875" bestFit="1" customWidth="1"/>
    <col min="5" max="5" width="15.5703125" customWidth="1"/>
    <col min="6" max="6" width="16.85546875" customWidth="1"/>
    <col min="7" max="7" width="10.140625" bestFit="1" customWidth="1"/>
  </cols>
  <sheetData>
    <row r="1" spans="2:6"/>
    <row r="2" spans="2:6">
      <c r="B2" s="176" t="s">
        <v>241</v>
      </c>
      <c r="C2" s="177" t="s">
        <v>236</v>
      </c>
      <c r="D2" s="180" t="s">
        <v>237</v>
      </c>
      <c r="E2" s="188" t="s">
        <v>234</v>
      </c>
    </row>
    <row r="3" spans="2:6" ht="15" customHeight="1">
      <c r="B3" s="178">
        <v>2273000</v>
      </c>
      <c r="C3" s="179">
        <v>107550</v>
      </c>
      <c r="D3" s="184">
        <v>31000</v>
      </c>
      <c r="E3">
        <f>GETPIVOTDATA("total loan amt",$B$2)-GETPIVOTDATA("Amount Paid (₹)",$D$2)</f>
        <v>2242000</v>
      </c>
    </row>
    <row r="6" spans="2:6" ht="15" customHeight="1">
      <c r="B6" s="175" t="s">
        <v>238</v>
      </c>
      <c r="C6" s="180" t="s">
        <v>239</v>
      </c>
      <c r="D6" s="175" t="s">
        <v>238</v>
      </c>
      <c r="E6" s="180" t="s">
        <v>242</v>
      </c>
      <c r="F6" s="188" t="s">
        <v>240</v>
      </c>
    </row>
    <row r="7" spans="2:6" ht="15" customHeight="1">
      <c r="B7" s="185" t="s">
        <v>4</v>
      </c>
      <c r="C7" s="186">
        <v>1643000</v>
      </c>
      <c r="D7" s="185" t="s">
        <v>4</v>
      </c>
      <c r="E7" s="186">
        <v>30000</v>
      </c>
      <c r="F7">
        <f>IF(B7=D7,GETPIVOTDATA("Current Outstanding",$B$6,"Category","emi")-GETPIVOTDATA("Amount Paid (₹)",$D$6,"type","emi"))</f>
        <v>1613000</v>
      </c>
    </row>
    <row r="8" spans="2:6" ht="15" customHeight="1">
      <c r="B8" s="189" t="s">
        <v>232</v>
      </c>
      <c r="C8" s="190">
        <v>620000</v>
      </c>
      <c r="D8" s="189" t="s">
        <v>232</v>
      </c>
      <c r="E8" s="190">
        <v>1000</v>
      </c>
      <c r="F8">
        <f>IF(B8=D8,GETPIVOTDATA("Current Outstanding",$B$6,"Category","lumsum")-GETPIVOTDATA("Amount Paid (₹)",$D$6,"type","lumsum"))</f>
        <v>619000</v>
      </c>
    </row>
    <row r="15" spans="2:6"/>
    <row r="16" spans="2:6"/>
    <row r="17"/>
    <row r="18"/>
    <row r="19"/>
    <row r="20"/>
    <row r="21"/>
    <row r="22"/>
    <row r="23"/>
    <row r="24"/>
    <row r="25"/>
    <row r="26"/>
    <row r="27"/>
    <row r="28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54"/>
  <sheetViews>
    <sheetView topLeftCell="D1" workbookViewId="0">
      <pane ySplit="1" topLeftCell="A14" activePane="bottomLeft" state="frozen"/>
      <selection pane="bottomLeft" activeCell="I26" sqref="I26"/>
    </sheetView>
  </sheetViews>
  <sheetFormatPr defaultColWidth="12.5703125" defaultRowHeight="15" customHeight="1"/>
  <cols>
    <col min="1" max="2" width="29" customWidth="1"/>
    <col min="3" max="3" width="21.42578125" customWidth="1"/>
    <col min="4" max="4" width="12" customWidth="1"/>
    <col min="5" max="5" width="24.85546875" customWidth="1"/>
    <col min="6" max="6" width="24" customWidth="1"/>
    <col min="7" max="7" width="20.42578125" customWidth="1"/>
    <col min="8" max="8" width="18.140625" customWidth="1"/>
    <col min="9" max="9" width="18.42578125" customWidth="1"/>
    <col min="10" max="10" width="16.28515625" customWidth="1"/>
    <col min="11" max="11" width="14.85546875" customWidth="1"/>
    <col min="12" max="12" width="22" customWidth="1"/>
    <col min="13" max="13" width="25.5703125" customWidth="1"/>
    <col min="14" max="15" width="14.42578125" customWidth="1"/>
  </cols>
  <sheetData>
    <row r="1" spans="1:15" ht="21" customHeight="1">
      <c r="A1" s="35" t="s">
        <v>67</v>
      </c>
      <c r="B1" s="35" t="s">
        <v>69</v>
      </c>
      <c r="C1" s="35" t="s">
        <v>231</v>
      </c>
      <c r="D1" s="35" t="s">
        <v>70</v>
      </c>
      <c r="E1" s="35" t="s">
        <v>72</v>
      </c>
      <c r="F1" s="35" t="s">
        <v>73</v>
      </c>
      <c r="G1" s="35" t="s">
        <v>74</v>
      </c>
      <c r="H1" s="35" t="s">
        <v>77</v>
      </c>
      <c r="I1" s="35" t="s">
        <v>78</v>
      </c>
      <c r="J1" s="35" t="s">
        <v>79</v>
      </c>
      <c r="K1" s="35" t="s">
        <v>80</v>
      </c>
      <c r="L1" s="35" t="s">
        <v>82</v>
      </c>
      <c r="M1" s="35" t="s">
        <v>83</v>
      </c>
      <c r="N1" s="35" t="s">
        <v>84</v>
      </c>
      <c r="O1" s="35" t="s">
        <v>85</v>
      </c>
    </row>
    <row r="2" spans="1:15" ht="22.5" customHeight="1">
      <c r="A2" s="10" t="str">
        <f>Sheet1!B9</f>
        <v>ICICI Credit Card</v>
      </c>
      <c r="B2" s="181" t="s">
        <v>4</v>
      </c>
      <c r="C2" s="11" t="s">
        <v>87</v>
      </c>
      <c r="D2" s="11" t="s">
        <v>88</v>
      </c>
      <c r="E2" s="37">
        <f>Sheet1!D9</f>
        <v>30000</v>
      </c>
      <c r="F2" s="37">
        <f>Sheet1!E9</f>
        <v>9000</v>
      </c>
      <c r="G2" s="37">
        <f>IF(A2="", "", SUMIFS(Monthly_Repayments!$G$9:$G$200, Monthly_Repayments!$D$9:$D$200, A2, Monthly_Repayments!$F$9:$F$200, "Lump Sum") + SUMIFS(Monthly_Repayments!$G$9:$G$200, Monthly_Repayments!$D$9:$D$200, A2, Monthly_Repayments!$F$9:$F$200, "Full Settlement"))</f>
        <v>0</v>
      </c>
      <c r="H2" s="37">
        <f>Sheet1!F9</f>
        <v>8950</v>
      </c>
      <c r="I2" s="52">
        <f>Sheet1!G9</f>
        <v>0.18</v>
      </c>
      <c r="J2" s="11" t="str">
        <f>Sheet1!J9</f>
        <v>Priority 2 - Medium</v>
      </c>
      <c r="K2" s="11" t="e">
        <f>IF(A2="", "", IF(#REF!&lt;=0, "Closed", "Open"))</f>
        <v>#REF!</v>
      </c>
      <c r="L2" s="18" t="str">
        <f>Sheet1!K9</f>
        <v>Card EMI payoff</v>
      </c>
      <c r="M2" s="55">
        <f ca="1">IF(A2="", "", SUMIFS(Monthly_Repayments!$G$9:$G$200, Monthly_Repayments!$D$9:$D$200, A2, Monthly_Repayments!$F$9:$F$200, "Lump Sum", Monthly_Repayments!$C$9:$C$200, "&gt;="&amp;DATE(YEAR(TODAY()), MONTH(TODAY()), 1), Monthly_Repayments!$C$9:$C$200, "&lt;="&amp;EOMONTH(TODAY(), 0)) + SUMIFS(Monthly_Repayments!$G$9:$G$200, Monthly_Repayments!$D$9:$D$200, A2, Monthly_Repayments!$F$9:$F$200, "Full Settlement", Monthly_Repayments!$C$9:$C$200, "&gt;="&amp;DATE(YEAR(TODAY()), MONTH(TODAY()), 1), Monthly_Repayments!$C$9:$C$200, "&lt;="&amp;EOMONTH(TODAY(), 0)))</f>
        <v>0</v>
      </c>
      <c r="N2" s="36">
        <f>IF(Sheet1!H9="","",Sheet1!H9)</f>
        <v>45931</v>
      </c>
      <c r="O2" s="36">
        <f>IF(Sheet1!I9="","",Sheet1!I9)</f>
        <v>46300</v>
      </c>
    </row>
    <row r="3" spans="1:15" ht="22.5" customHeight="1">
      <c r="A3" s="10" t="str">
        <f>Sheet1!B10</f>
        <v>Cred 1</v>
      </c>
      <c r="B3" s="181" t="s">
        <v>4</v>
      </c>
      <c r="C3" s="11" t="s">
        <v>87</v>
      </c>
      <c r="D3" s="11" t="s">
        <v>88</v>
      </c>
      <c r="E3" s="37">
        <f>Sheet1!D10</f>
        <v>20000</v>
      </c>
      <c r="F3" s="37">
        <f>Sheet1!E10</f>
        <v>8000</v>
      </c>
      <c r="G3" s="37">
        <f>IF(A3="", "", SUMIFS(Monthly_Repayments!$G$9:$G$200, Monthly_Repayments!$D$9:$D$200, A3, Monthly_Repayments!$F$9:$F$200, "Lump Sum") + SUMIFS(Monthly_Repayments!$G$9:$G$200, Monthly_Repayments!$D$9:$D$200, A3, Monthly_Repayments!$F$9:$F$200, "Full Settlement"))</f>
        <v>0</v>
      </c>
      <c r="H3" s="37">
        <f>Sheet1!F10</f>
        <v>2800</v>
      </c>
      <c r="I3" s="52">
        <f>Sheet1!G10</f>
        <v>0.16500000000000001</v>
      </c>
      <c r="J3" s="11" t="str">
        <f>Sheet1!J10</f>
        <v>Priority 2 - Medium</v>
      </c>
      <c r="K3" s="11" t="e">
        <f>IF(A3="", "", IF(#REF!&lt;=0, "Closed", "Open"))</f>
        <v>#REF!</v>
      </c>
      <c r="L3" s="18" t="str">
        <f>Sheet1!K10</f>
        <v>Credit line EMI</v>
      </c>
      <c r="M3" s="55">
        <f ca="1">IF(A3="", "", SUMIFS(Monthly_Repayments!$G$9:$G$200, Monthly_Repayments!$D$9:$D$200, A3, Monthly_Repayments!$F$9:$F$200, "Lump Sum", Monthly_Repayments!$C$9:$C$200, "&gt;="&amp;DATE(YEAR(TODAY()), MONTH(TODAY()), 1), Monthly_Repayments!$C$9:$C$200, "&lt;="&amp;EOMONTH(TODAY(), 0)) + SUMIFS(Monthly_Repayments!$G$9:$G$200, Monthly_Repayments!$D$9:$D$200, A3, Monthly_Repayments!$F$9:$F$200, "Full Settlement", Monthly_Repayments!$C$9:$C$200, "&gt;="&amp;DATE(YEAR(TODAY()), MONTH(TODAY()), 1), Monthly_Repayments!$C$9:$C$200, "&lt;="&amp;EOMONTH(TODAY(), 0)))</f>
        <v>0</v>
      </c>
      <c r="N3" s="36">
        <f>IF(Sheet1!H10="","",Sheet1!H10)</f>
        <v>46113</v>
      </c>
      <c r="O3" s="36">
        <f>IF(Sheet1!I10="","",Sheet1!I10)</f>
        <v>46362</v>
      </c>
    </row>
    <row r="4" spans="1:15" ht="22.5" customHeight="1">
      <c r="A4" s="10" t="str">
        <f>Sheet1!B11</f>
        <v>Slice</v>
      </c>
      <c r="B4" s="181" t="s">
        <v>4</v>
      </c>
      <c r="C4" s="11" t="s">
        <v>100</v>
      </c>
      <c r="D4" s="11" t="s">
        <v>88</v>
      </c>
      <c r="E4" s="37">
        <f>Sheet1!D11</f>
        <v>300000</v>
      </c>
      <c r="F4" s="37">
        <f>Sheet1!E11</f>
        <v>175000</v>
      </c>
      <c r="G4" s="37">
        <f>IF(A4="", "", SUMIFS(Monthly_Repayments!$G$9:$G$200, Monthly_Repayments!$D$9:$D$200, A4, Monthly_Repayments!$F$9:$F$200, "Lump Sum") + SUMIFS(Monthly_Repayments!$G$9:$G$200, Monthly_Repayments!$D$9:$D$200, A4, Monthly_Repayments!$F$9:$F$200, "Full Settlement"))</f>
        <v>0</v>
      </c>
      <c r="H4" s="37">
        <f>Sheet1!F11</f>
        <v>25600</v>
      </c>
      <c r="I4" s="52">
        <f>Sheet1!G11</f>
        <v>0.26</v>
      </c>
      <c r="J4" s="11" t="str">
        <f>Sheet1!J11</f>
        <v>Priority 1 - Urgent</v>
      </c>
      <c r="K4" s="11" t="e">
        <f>IF(A4="", "", IF(#REF!&lt;=0, "Closed", "Open"))</f>
        <v>#REF!</v>
      </c>
      <c r="L4" s="18" t="str">
        <f>Sheet1!K11</f>
        <v>High interest rate (26%)</v>
      </c>
      <c r="M4" s="55">
        <f ca="1">IF(A4="", "", SUMIFS(Monthly_Repayments!$G$9:$G$200, Monthly_Repayments!$D$9:$D$200, A4, Monthly_Repayments!$F$9:$F$200, "Lump Sum", Monthly_Repayments!$C$9:$C$200, "&gt;="&amp;DATE(YEAR(TODAY()), MONTH(TODAY()), 1), Monthly_Repayments!$C$9:$C$200, "&lt;="&amp;EOMONTH(TODAY(), 0)) + SUMIFS(Monthly_Repayments!$G$9:$G$200, Monthly_Repayments!$D$9:$D$200, A4, Monthly_Repayments!$F$9:$F$200, "Full Settlement", Monthly_Repayments!$C$9:$C$200, "&gt;="&amp;DATE(YEAR(TODAY()), MONTH(TODAY()), 1), Monthly_Repayments!$C$9:$C$200, "&lt;="&amp;EOMONTH(TODAY(), 0)))</f>
        <v>0</v>
      </c>
      <c r="N4" s="36">
        <f>IF(Sheet1!H11="","",Sheet1!H11)</f>
        <v>46113</v>
      </c>
      <c r="O4" s="36">
        <f>IF(Sheet1!I11="","",Sheet1!I11)</f>
        <v>46512</v>
      </c>
    </row>
    <row r="5" spans="1:15" ht="22.5" customHeight="1">
      <c r="A5" s="10" t="str">
        <f>Sheet1!B12</f>
        <v>Cred 2</v>
      </c>
      <c r="B5" s="181" t="s">
        <v>4</v>
      </c>
      <c r="C5" s="11" t="s">
        <v>87</v>
      </c>
      <c r="D5" s="11" t="s">
        <v>88</v>
      </c>
      <c r="E5" s="37">
        <f>Sheet1!D12</f>
        <v>150000</v>
      </c>
      <c r="F5" s="37">
        <f>Sheet1!E12</f>
        <v>122000</v>
      </c>
      <c r="G5" s="37">
        <f>IF(A5="", "", SUMIFS(Monthly_Repayments!$G$9:$G$200, Monthly_Repayments!$D$9:$D$200, A5, Monthly_Repayments!$F$9:$F$200, "Lump Sum") + SUMIFS(Monthly_Repayments!$G$9:$G$200, Monthly_Repayments!$D$9:$D$200, A5, Monthly_Repayments!$F$9:$F$200, "Full Settlement"))</f>
        <v>0</v>
      </c>
      <c r="H5" s="37">
        <f>Sheet1!F12</f>
        <v>11300</v>
      </c>
      <c r="I5" s="52">
        <f>Sheet1!G12</f>
        <v>0.16500000000000001</v>
      </c>
      <c r="J5" s="11" t="str">
        <f>Sheet1!J12</f>
        <v>Priority 2 - Medium</v>
      </c>
      <c r="K5" s="11" t="e">
        <f>IF(A5="", "", IF(#REF!&lt;=0, "Closed", "Open"))</f>
        <v>#REF!</v>
      </c>
      <c r="L5" s="18" t="str">
        <f>Sheet1!K12</f>
        <v>Credit line EMI</v>
      </c>
      <c r="M5" s="55">
        <f ca="1">IF(A5="", "", SUMIFS(Monthly_Repayments!$G$9:$G$200, Monthly_Repayments!$D$9:$D$200, A5, Monthly_Repayments!$F$9:$F$200, "Lump Sum", Monthly_Repayments!$C$9:$C$200, "&gt;="&amp;DATE(YEAR(TODAY()), MONTH(TODAY()), 1), Monthly_Repayments!$C$9:$C$200, "&lt;="&amp;EOMONTH(TODAY(), 0)) + SUMIFS(Monthly_Repayments!$G$9:$G$200, Monthly_Repayments!$D$9:$D$200, A5, Monthly_Repayments!$F$9:$F$200, "Full Settlement", Monthly_Repayments!$C$9:$C$200, "&gt;="&amp;DATE(YEAR(TODAY()), MONTH(TODAY()), 1), Monthly_Repayments!$C$9:$C$200, "&lt;="&amp;EOMONTH(TODAY(), 0)))</f>
        <v>0</v>
      </c>
      <c r="N5" s="36">
        <f>IF(Sheet1!H12="","",Sheet1!H12)</f>
        <v>46179</v>
      </c>
      <c r="O5" s="36">
        <f>IF(Sheet1!I12="","",Sheet1!I12)</f>
        <v>46605</v>
      </c>
    </row>
    <row r="6" spans="1:15" ht="22.5" customHeight="1">
      <c r="A6" s="10" t="str">
        <f>Sheet1!B13</f>
        <v>Piramal Capital</v>
      </c>
      <c r="B6" s="181" t="s">
        <v>4</v>
      </c>
      <c r="C6" s="11" t="s">
        <v>103</v>
      </c>
      <c r="D6" s="11" t="s">
        <v>88</v>
      </c>
      <c r="E6" s="37">
        <f>Sheet1!D13</f>
        <v>700000</v>
      </c>
      <c r="F6" s="37">
        <f>Sheet1!E13</f>
        <v>955000</v>
      </c>
      <c r="G6" s="37">
        <f>IF(A6="", "", SUMIFS(Monthly_Repayments!$G$9:$G$200, Monthly_Repayments!$D$9:$D$200, A6, Monthly_Repayments!$F$9:$F$200, "Lump Sum") + SUMIFS(Monthly_Repayments!$G$9:$G$200, Monthly_Repayments!$D$9:$D$200, A6, Monthly_Repayments!$F$9:$F$200, "Full Settlement"))</f>
        <v>0</v>
      </c>
      <c r="H6" s="37">
        <f>Sheet1!F13</f>
        <v>18400</v>
      </c>
      <c r="I6" s="52">
        <f>Sheet1!G13</f>
        <v>0.186</v>
      </c>
      <c r="J6" s="11" t="str">
        <f>Sheet1!J13</f>
        <v>Priority 2 - Medium</v>
      </c>
      <c r="K6" s="11" t="e">
        <f>IF(A6="", "", IF(#REF!&lt;=0, "Closed", "Open"))</f>
        <v>#REF!</v>
      </c>
      <c r="L6" s="18" t="str">
        <f>Sheet1!K13</f>
        <v>Long-term NBFC loan</v>
      </c>
      <c r="M6" s="55">
        <f ca="1">IF(A6="", "", SUMIFS(Monthly_Repayments!$G$9:$G$200, Monthly_Repayments!$D$9:$D$200, A6, Monthly_Repayments!$F$9:$F$200, "Lump Sum", Monthly_Repayments!$C$9:$C$200, "&gt;="&amp;DATE(YEAR(TODAY()), MONTH(TODAY()), 1), Monthly_Repayments!$C$9:$C$200, "&lt;="&amp;EOMONTH(TODAY(), 0)) + SUMIFS(Monthly_Repayments!$G$9:$G$200, Monthly_Repayments!$D$9:$D$200, A6, Monthly_Repayments!$F$9:$F$200, "Full Settlement", Monthly_Repayments!$C$9:$C$200, "&gt;="&amp;DATE(YEAR(TODAY()), MONTH(TODAY()), 1), Monthly_Repayments!$C$9:$C$200, "&lt;="&amp;EOMONTH(TODAY(), 0)))</f>
        <v>0</v>
      </c>
      <c r="N6" s="36">
        <f>IF(Sheet1!H13="","",Sheet1!H13)</f>
        <v>46058</v>
      </c>
      <c r="O6" s="36">
        <f>IF(Sheet1!I13="","",Sheet1!I13)</f>
        <v>47884</v>
      </c>
    </row>
    <row r="7" spans="1:15" ht="22.5" customHeight="1">
      <c r="A7" s="10" t="str">
        <f>Sheet1!B14</f>
        <v>Abba BC</v>
      </c>
      <c r="B7" s="181" t="s">
        <v>4</v>
      </c>
      <c r="C7" s="11" t="s">
        <v>95</v>
      </c>
      <c r="D7" s="11" t="s">
        <v>153</v>
      </c>
      <c r="E7" s="37">
        <f>Sheet1!D14</f>
        <v>200000</v>
      </c>
      <c r="F7" s="37">
        <f>Sheet1!E14</f>
        <v>40000</v>
      </c>
      <c r="G7" s="37">
        <f>IF(A7="", "", SUMIFS(Monthly_Repayments!$G$9:$G$200, Monthly_Repayments!$D$9:$D$200, A7, Monthly_Repayments!$F$9:$F$200, "Lump Sum") + SUMIFS(Monthly_Repayments!$G$9:$G$200, Monthly_Repayments!$D$9:$D$200, A7, Monthly_Repayments!$F$9:$F$200, "Full Settlement"))</f>
        <v>0</v>
      </c>
      <c r="H7" s="37">
        <f>Sheet1!F14</f>
        <v>9000</v>
      </c>
      <c r="I7" s="52">
        <f>Sheet1!G14</f>
        <v>0</v>
      </c>
      <c r="J7" s="11" t="str">
        <f>Sheet1!J14</f>
        <v>Priority 3 - 0% EMI</v>
      </c>
      <c r="K7" s="11" t="e">
        <f>IF(A7="", "", IF(#REF!&lt;=0, "Closed", "Open"))</f>
        <v>#REF!</v>
      </c>
      <c r="L7" s="18" t="str">
        <f>Sheet1!K14</f>
        <v>Committee / BC monthly</v>
      </c>
      <c r="M7" s="55">
        <f ca="1">IF(A7="", "", SUMIFS(Monthly_Repayments!$G$9:$G$200, Monthly_Repayments!$D$9:$D$200, A7, Monthly_Repayments!$F$9:$F$200, "Lump Sum", Monthly_Repayments!$C$9:$C$200, "&gt;="&amp;DATE(YEAR(TODAY()), MONTH(TODAY()), 1), Monthly_Repayments!$C$9:$C$200, "&lt;="&amp;EOMONTH(TODAY(), 0)) + SUMIFS(Monthly_Repayments!$G$9:$G$200, Monthly_Repayments!$D$9:$D$200, A7, Monthly_Repayments!$F$9:$F$200, "Full Settlement", Monthly_Repayments!$C$9:$C$200, "&gt;="&amp;DATE(YEAR(TODAY()), MONTH(TODAY()), 1), Monthly_Repayments!$C$9:$C$200, "&lt;="&amp;EOMONTH(TODAY(), 0)))</f>
        <v>0</v>
      </c>
      <c r="N7" s="36" t="str">
        <f>IF(Sheet1!H14="","",Sheet1!H14)</f>
        <v/>
      </c>
      <c r="O7" s="36">
        <f>IF(Sheet1!I14="","",Sheet1!I14)</f>
        <v>46466</v>
      </c>
    </row>
    <row r="8" spans="1:15" ht="22.5" customHeight="1">
      <c r="A8" s="10" t="str">
        <f>Sheet1!B15</f>
        <v>IDFC First Bank</v>
      </c>
      <c r="B8" s="181" t="s">
        <v>4</v>
      </c>
      <c r="C8" s="11" t="s">
        <v>103</v>
      </c>
      <c r="D8" s="11" t="s">
        <v>154</v>
      </c>
      <c r="E8" s="37">
        <f>Sheet1!D15</f>
        <v>130000</v>
      </c>
      <c r="F8" s="37">
        <f>Sheet1!E15</f>
        <v>170000</v>
      </c>
      <c r="G8" s="37">
        <f>IF(A8="", "", SUMIFS(Monthly_Repayments!$G$9:$G$200, Monthly_Repayments!$D$9:$D$200, A8, Monthly_Repayments!$F$9:$F$200, "Lump Sum") + SUMIFS(Monthly_Repayments!$G$9:$G$200, Monthly_Repayments!$D$9:$D$200, A8, Monthly_Repayments!$F$9:$F$200, "Full Settlement"))</f>
        <v>0</v>
      </c>
      <c r="H8" s="37">
        <f>Sheet1!F15</f>
        <v>5000</v>
      </c>
      <c r="I8" s="52">
        <f>Sheet1!G15</f>
        <v>0.23</v>
      </c>
      <c r="J8" s="11" t="str">
        <f>Sheet1!J15</f>
        <v>Priority 1 - Urgent</v>
      </c>
      <c r="K8" s="11" t="e">
        <f>IF(A8="", "", IF(#REF!&lt;=0, "Closed", "Open"))</f>
        <v>#REF!</v>
      </c>
      <c r="L8" s="18" t="str">
        <f>Sheet1!K15</f>
        <v>High interest personal loan</v>
      </c>
      <c r="M8" s="55">
        <f ca="1">IF(A8="", "", SUMIFS(Monthly_Repayments!$G$9:$G$200, Monthly_Repayments!$D$9:$D$200, A8, Monthly_Repayments!$F$9:$F$200, "Lump Sum", Monthly_Repayments!$C$9:$C$200, "&gt;="&amp;DATE(YEAR(TODAY()), MONTH(TODAY()), 1), Monthly_Repayments!$C$9:$C$200, "&lt;="&amp;EOMONTH(TODAY(), 0)) + SUMIFS(Monthly_Repayments!$G$9:$G$200, Monthly_Repayments!$D$9:$D$200, A8, Monthly_Repayments!$F$9:$F$200, "Full Settlement", Monthly_Repayments!$C$9:$C$200, "&gt;="&amp;DATE(YEAR(TODAY()), MONTH(TODAY()), 1), Monthly_Repayments!$C$9:$C$200, "&lt;="&amp;EOMONTH(TODAY(), 0)))</f>
        <v>0</v>
      </c>
      <c r="N8" s="36">
        <f>IF(Sheet1!H15="","",Sheet1!H15)</f>
        <v>46147</v>
      </c>
      <c r="O8" s="36">
        <f>IF(Sheet1!I15="","",Sheet1!I15)</f>
        <v>47289</v>
      </c>
    </row>
    <row r="9" spans="1:15" ht="22.5" customHeight="1">
      <c r="A9" s="10" t="str">
        <f>Sheet1!B16</f>
        <v>Mahila Samiti</v>
      </c>
      <c r="B9" s="181" t="s">
        <v>232</v>
      </c>
      <c r="C9" s="11" t="s">
        <v>97</v>
      </c>
      <c r="D9" s="11" t="s">
        <v>154</v>
      </c>
      <c r="E9" s="37">
        <f>Sheet1!D16</f>
        <v>140000</v>
      </c>
      <c r="F9" s="37">
        <f>Sheet1!E16</f>
        <v>150000</v>
      </c>
      <c r="G9" s="37">
        <f>IF(A9="", "", SUMIFS(Monthly_Repayments!$G$9:$G$200, Monthly_Repayments!$D$9:$D$200, A9, Monthly_Repayments!$F$9:$F$200, "Lump Sum") + SUMIFS(Monthly_Repayments!$G$9:$G$200, Monthly_Repayments!$D$9:$D$200, A9, Monthly_Repayments!$F$9:$F$200, "Full Settlement"))</f>
        <v>0</v>
      </c>
      <c r="H9" s="37">
        <f>Sheet1!F16</f>
        <v>4500</v>
      </c>
      <c r="I9" s="52">
        <f>Sheet1!G16</f>
        <v>0.36</v>
      </c>
      <c r="J9" s="11" t="str">
        <f>Sheet1!J16</f>
        <v>Priority 1 - Urgent</v>
      </c>
      <c r="K9" s="11" t="e">
        <f>IF(A9="", "", IF(#REF!&lt;=0, "Closed", "Open"))</f>
        <v>#REF!</v>
      </c>
      <c r="L9" s="18" t="str">
        <f>Sheet1!K16</f>
        <v>₹4,500 monthly interest (36%)</v>
      </c>
      <c r="M9" s="55">
        <f ca="1">IF(A9="", "", SUMIFS(Monthly_Repayments!$G$9:$G$200, Monthly_Repayments!$D$9:$D$200, A9, Monthly_Repayments!$F$9:$F$200, "Lump Sum", Monthly_Repayments!$C$9:$C$200, "&gt;="&amp;DATE(YEAR(TODAY()), MONTH(TODAY()), 1), Monthly_Repayments!$C$9:$C$200, "&lt;="&amp;EOMONTH(TODAY(), 0)) + SUMIFS(Monthly_Repayments!$G$9:$G$200, Monthly_Repayments!$D$9:$D$200, A9, Monthly_Repayments!$F$9:$F$200, "Full Settlement", Monthly_Repayments!$C$9:$C$200, "&gt;="&amp;DATE(YEAR(TODAY()), MONTH(TODAY()), 1), Monthly_Repayments!$C$9:$C$200, "&lt;="&amp;EOMONTH(TODAY(), 0)))</f>
        <v>0</v>
      </c>
      <c r="N9" s="36" t="str">
        <f>IF(Sheet1!H16="","",Sheet1!H16)</f>
        <v/>
      </c>
      <c r="O9" s="36" t="str">
        <f>IF(Sheet1!I16="","",Sheet1!I16)</f>
        <v/>
      </c>
    </row>
    <row r="10" spans="1:15" ht="22.5" customHeight="1">
      <c r="A10" s="10" t="str">
        <f>Sheet1!B17</f>
        <v>Riyasat (2k)</v>
      </c>
      <c r="B10" s="181" t="s">
        <v>4</v>
      </c>
      <c r="C10" s="11" t="s">
        <v>103</v>
      </c>
      <c r="D10" s="11" t="s">
        <v>160</v>
      </c>
      <c r="E10" s="37">
        <f>Sheet1!D17</f>
        <v>50000</v>
      </c>
      <c r="F10" s="37">
        <f>Sheet1!E17</f>
        <v>30000</v>
      </c>
      <c r="G10" s="37">
        <f>IF(A10="", "", SUMIFS(Monthly_Repayments!$G$9:$G$200, Monthly_Repayments!$D$9:$D$200, A10, Monthly_Repayments!$F$9:$F$200, "Lump Sum") + SUMIFS(Monthly_Repayments!$G$9:$G$200, Monthly_Repayments!$D$9:$D$200, A10, Monthly_Repayments!$F$9:$F$200, "Full Settlement"))</f>
        <v>0</v>
      </c>
      <c r="H10" s="37">
        <f>Sheet1!F17</f>
        <v>2000</v>
      </c>
      <c r="I10" s="52">
        <f>Sheet1!G17</f>
        <v>0</v>
      </c>
      <c r="J10" s="11" t="str">
        <f>Sheet1!J17</f>
        <v>Priority 3 - 0% EMI</v>
      </c>
      <c r="K10" s="11" t="e">
        <f>IF(A10="", "", IF(#REF!&lt;=0, "Closed", "Open"))</f>
        <v>#REF!</v>
      </c>
      <c r="L10" s="18" t="str">
        <f>Sheet1!K17</f>
        <v>₹2,000 monthly payment</v>
      </c>
      <c r="M10" s="55">
        <f ca="1">IF(A10="", "", SUMIFS(Monthly_Repayments!$G$9:$G$200, Monthly_Repayments!$D$9:$D$200, A10, Monthly_Repayments!$F$9:$F$200, "Lump Sum", Monthly_Repayments!$C$9:$C$200, "&gt;="&amp;DATE(YEAR(TODAY()), MONTH(TODAY()), 1), Monthly_Repayments!$C$9:$C$200, "&lt;="&amp;EOMONTH(TODAY(), 0)) + SUMIFS(Monthly_Repayments!$G$9:$G$200, Monthly_Repayments!$D$9:$D$200, A10, Monthly_Repayments!$F$9:$F$200, "Full Settlement", Monthly_Repayments!$C$9:$C$200, "&gt;="&amp;DATE(YEAR(TODAY()), MONTH(TODAY()), 1), Monthly_Repayments!$C$9:$C$200, "&lt;="&amp;EOMONTH(TODAY(), 0)))</f>
        <v>0</v>
      </c>
      <c r="N10" s="36" t="str">
        <f>IF(Sheet1!H17="","",Sheet1!H17)</f>
        <v/>
      </c>
      <c r="O10" s="36" t="str">
        <f>IF(Sheet1!I17="","",Sheet1!I17)</f>
        <v/>
      </c>
    </row>
    <row r="11" spans="1:15" ht="22.5" customHeight="1">
      <c r="A11" s="10" t="str">
        <f>Sheet1!B18</f>
        <v>Riyasat (2ksha)</v>
      </c>
      <c r="B11" s="181" t="s">
        <v>4</v>
      </c>
      <c r="C11" s="11" t="s">
        <v>103</v>
      </c>
      <c r="D11" s="11" t="s">
        <v>88</v>
      </c>
      <c r="E11" s="37">
        <f>Sheet1!D18</f>
        <v>50000</v>
      </c>
      <c r="F11" s="37">
        <f>Sheet1!E18</f>
        <v>40000</v>
      </c>
      <c r="G11" s="37">
        <f>IF(A11="", "", SUMIFS(Monthly_Repayments!$G$9:$G$200, Monthly_Repayments!$D$9:$D$200, A11, Monthly_Repayments!$F$9:$F$200, "Lump Sum") + SUMIFS(Monthly_Repayments!$G$9:$G$200, Monthly_Repayments!$D$9:$D$200, A11, Monthly_Repayments!$F$9:$F$200, "Full Settlement"))</f>
        <v>0</v>
      </c>
      <c r="H11" s="37">
        <f>Sheet1!F18</f>
        <v>2000</v>
      </c>
      <c r="I11" s="52">
        <f>Sheet1!G18</f>
        <v>0</v>
      </c>
      <c r="J11" s="11" t="str">
        <f>Sheet1!J18</f>
        <v>Priority 3 - 0% EMI</v>
      </c>
      <c r="K11" s="11" t="e">
        <f>IF(A11="", "", IF(#REF!&lt;=0, "Closed", "Open"))</f>
        <v>#REF!</v>
      </c>
      <c r="L11" s="18" t="str">
        <f>Sheet1!K18</f>
        <v>₹2,000 monthly payment</v>
      </c>
      <c r="M11" s="55">
        <f ca="1">IF(A11="", "", SUMIFS(Monthly_Repayments!$G$9:$G$200, Monthly_Repayments!$D$9:$D$200, A11, Monthly_Repayments!$F$9:$F$200, "Lump Sum", Monthly_Repayments!$C$9:$C$200, "&gt;="&amp;DATE(YEAR(TODAY()), MONTH(TODAY()), 1), Monthly_Repayments!$C$9:$C$200, "&lt;="&amp;EOMONTH(TODAY(), 0)) + SUMIFS(Monthly_Repayments!$G$9:$G$200, Monthly_Repayments!$D$9:$D$200, A11, Monthly_Repayments!$F$9:$F$200, "Full Settlement", Monthly_Repayments!$C$9:$C$200, "&gt;="&amp;DATE(YEAR(TODAY()), MONTH(TODAY()), 1), Monthly_Repayments!$C$9:$C$200, "&lt;="&amp;EOMONTH(TODAY(), 0)))</f>
        <v>0</v>
      </c>
      <c r="N11" s="36" t="str">
        <f>IF(Sheet1!H18="","",Sheet1!H18)</f>
        <v/>
      </c>
      <c r="O11" s="36" t="str">
        <f>IF(Sheet1!I18="","",Sheet1!I18)</f>
        <v/>
      </c>
    </row>
    <row r="12" spans="1:15" ht="22.5" customHeight="1">
      <c r="A12" s="10" t="str">
        <f>Sheet1!B19</f>
        <v>Riyasat (1k)</v>
      </c>
      <c r="B12" s="181" t="s">
        <v>4</v>
      </c>
      <c r="C12" s="11" t="s">
        <v>103</v>
      </c>
      <c r="D12" s="11" t="s">
        <v>160</v>
      </c>
      <c r="E12" s="37">
        <f>Sheet1!D19</f>
        <v>20000</v>
      </c>
      <c r="F12" s="37">
        <f>Sheet1!E19</f>
        <v>10000</v>
      </c>
      <c r="G12" s="37">
        <f>IF(A12="", "", SUMIFS(Monthly_Repayments!$G$9:$G$200, Monthly_Repayments!$D$9:$D$200, A12, Monthly_Repayments!$F$9:$F$200, "Lump Sum") + SUMIFS(Monthly_Repayments!$G$9:$G$200, Monthly_Repayments!$D$9:$D$200, A12, Monthly_Repayments!$F$9:$F$200, "Full Settlement"))</f>
        <v>0</v>
      </c>
      <c r="H12" s="37">
        <f>Sheet1!F19</f>
        <v>1000</v>
      </c>
      <c r="I12" s="52">
        <f>Sheet1!G19</f>
        <v>0</v>
      </c>
      <c r="J12" s="11" t="str">
        <f>Sheet1!J19</f>
        <v>Priority 3 - 0% EMI</v>
      </c>
      <c r="K12" s="11" t="e">
        <f>IF(A12="", "", IF(#REF!&lt;=0, "Closed", "Open"))</f>
        <v>#REF!</v>
      </c>
      <c r="L12" s="18" t="str">
        <f>Sheet1!K19</f>
        <v>₹1,000 monthly payment</v>
      </c>
      <c r="M12" s="55">
        <f ca="1">IF(A12="", "", SUMIFS(Monthly_Repayments!$G$9:$G$200, Monthly_Repayments!$D$9:$D$200, A12, Monthly_Repayments!$F$9:$F$200, "Lump Sum", Monthly_Repayments!$C$9:$C$200, "&gt;="&amp;DATE(YEAR(TODAY()), MONTH(TODAY()), 1), Monthly_Repayments!$C$9:$C$200, "&lt;="&amp;EOMONTH(TODAY(), 0)) + SUMIFS(Monthly_Repayments!$G$9:$G$200, Monthly_Repayments!$D$9:$D$200, A12, Monthly_Repayments!$F$9:$F$200, "Full Settlement", Monthly_Repayments!$C$9:$C$200, "&gt;="&amp;DATE(YEAR(TODAY()), MONTH(TODAY()), 1), Monthly_Repayments!$C$9:$C$200, "&lt;="&amp;EOMONTH(TODAY(), 0)))</f>
        <v>0</v>
      </c>
      <c r="N12" s="36" t="str">
        <f>IF(Sheet1!H19="","",Sheet1!H19)</f>
        <v/>
      </c>
      <c r="O12" s="36" t="str">
        <f>IF(Sheet1!I19="","",Sheet1!I19)</f>
        <v/>
      </c>
    </row>
    <row r="13" spans="1:15" ht="22.5" customHeight="1">
      <c r="A13" s="10" t="str">
        <f>Sheet1!B20</f>
        <v>Charku 1</v>
      </c>
      <c r="B13" s="181" t="s">
        <v>4</v>
      </c>
      <c r="C13" s="11" t="s">
        <v>103</v>
      </c>
      <c r="D13" s="11" t="s">
        <v>191</v>
      </c>
      <c r="E13" s="37">
        <f>Sheet1!D20</f>
        <v>24000</v>
      </c>
      <c r="F13" s="37">
        <f>Sheet1!E20</f>
        <v>24000</v>
      </c>
      <c r="G13" s="37">
        <f>IF(A13="", "", SUMIFS(Monthly_Repayments!$G$9:$G$200, Monthly_Repayments!$D$9:$D$200, A13, Monthly_Repayments!$F$9:$F$200, "Lump Sum") + SUMIFS(Monthly_Repayments!$G$9:$G$200, Monthly_Repayments!$D$9:$D$200, A13, Monthly_Repayments!$F$9:$F$200, "Full Settlement"))</f>
        <v>0</v>
      </c>
      <c r="H13" s="37">
        <f>Sheet1!F20</f>
        <v>3000</v>
      </c>
      <c r="I13" s="52">
        <f>Sheet1!G20</f>
        <v>0</v>
      </c>
      <c r="J13" s="11" t="str">
        <f>Sheet1!J20</f>
        <v>Priority 3 - 0% EMI</v>
      </c>
      <c r="K13" s="11" t="e">
        <f>IF(A13="", "", IF(#REF!&lt;=0, "Closed", "Open"))</f>
        <v>#REF!</v>
      </c>
      <c r="L13" s="18" t="str">
        <f>Sheet1!K20</f>
        <v>₹3,000 monthly payment</v>
      </c>
      <c r="M13" s="55">
        <f ca="1">IF(A13="", "", SUMIFS(Monthly_Repayments!$G$9:$G$200, Monthly_Repayments!$D$9:$D$200, A13, Monthly_Repayments!$F$9:$F$200, "Lump Sum", Monthly_Repayments!$C$9:$C$200, "&gt;="&amp;DATE(YEAR(TODAY()), MONTH(TODAY()), 1), Monthly_Repayments!$C$9:$C$200, "&lt;="&amp;EOMONTH(TODAY(), 0)) + SUMIFS(Monthly_Repayments!$G$9:$G$200, Monthly_Repayments!$D$9:$D$200, A13, Monthly_Repayments!$F$9:$F$200, "Full Settlement", Monthly_Repayments!$C$9:$C$200, "&gt;="&amp;DATE(YEAR(TODAY()), MONTH(TODAY()), 1), Monthly_Repayments!$C$9:$C$200, "&lt;="&amp;EOMONTH(TODAY(), 0)))</f>
        <v>0</v>
      </c>
      <c r="N13" s="36" t="str">
        <f>IF(Sheet1!H20="","",Sheet1!H20)</f>
        <v/>
      </c>
      <c r="O13" s="36" t="str">
        <f>IF(Sheet1!I20="","",Sheet1!I20)</f>
        <v/>
      </c>
    </row>
    <row r="14" spans="1:15" ht="22.5" customHeight="1">
      <c r="A14" s="10" t="str">
        <f>Sheet1!B21</f>
        <v>Charku 2</v>
      </c>
      <c r="B14" s="181" t="s">
        <v>4</v>
      </c>
      <c r="C14" s="11" t="s">
        <v>103</v>
      </c>
      <c r="D14" s="11" t="s">
        <v>160</v>
      </c>
      <c r="E14" s="37">
        <f>Sheet1!D21</f>
        <v>50000</v>
      </c>
      <c r="F14" s="37">
        <f>Sheet1!E21</f>
        <v>50000</v>
      </c>
      <c r="G14" s="37">
        <f>IF(A14="", "", SUMIFS(Monthly_Repayments!$G$9:$G$200, Monthly_Repayments!$D$9:$D$200, A14, Monthly_Repayments!$F$9:$F$200, "Lump Sum") + SUMIFS(Monthly_Repayments!$G$9:$G$200, Monthly_Repayments!$D$9:$D$200, A14, Monthly_Repayments!$F$9:$F$200, "Full Settlement"))</f>
        <v>0</v>
      </c>
      <c r="H14" s="37">
        <f>Sheet1!F21</f>
        <v>3000</v>
      </c>
      <c r="I14" s="52">
        <f>Sheet1!G21</f>
        <v>0</v>
      </c>
      <c r="J14" s="11" t="str">
        <f>Sheet1!J21</f>
        <v>Priority 3 - 0% EMI</v>
      </c>
      <c r="K14" s="11" t="e">
        <f>IF(A14="", "", IF(#REF!&lt;=0, "Closed", "Open"))</f>
        <v>#REF!</v>
      </c>
      <c r="L14" s="18" t="str">
        <f>Sheet1!K21</f>
        <v>₹3,000 monthly payment</v>
      </c>
      <c r="M14" s="55">
        <f ca="1">IF(A14="", "", SUMIFS(Monthly_Repayments!$G$9:$G$200, Monthly_Repayments!$D$9:$D$200, A14, Monthly_Repayments!$F$9:$F$200, "Lump Sum", Monthly_Repayments!$C$9:$C$200, "&gt;="&amp;DATE(YEAR(TODAY()), MONTH(TODAY()), 1), Monthly_Repayments!$C$9:$C$200, "&lt;="&amp;EOMONTH(TODAY(), 0)) + SUMIFS(Monthly_Repayments!$G$9:$G$200, Monthly_Repayments!$D$9:$D$200, A14, Monthly_Repayments!$F$9:$F$200, "Full Settlement", Monthly_Repayments!$C$9:$C$200, "&gt;="&amp;DATE(YEAR(TODAY()), MONTH(TODAY()), 1), Monthly_Repayments!$C$9:$C$200, "&lt;="&amp;EOMONTH(TODAY(), 0)))</f>
        <v>0</v>
      </c>
      <c r="N14" s="36" t="str">
        <f>IF(Sheet1!H21="","",Sheet1!H21)</f>
        <v/>
      </c>
      <c r="O14" s="36" t="str">
        <f>IF(Sheet1!I21="","",Sheet1!I21)</f>
        <v/>
      </c>
    </row>
    <row r="15" spans="1:15" ht="22.5" customHeight="1">
      <c r="A15" s="10" t="str">
        <f>Sheet1!B22</f>
        <v>Pinki</v>
      </c>
      <c r="B15" s="181" t="s">
        <v>232</v>
      </c>
      <c r="C15" s="11" t="s">
        <v>102</v>
      </c>
      <c r="D15" s="11" t="s">
        <v>154</v>
      </c>
      <c r="E15" s="37">
        <f>Sheet1!D22</f>
        <v>50000</v>
      </c>
      <c r="F15" s="37">
        <f>Sheet1!E22</f>
        <v>50000</v>
      </c>
      <c r="G15" s="37">
        <f>IF(A15="", "", SUMIFS(Monthly_Repayments!$G$9:$G$200, Monthly_Repayments!$D$9:$D$200, A15, Monthly_Repayments!$F$9:$F$200, "Lump Sum") + SUMIFS(Monthly_Repayments!$G$9:$G$200, Monthly_Repayments!$D$9:$D$200, A15, Monthly_Repayments!$F$9:$F$200, "Full Settlement"))</f>
        <v>0</v>
      </c>
      <c r="H15" s="37">
        <f>Sheet1!F22</f>
        <v>0</v>
      </c>
      <c r="I15" s="52">
        <f>Sheet1!G22</f>
        <v>0</v>
      </c>
      <c r="J15" s="11" t="str">
        <f>Sheet1!J22</f>
        <v>Priority 4 - Flexible</v>
      </c>
      <c r="K15" s="11" t="e">
        <f>IF(A15="", "", IF(#REF!&lt;=0, "Closed", "Open"))</f>
        <v>#REF!</v>
      </c>
      <c r="L15" s="18" t="str">
        <f>Sheet1!K22</f>
        <v>Lump sum repayment</v>
      </c>
      <c r="M15" s="55">
        <f ca="1">IF(A15="", "", SUMIFS(Monthly_Repayments!$G$9:$G$200, Monthly_Repayments!$D$9:$D$200, A15, Monthly_Repayments!$F$9:$F$200, "Lump Sum", Monthly_Repayments!$C$9:$C$200, "&gt;="&amp;DATE(YEAR(TODAY()), MONTH(TODAY()), 1), Monthly_Repayments!$C$9:$C$200, "&lt;="&amp;EOMONTH(TODAY(), 0)) + SUMIFS(Monthly_Repayments!$G$9:$G$200, Monthly_Repayments!$D$9:$D$200, A15, Monthly_Repayments!$F$9:$F$200, "Full Settlement", Monthly_Repayments!$C$9:$C$200, "&gt;="&amp;DATE(YEAR(TODAY()), MONTH(TODAY()), 1), Monthly_Repayments!$C$9:$C$200, "&lt;="&amp;EOMONTH(TODAY(), 0)))</f>
        <v>0</v>
      </c>
      <c r="N15" s="36" t="str">
        <f>IF(Sheet1!H22="","",Sheet1!H22)</f>
        <v/>
      </c>
      <c r="O15" s="36" t="str">
        <f>IF(Sheet1!I22="","",Sheet1!I22)</f>
        <v/>
      </c>
    </row>
    <row r="16" spans="1:15" ht="22.5" customHeight="1">
      <c r="A16" s="10" t="str">
        <f>Sheet1!B23</f>
        <v>Jewar (Gold Loan)</v>
      </c>
      <c r="B16" s="181" t="s">
        <v>232</v>
      </c>
      <c r="C16" s="11" t="s">
        <v>104</v>
      </c>
      <c r="D16" s="11" t="s">
        <v>154</v>
      </c>
      <c r="E16" s="37">
        <f>Sheet1!D23</f>
        <v>35000</v>
      </c>
      <c r="F16" s="37">
        <f>Sheet1!E23</f>
        <v>35000</v>
      </c>
      <c r="G16" s="37">
        <f ca="1">IF(A16="", "", SUMIFS(Monthly_Repayments!$G$9:$G$200, Monthly_Repayments!$D$9:$D$200, A16, Monthly_Repayments!$F$9:$F$200, "Lump Sum") + SUMIFS(Monthly_Repayments!$G$9:$G$200, Monthly_Repayments!$D$9:$D$200, A16, Monthly_Repayments!$F$9:$F$200, "Full Settlement"))</f>
        <v>0</v>
      </c>
      <c r="H16" s="37">
        <f>Sheet1!F23</f>
        <v>1000</v>
      </c>
      <c r="I16" s="52">
        <f>Sheet1!G23</f>
        <v>0.36</v>
      </c>
      <c r="J16" s="11" t="str">
        <f>Sheet1!J23</f>
        <v>Priority 1 - Urgent</v>
      </c>
      <c r="K16" s="11" t="e">
        <f>IF(A16="", "", IF(#REF!&lt;=0, "Closed", "Open"))</f>
        <v>#REF!</v>
      </c>
      <c r="L16" s="18" t="str">
        <f>Sheet1!K23</f>
        <v>₹1,000 monthly interest (36%)</v>
      </c>
      <c r="M16" s="55">
        <f ca="1">IF(A16="", "", SUMIFS(Monthly_Repayments!$G$9:$G$200, Monthly_Repayments!$D$9:$D$200, A16, Monthly_Repayments!$F$9:$F$200, "Lump Sum", Monthly_Repayments!$C$9:$C$200, "&gt;="&amp;DATE(YEAR(TODAY()), MONTH(TODAY()), 1), Monthly_Repayments!$C$9:$C$200, "&lt;="&amp;EOMONTH(TODAY(), 0)) + SUMIFS(Monthly_Repayments!$G$9:$G$200, Monthly_Repayments!$D$9:$D$200, A16, Monthly_Repayments!$F$9:$F$200, "Full Settlement", Monthly_Repayments!$C$9:$C$200, "&gt;="&amp;DATE(YEAR(TODAY()), MONTH(TODAY()), 1), Monthly_Repayments!$C$9:$C$200, "&lt;="&amp;EOMONTH(TODAY(), 0)))</f>
        <v>0</v>
      </c>
      <c r="N16" s="36" t="str">
        <f>IF(Sheet1!H23="","",Sheet1!H23)</f>
        <v/>
      </c>
      <c r="O16" s="36" t="str">
        <f>IF(Sheet1!I23="","",Sheet1!I23)</f>
        <v/>
      </c>
    </row>
    <row r="17" spans="1:15" ht="22.5" customHeight="1">
      <c r="A17" s="10" t="str">
        <f>Sheet1!B24</f>
        <v>Jalil</v>
      </c>
      <c r="B17" s="181" t="s">
        <v>232</v>
      </c>
      <c r="C17" s="11" t="s">
        <v>102</v>
      </c>
      <c r="D17" s="11" t="s">
        <v>153</v>
      </c>
      <c r="E17" s="37">
        <f>Sheet1!D24</f>
        <v>210000</v>
      </c>
      <c r="F17" s="37">
        <f>Sheet1!E24</f>
        <v>210000</v>
      </c>
      <c r="G17" s="37">
        <f>IF(A17="", "", SUMIFS(Monthly_Repayments!$G$9:$G$200, Monthly_Repayments!$D$9:$D$200, A17, Monthly_Repayments!$F$9:$F$200, "Lump Sum") + SUMIFS(Monthly_Repayments!$G$9:$G$200, Monthly_Repayments!$D$9:$D$200, A17, Monthly_Repayments!$F$9:$F$200, "Full Settlement"))</f>
        <v>0</v>
      </c>
      <c r="H17" s="37">
        <f>Sheet1!F24</f>
        <v>0</v>
      </c>
      <c r="I17" s="52">
        <f>Sheet1!G24</f>
        <v>0</v>
      </c>
      <c r="J17" s="11" t="str">
        <f>Sheet1!J24</f>
        <v>Priority 4 - Flexible</v>
      </c>
      <c r="K17" s="11" t="e">
        <f>IF(A17="", "", IF(#REF!&lt;=0, "Closed", "Open"))</f>
        <v>#REF!</v>
      </c>
      <c r="L17" s="18" t="str">
        <f>Sheet1!K24</f>
        <v>Lump sum repayment</v>
      </c>
      <c r="M17" s="55">
        <f ca="1">IF(A17="", "", SUMIFS(Monthly_Repayments!$G$9:$G$200, Monthly_Repayments!$D$9:$D$200, A17, Monthly_Repayments!$F$9:$F$200, "Lump Sum", Monthly_Repayments!$C$9:$C$200, "&gt;="&amp;DATE(YEAR(TODAY()), MONTH(TODAY()), 1), Monthly_Repayments!$C$9:$C$200, "&lt;="&amp;EOMONTH(TODAY(), 0)) + SUMIFS(Monthly_Repayments!$G$9:$G$200, Monthly_Repayments!$D$9:$D$200, A17, Monthly_Repayments!$F$9:$F$200, "Full Settlement", Monthly_Repayments!$C$9:$C$200, "&gt;="&amp;DATE(YEAR(TODAY()), MONTH(TODAY()), 1), Monthly_Repayments!$C$9:$C$200, "&lt;="&amp;EOMONTH(TODAY(), 0)))</f>
        <v>0</v>
      </c>
      <c r="N17" s="36" t="str">
        <f>IF(Sheet1!H24="","",Sheet1!H24)</f>
        <v/>
      </c>
      <c r="O17" s="36" t="str">
        <f>IF(Sheet1!I24="","",Sheet1!I24)</f>
        <v/>
      </c>
    </row>
    <row r="18" spans="1:15" ht="22.5" customHeight="1">
      <c r="A18" s="10" t="str">
        <f>Sheet1!B25</f>
        <v>Door Renovation</v>
      </c>
      <c r="B18" s="181" t="s">
        <v>232</v>
      </c>
      <c r="C18" s="11" t="s">
        <v>105</v>
      </c>
      <c r="D18" s="11" t="s">
        <v>153</v>
      </c>
      <c r="E18" s="37">
        <f>Sheet1!D25</f>
        <v>25000</v>
      </c>
      <c r="F18" s="37">
        <f>Sheet1!E25</f>
        <v>25000</v>
      </c>
      <c r="G18" s="37">
        <f>IF(A18="", "", SUMIFS(Monthly_Repayments!$G$9:$G$200, Monthly_Repayments!$D$9:$D$200, A18, Monthly_Repayments!$F$9:$F$200, "Lump Sum") + SUMIFS(Monthly_Repayments!$G$9:$G$200, Monthly_Repayments!$D$9:$D$200, A18, Monthly_Repayments!$F$9:$F$200, "Full Settlement"))</f>
        <v>0</v>
      </c>
      <c r="H18" s="37">
        <f>Sheet1!F25</f>
        <v>0</v>
      </c>
      <c r="I18" s="52">
        <f>Sheet1!G25</f>
        <v>0</v>
      </c>
      <c r="J18" s="11" t="str">
        <f>Sheet1!J25</f>
        <v>Priority 4 - Flexible</v>
      </c>
      <c r="K18" s="11" t="e">
        <f>IF(A18="", "", IF(#REF!&lt;=0, "Closed", "Open"))</f>
        <v>#REF!</v>
      </c>
      <c r="L18" s="18" t="str">
        <f>Sheet1!K25</f>
        <v>Home vendor pending</v>
      </c>
      <c r="M18" s="55">
        <f ca="1">IF(A18="", "", SUMIFS(Monthly_Repayments!$G$9:$G$200, Monthly_Repayments!$D$9:$D$200, A18, Monthly_Repayments!$F$9:$F$200, "Lump Sum", Monthly_Repayments!$C$9:$C$200, "&gt;="&amp;DATE(YEAR(TODAY()), MONTH(TODAY()), 1), Monthly_Repayments!$C$9:$C$200, "&lt;="&amp;EOMONTH(TODAY(), 0)) + SUMIFS(Monthly_Repayments!$G$9:$G$200, Monthly_Repayments!$D$9:$D$200, A18, Monthly_Repayments!$F$9:$F$200, "Full Settlement", Monthly_Repayments!$C$9:$C$200, "&gt;="&amp;DATE(YEAR(TODAY()), MONTH(TODAY()), 1), Monthly_Repayments!$C$9:$C$200, "&lt;="&amp;EOMONTH(TODAY(), 0)))</f>
        <v>0</v>
      </c>
      <c r="N18" s="36" t="str">
        <f>IF(Sheet1!H25="","",Sheet1!H25)</f>
        <v/>
      </c>
      <c r="O18" s="36" t="str">
        <f>IF(Sheet1!I25="","",Sheet1!I25)</f>
        <v/>
      </c>
    </row>
    <row r="19" spans="1:15" ht="22.5" customHeight="1">
      <c r="A19" s="10" t="str">
        <f>Sheet1!B26</f>
        <v>Cement Material</v>
      </c>
      <c r="B19" s="181" t="s">
        <v>232</v>
      </c>
      <c r="C19" s="11" t="s">
        <v>105</v>
      </c>
      <c r="D19" s="11" t="s">
        <v>153</v>
      </c>
      <c r="E19" s="37">
        <f>Sheet1!D26</f>
        <v>50000</v>
      </c>
      <c r="F19" s="37">
        <f>Sheet1!E26</f>
        <v>50000</v>
      </c>
      <c r="G19" s="37">
        <f>IF(A19="", "", SUMIFS(Monthly_Repayments!$G$9:$G$200, Monthly_Repayments!$D$9:$D$200, A19, Monthly_Repayments!$F$9:$F$200, "Lump Sum") + SUMIFS(Monthly_Repayments!$G$9:$G$200, Monthly_Repayments!$D$9:$D$200, A19, Monthly_Repayments!$F$9:$F$200, "Full Settlement"))</f>
        <v>0</v>
      </c>
      <c r="H19" s="37">
        <f>Sheet1!F26</f>
        <v>0</v>
      </c>
      <c r="I19" s="52">
        <f>Sheet1!G26</f>
        <v>0</v>
      </c>
      <c r="J19" s="11" t="str">
        <f>Sheet1!J26</f>
        <v>Priority 4 - Flexible</v>
      </c>
      <c r="K19" s="11" t="e">
        <f>IF(A19="", "", IF(#REF!&lt;=0, "Closed", "Open"))</f>
        <v>#REF!</v>
      </c>
      <c r="L19" s="18" t="str">
        <f>Sheet1!K26</f>
        <v>Construction material</v>
      </c>
      <c r="M19" s="55">
        <f ca="1">IF(A19="", "", SUMIFS(Monthly_Repayments!$G$9:$G$200, Monthly_Repayments!$D$9:$D$200, A19, Monthly_Repayments!$F$9:$F$200, "Lump Sum", Monthly_Repayments!$C$9:$C$200, "&gt;="&amp;DATE(YEAR(TODAY()), MONTH(TODAY()), 1), Monthly_Repayments!$C$9:$C$200, "&lt;="&amp;EOMONTH(TODAY(), 0)) + SUMIFS(Monthly_Repayments!$G$9:$G$200, Monthly_Repayments!$D$9:$D$200, A19, Monthly_Repayments!$F$9:$F$200, "Full Settlement", Monthly_Repayments!$C$9:$C$200, "&gt;="&amp;DATE(YEAR(TODAY()), MONTH(TODAY()), 1), Monthly_Repayments!$C$9:$C$200, "&lt;="&amp;EOMONTH(TODAY(), 0)))</f>
        <v>0</v>
      </c>
      <c r="N19" s="36" t="str">
        <f>IF(Sheet1!H26="","",Sheet1!H26)</f>
        <v/>
      </c>
      <c r="O19" s="36" t="str">
        <f>IF(Sheet1!I26="","",Sheet1!I26)</f>
        <v/>
      </c>
    </row>
    <row r="20" spans="1:15" ht="22.5" customHeight="1">
      <c r="A20" s="10" t="str">
        <f>Sheet1!B27</f>
        <v>Kalijan</v>
      </c>
      <c r="B20" s="181" t="s">
        <v>232</v>
      </c>
      <c r="C20" s="11" t="s">
        <v>102</v>
      </c>
      <c r="D20" s="11" t="s">
        <v>154</v>
      </c>
      <c r="E20" s="37">
        <f>Sheet1!D27</f>
        <v>30000</v>
      </c>
      <c r="F20" s="37">
        <f>Sheet1!E27</f>
        <v>30000</v>
      </c>
      <c r="G20" s="37">
        <f>IF(A20="", "", SUMIFS(Monthly_Repayments!$G$9:$G$200, Monthly_Repayments!$D$9:$D$200, A20, Monthly_Repayments!$F$9:$F$200, "Lump Sum") + SUMIFS(Monthly_Repayments!$G$9:$G$200, Monthly_Repayments!$D$9:$D$200, A20, Monthly_Repayments!$F$9:$F$200, "Full Settlement"))</f>
        <v>0</v>
      </c>
      <c r="H20" s="37">
        <f>Sheet1!F27</f>
        <v>0</v>
      </c>
      <c r="I20" s="52">
        <f>Sheet1!G27</f>
        <v>0</v>
      </c>
      <c r="J20" s="11" t="str">
        <f>Sheet1!J27</f>
        <v>Priority 4 - Flexible</v>
      </c>
      <c r="K20" s="11" t="e">
        <f>IF(A20="", "", IF(#REF!&lt;=0, "Closed", "Open"))</f>
        <v>#REF!</v>
      </c>
      <c r="L20" s="18" t="str">
        <f>Sheet1!K27</f>
        <v>Family / informal debt</v>
      </c>
      <c r="M20" s="55">
        <f ca="1">IF(A20="", "", SUMIFS(Monthly_Repayments!$G$9:$G$200, Monthly_Repayments!$D$9:$D$200, A20, Monthly_Repayments!$F$9:$F$200, "Lump Sum", Monthly_Repayments!$C$9:$C$200, "&gt;="&amp;DATE(YEAR(TODAY()), MONTH(TODAY()), 1), Monthly_Repayments!$C$9:$C$200, "&lt;="&amp;EOMONTH(TODAY(), 0)) + SUMIFS(Monthly_Repayments!$G$9:$G$200, Monthly_Repayments!$D$9:$D$200, A20, Monthly_Repayments!$F$9:$F$200, "Full Settlement", Monthly_Repayments!$C$9:$C$200, "&gt;="&amp;DATE(YEAR(TODAY()), MONTH(TODAY()), 1), Monthly_Repayments!$C$9:$C$200, "&lt;="&amp;EOMONTH(TODAY(), 0)))</f>
        <v>0</v>
      </c>
      <c r="N20" s="36" t="str">
        <f>IF(Sheet1!H27="","",Sheet1!H27)</f>
        <v/>
      </c>
      <c r="O20" s="36" t="str">
        <f>IF(Sheet1!I27="","",Sheet1!I27)</f>
        <v/>
      </c>
    </row>
    <row r="21" spans="1:15" ht="22.5" customHeight="1">
      <c r="A21" s="10" t="str">
        <f>Sheet1!B28</f>
        <v>Khatija</v>
      </c>
      <c r="B21" s="181" t="s">
        <v>232</v>
      </c>
      <c r="C21" s="11" t="s">
        <v>102</v>
      </c>
      <c r="D21" s="11" t="s">
        <v>154</v>
      </c>
      <c r="E21" s="37">
        <f>Sheet1!D28</f>
        <v>30000</v>
      </c>
      <c r="F21" s="37">
        <f>Sheet1!E28</f>
        <v>30000</v>
      </c>
      <c r="G21" s="37">
        <f>IF(A21="", "", SUMIFS(Monthly_Repayments!$G$9:$G$200, Monthly_Repayments!$D$9:$D$200, A21, Monthly_Repayments!$F$9:$F$200, "Lump Sum") + SUMIFS(Monthly_Repayments!$G$9:$G$200, Monthly_Repayments!$D$9:$D$200, A21, Monthly_Repayments!$F$9:$F$200, "Full Settlement"))</f>
        <v>0</v>
      </c>
      <c r="H21" s="37">
        <f>Sheet1!F28</f>
        <v>0</v>
      </c>
      <c r="I21" s="52">
        <f>Sheet1!G28</f>
        <v>0</v>
      </c>
      <c r="J21" s="11" t="str">
        <f>Sheet1!J28</f>
        <v>Priority 4 - Flexible</v>
      </c>
      <c r="K21" s="11" t="e">
        <f>IF(A21="", "", IF(#REF!&lt;=0, "Closed", "Open"))</f>
        <v>#REF!</v>
      </c>
      <c r="L21" s="18" t="str">
        <f>Sheet1!K28</f>
        <v>Family / informal debt</v>
      </c>
      <c r="M21" s="55">
        <f ca="1">IF(A21="", "", SUMIFS(Monthly_Repayments!$G$9:$G$200, Monthly_Repayments!$D$9:$D$200, A21, Monthly_Repayments!$F$9:$F$200, "Lump Sum", Monthly_Repayments!$C$9:$C$200, "&gt;="&amp;DATE(YEAR(TODAY()), MONTH(TODAY()), 1), Monthly_Repayments!$C$9:$C$200, "&lt;="&amp;EOMONTH(TODAY(), 0)) + SUMIFS(Monthly_Repayments!$G$9:$G$200, Monthly_Repayments!$D$9:$D$200, A21, Monthly_Repayments!$F$9:$F$200, "Full Settlement", Monthly_Repayments!$C$9:$C$200, "&gt;="&amp;DATE(YEAR(TODAY()), MONTH(TODAY()), 1), Monthly_Repayments!$C$9:$C$200, "&lt;="&amp;EOMONTH(TODAY(), 0)))</f>
        <v>0</v>
      </c>
      <c r="N21" s="36" t="str">
        <f>IF(Sheet1!H28="","",Sheet1!H28)</f>
        <v/>
      </c>
      <c r="O21" s="36" t="str">
        <f>IF(Sheet1!I28="","",Sheet1!I28)</f>
        <v/>
      </c>
    </row>
    <row r="22" spans="1:15" ht="22.5" customHeight="1">
      <c r="A22" s="10" t="str">
        <f>Sheet1!B29</f>
        <v>Mamu</v>
      </c>
      <c r="B22" s="181" t="s">
        <v>232</v>
      </c>
      <c r="C22" s="11" t="s">
        <v>99</v>
      </c>
      <c r="D22" s="11" t="s">
        <v>154</v>
      </c>
      <c r="E22" s="37">
        <f>Sheet1!D29</f>
        <v>20000</v>
      </c>
      <c r="F22" s="37">
        <f>Sheet1!E29</f>
        <v>20000</v>
      </c>
      <c r="G22" s="37">
        <f>IF(A22="", "", SUMIFS(Monthly_Repayments!$G$9:$G$200, Monthly_Repayments!$D$9:$D$200, A22, Monthly_Repayments!$F$9:$F$200, "Lump Sum") + SUMIFS(Monthly_Repayments!$G$9:$G$200, Monthly_Repayments!$D$9:$D$200, A22, Monthly_Repayments!$F$9:$F$200, "Full Settlement"))</f>
        <v>0</v>
      </c>
      <c r="H22" s="37">
        <f>Sheet1!F29</f>
        <v>0</v>
      </c>
      <c r="I22" s="52">
        <f>Sheet1!G29</f>
        <v>0</v>
      </c>
      <c r="J22" s="11" t="str">
        <f>Sheet1!J29</f>
        <v>Priority 4 - Flexible</v>
      </c>
      <c r="K22" s="11" t="e">
        <f>IF(A22="", "", IF(#REF!&lt;=0, "Closed", "Open"))</f>
        <v>#REF!</v>
      </c>
      <c r="L22" s="18" t="str">
        <f>Sheet1!K29</f>
        <v>Family support debt</v>
      </c>
      <c r="M22" s="55">
        <f ca="1">IF(A22="", "", SUMIFS(Monthly_Repayments!$G$9:$G$200, Monthly_Repayments!$D$9:$D$200, A22, Monthly_Repayments!$F$9:$F$200, "Lump Sum", Monthly_Repayments!$C$9:$C$200, "&gt;="&amp;DATE(YEAR(TODAY()), MONTH(TODAY()), 1), Monthly_Repayments!$C$9:$C$200, "&lt;="&amp;EOMONTH(TODAY(), 0)) + SUMIFS(Monthly_Repayments!$G$9:$G$200, Monthly_Repayments!$D$9:$D$200, A22, Monthly_Repayments!$F$9:$F$200, "Full Settlement", Monthly_Repayments!$C$9:$C$200, "&gt;="&amp;DATE(YEAR(TODAY()), MONTH(TODAY()), 1), Monthly_Repayments!$C$9:$C$200, "&lt;="&amp;EOMONTH(TODAY(), 0)))</f>
        <v>0</v>
      </c>
      <c r="N22" s="36" t="str">
        <f>IF(Sheet1!H29="","",Sheet1!H29)</f>
        <v/>
      </c>
      <c r="O22" s="36" t="str">
        <f>IF(Sheet1!I29="","",Sheet1!I29)</f>
        <v/>
      </c>
    </row>
    <row r="23" spans="1:15" ht="22.5" customHeight="1">
      <c r="A23" s="10" t="str">
        <f>Sheet1!B30</f>
        <v>Extra Payment</v>
      </c>
      <c r="B23" s="181" t="s">
        <v>232</v>
      </c>
      <c r="C23" s="11" t="s">
        <v>98</v>
      </c>
      <c r="D23" s="11" t="s">
        <v>229</v>
      </c>
      <c r="E23" s="37">
        <f>Sheet1!D30</f>
        <v>20000</v>
      </c>
      <c r="F23" s="37">
        <f>Sheet1!E30</f>
        <v>20000</v>
      </c>
      <c r="G23" s="37">
        <f>IF(A23="", "", SUMIFS(Monthly_Repayments!$G$9:$G$200, Monthly_Repayments!$D$9:$D$200, A23, Monthly_Repayments!$F$9:$F$200, "Lump Sum") + SUMIFS(Monthly_Repayments!$G$9:$G$200, Monthly_Repayments!$D$9:$D$200, A23, Monthly_Repayments!$F$9:$F$200, "Full Settlement"))</f>
        <v>0</v>
      </c>
      <c r="H23" s="37">
        <f>Sheet1!F30</f>
        <v>0</v>
      </c>
      <c r="I23" s="52">
        <f>Sheet1!G30</f>
        <v>0</v>
      </c>
      <c r="J23" s="11" t="str">
        <f>Sheet1!J30</f>
        <v>Priority 4 - Flexible</v>
      </c>
      <c r="K23" s="11" t="e">
        <f>IF(A23="", "", IF(#REF!&lt;=0, "Closed", "Open"))</f>
        <v>#REF!</v>
      </c>
      <c r="L23" s="18" t="str">
        <f>Sheet1!K30</f>
        <v>Short-term buffer</v>
      </c>
      <c r="M23" s="55">
        <f ca="1">IF(A23="", "", SUMIFS(Monthly_Repayments!$G$9:$G$200, Monthly_Repayments!$D$9:$D$200, A23, Monthly_Repayments!$F$9:$F$200, "Lump Sum", Monthly_Repayments!$C$9:$C$200, "&gt;="&amp;DATE(YEAR(TODAY()), MONTH(TODAY()), 1), Monthly_Repayments!$C$9:$C$200, "&lt;="&amp;EOMONTH(TODAY(), 0)) + SUMIFS(Monthly_Repayments!$G$9:$G$200, Monthly_Repayments!$D$9:$D$200, A23, Monthly_Repayments!$F$9:$F$200, "Full Settlement", Monthly_Repayments!$C$9:$C$200, "&gt;="&amp;DATE(YEAR(TODAY()), MONTH(TODAY()), 1), Monthly_Repayments!$C$9:$C$200, "&lt;="&amp;EOMONTH(TODAY(), 0)))</f>
        <v>0</v>
      </c>
      <c r="N23" s="36" t="str">
        <f>IF(Sheet1!H30="","",Sheet1!H30)</f>
        <v/>
      </c>
      <c r="O23" s="36" t="str">
        <f>IF(Sheet1!I30="","",Sheet1!I30)</f>
        <v/>
      </c>
    </row>
    <row r="24" spans="1:15" ht="22.5" customHeight="1">
      <c r="A24" s="10" t="str">
        <f>Sheet1!B31</f>
        <v>Home Expenses</v>
      </c>
      <c r="B24" s="181" t="s">
        <v>4</v>
      </c>
      <c r="C24" s="11" t="s">
        <v>101</v>
      </c>
      <c r="D24" s="11" t="s">
        <v>229</v>
      </c>
      <c r="E24" s="37">
        <f>Sheet1!D31</f>
        <v>10000</v>
      </c>
      <c r="F24" s="37">
        <f>Sheet1!E31</f>
        <v>10000</v>
      </c>
      <c r="G24" s="37">
        <f>IF(A24="", "", SUMIFS(Monthly_Repayments!$G$9:$G$200, Monthly_Repayments!$D$9:$D$200, A24, Monthly_Repayments!$F$9:$F$200, "Lump Sum") + SUMIFS(Monthly_Repayments!$G$9:$G$200, Monthly_Repayments!$D$9:$D$200, A24, Monthly_Repayments!$F$9:$F$200, "Full Settlement"))</f>
        <v>0</v>
      </c>
      <c r="H24" s="37">
        <f>Sheet1!F31</f>
        <v>10000</v>
      </c>
      <c r="I24" s="52">
        <f>Sheet1!G31</f>
        <v>0</v>
      </c>
      <c r="J24" s="11" t="str">
        <f>Sheet1!J31</f>
        <v>Priority 3 - 0% EMI</v>
      </c>
      <c r="K24" s="11" t="e">
        <f>IF(A24="", "", IF(#REF!&lt;=0, "Closed", "Open"))</f>
        <v>#REF!</v>
      </c>
      <c r="L24" s="18" t="str">
        <f>Sheet1!K31</f>
        <v>Immediate monthly expense</v>
      </c>
      <c r="M24" s="55">
        <f ca="1">IF(A24="", "", SUMIFS(Monthly_Repayments!$G$9:$G$200, Monthly_Repayments!$D$9:$D$200, A24, Monthly_Repayments!$F$9:$F$200, "Lump Sum", Monthly_Repayments!$C$9:$C$200, "&gt;="&amp;DATE(YEAR(TODAY()), MONTH(TODAY()), 1), Monthly_Repayments!$C$9:$C$200, "&lt;="&amp;EOMONTH(TODAY(), 0)) + SUMIFS(Monthly_Repayments!$G$9:$G$200, Monthly_Repayments!$D$9:$D$200, A24, Monthly_Repayments!$F$9:$F$200, "Full Settlement", Monthly_Repayments!$C$9:$C$200, "&gt;="&amp;DATE(YEAR(TODAY()), MONTH(TODAY()), 1), Monthly_Repayments!$C$9:$C$200, "&lt;="&amp;EOMONTH(TODAY(), 0)))</f>
        <v>0</v>
      </c>
      <c r="N24" s="36" t="str">
        <f>IF(Sheet1!H31="","",Sheet1!H31)</f>
        <v/>
      </c>
      <c r="O24" s="36" t="str">
        <f>IF(Sheet1!I31="","",Sheet1!I31)</f>
        <v/>
      </c>
    </row>
    <row r="25" spans="1:15" ht="22.5" customHeight="1">
      <c r="A25" s="10"/>
      <c r="B25" s="181"/>
      <c r="C25" s="11"/>
      <c r="D25" s="11"/>
      <c r="E25" s="37">
        <v>10000</v>
      </c>
      <c r="F25" s="37">
        <v>10000</v>
      </c>
      <c r="G25" s="37" t="str">
        <f>IF(A25="", "", SUMIFS(Monthly_Repayments!$G$9:$G$200, Monthly_Repayments!$D$9:$D$200, A25, Monthly_Repayments!$F$9:$F$200, "Lump Sum") + SUMIFS(Monthly_Repayments!$G$9:$G$200, Monthly_Repayments!$D$9:$D$200, A25, Monthly_Repayments!$F$9:$F$200, "Full Settlement"))</f>
        <v/>
      </c>
      <c r="H25" s="37"/>
      <c r="I25" s="52"/>
      <c r="J25" s="11"/>
      <c r="K25" s="11" t="str">
        <f>IF(A25="", "", IF(#REF!&lt;=0, "Closed", "Open"))</f>
        <v/>
      </c>
      <c r="L25" s="18"/>
      <c r="M25" s="55" t="str">
        <f ca="1">IF(A25="", "", SUMIFS(Monthly_Repayments!$G$9:$G$200, Monthly_Repayments!$D$9:$D$200, A25, Monthly_Repayments!$F$9:$F$200, "Lump Sum", Monthly_Repayments!$C$9:$C$200, "&gt;="&amp;DATE(YEAR(TODAY()), MONTH(TODAY()), 1), Monthly_Repayments!$C$9:$C$200, "&lt;="&amp;EOMONTH(TODAY(), 0)) + SUMIFS(Monthly_Repayments!$G$9:$G$200, Monthly_Repayments!$D$9:$D$200, A25, Monthly_Repayments!$F$9:$F$200, "Full Settlement", Monthly_Repayments!$C$9:$C$200, "&gt;="&amp;DATE(YEAR(TODAY()), MONTH(TODAY()), 1), Monthly_Repayments!$C$9:$C$200, "&lt;="&amp;EOMONTH(TODAY(), 0)))</f>
        <v/>
      </c>
      <c r="N25" s="36"/>
      <c r="O25" s="36"/>
    </row>
    <row r="26" spans="1:15" ht="22.5" customHeight="1">
      <c r="A26" s="10"/>
      <c r="B26" s="181"/>
      <c r="C26" s="11"/>
      <c r="D26" s="11"/>
      <c r="E26" s="37"/>
      <c r="F26" s="37"/>
      <c r="G26" s="37" t="str">
        <f>IF(A26="", "", SUMIFS(Monthly_Repayments!$G$9:$G$200, Monthly_Repayments!$D$9:$D$200, A26, Monthly_Repayments!$F$9:$F$200, "Lump Sum") + SUMIFS(Monthly_Repayments!$G$9:$G$200, Monthly_Repayments!$D$9:$D$200, A26, Monthly_Repayments!$F$9:$F$200, "Full Settlement"))</f>
        <v/>
      </c>
      <c r="H26" s="37"/>
      <c r="I26" s="52"/>
      <c r="J26" s="11"/>
      <c r="K26" s="11" t="str">
        <f>IF(A26="", "", IF(#REF!&lt;=0, "Closed", "Open"))</f>
        <v/>
      </c>
      <c r="L26" s="18"/>
      <c r="M26" s="55" t="str">
        <f ca="1">IF(A26="", "", SUMIFS(Monthly_Repayments!$G$9:$G$200, Monthly_Repayments!$D$9:$D$200, A26, Monthly_Repayments!$F$9:$F$200, "Lump Sum", Monthly_Repayments!$C$9:$C$200, "&gt;="&amp;DATE(YEAR(TODAY()), MONTH(TODAY()), 1), Monthly_Repayments!$C$9:$C$200, "&lt;="&amp;EOMONTH(TODAY(), 0)) + SUMIFS(Monthly_Repayments!$G$9:$G$200, Monthly_Repayments!$D$9:$D$200, A26, Monthly_Repayments!$F$9:$F$200, "Full Settlement", Monthly_Repayments!$C$9:$C$200, "&gt;="&amp;DATE(YEAR(TODAY()), MONTH(TODAY()), 1), Monthly_Repayments!$C$9:$C$200, "&lt;="&amp;EOMONTH(TODAY(), 0)))</f>
        <v/>
      </c>
      <c r="N26" s="36"/>
      <c r="O26" s="36"/>
    </row>
    <row r="27" spans="1:15" ht="22.5" customHeight="1">
      <c r="A27" s="10"/>
      <c r="B27" s="181"/>
      <c r="C27" s="11"/>
      <c r="D27" s="11"/>
      <c r="E27" s="37"/>
      <c r="F27" s="37"/>
      <c r="G27" s="37" t="str">
        <f>IF(A27="", "", SUMIFS(Monthly_Repayments!$G$9:$G$200, Monthly_Repayments!$D$9:$D$200, A27, Monthly_Repayments!$F$9:$F$200, "Lump Sum") + SUMIFS(Monthly_Repayments!$G$9:$G$200, Monthly_Repayments!$D$9:$D$200, A27, Monthly_Repayments!$F$9:$F$200, "Full Settlement"))</f>
        <v/>
      </c>
      <c r="H27" s="37"/>
      <c r="I27" s="52"/>
      <c r="J27" s="11"/>
      <c r="K27" s="11" t="str">
        <f>IF(A27="", "", IF(#REF!&lt;=0, "Closed", "Open"))</f>
        <v/>
      </c>
      <c r="L27" s="18"/>
      <c r="M27" s="55" t="str">
        <f ca="1">IF(A27="", "", SUMIFS(Monthly_Repayments!$G$9:$G$200, Monthly_Repayments!$D$9:$D$200, A27, Monthly_Repayments!$F$9:$F$200, "Lump Sum", Monthly_Repayments!$C$9:$C$200, "&gt;="&amp;DATE(YEAR(TODAY()), MONTH(TODAY()), 1), Monthly_Repayments!$C$9:$C$200, "&lt;="&amp;EOMONTH(TODAY(), 0)) + SUMIFS(Monthly_Repayments!$G$9:$G$200, Monthly_Repayments!$D$9:$D$200, A27, Monthly_Repayments!$F$9:$F$200, "Full Settlement", Monthly_Repayments!$C$9:$C$200, "&gt;="&amp;DATE(YEAR(TODAY()), MONTH(TODAY()), 1), Monthly_Repayments!$C$9:$C$200, "&lt;="&amp;EOMONTH(TODAY(), 0)))</f>
        <v/>
      </c>
      <c r="N27" s="36"/>
      <c r="O27" s="36"/>
    </row>
    <row r="28" spans="1:15" ht="22.5" customHeight="1">
      <c r="A28" s="10"/>
      <c r="B28" s="181"/>
      <c r="C28" s="11"/>
      <c r="D28" s="11"/>
      <c r="E28" s="37"/>
      <c r="F28" s="37"/>
      <c r="G28" s="37" t="str">
        <f>IF(A28="", "", SUMIFS(Monthly_Repayments!$G$9:$G$200, Monthly_Repayments!$D$9:$D$200, A28, Monthly_Repayments!$F$9:$F$200, "Lump Sum") + SUMIFS(Monthly_Repayments!$G$9:$G$200, Monthly_Repayments!$D$9:$D$200, A28, Monthly_Repayments!$F$9:$F$200, "Full Settlement"))</f>
        <v/>
      </c>
      <c r="H28" s="37"/>
      <c r="I28" s="52"/>
      <c r="J28" s="11"/>
      <c r="K28" s="11" t="str">
        <f>IF(A28="", "", IF(#REF!&lt;=0, "Closed", "Open"))</f>
        <v/>
      </c>
      <c r="L28" s="18"/>
      <c r="M28" s="55" t="str">
        <f ca="1">IF(A28="", "", SUMIFS(Monthly_Repayments!$G$9:$G$200, Monthly_Repayments!$D$9:$D$200, A28, Monthly_Repayments!$F$9:$F$200, "Lump Sum", Monthly_Repayments!$C$9:$C$200, "&gt;="&amp;DATE(YEAR(TODAY()), MONTH(TODAY()), 1), Monthly_Repayments!$C$9:$C$200, "&lt;="&amp;EOMONTH(TODAY(), 0)) + SUMIFS(Monthly_Repayments!$G$9:$G$200, Monthly_Repayments!$D$9:$D$200, A28, Monthly_Repayments!$F$9:$F$200, "Full Settlement", Monthly_Repayments!$C$9:$C$200, "&gt;="&amp;DATE(YEAR(TODAY()), MONTH(TODAY()), 1), Monthly_Repayments!$C$9:$C$200, "&lt;="&amp;EOMONTH(TODAY(), 0)))</f>
        <v/>
      </c>
      <c r="N28" s="36"/>
      <c r="O28" s="36"/>
    </row>
    <row r="29" spans="1:15" ht="22.5" customHeight="1">
      <c r="A29" s="10"/>
      <c r="B29" s="181"/>
      <c r="C29" s="11"/>
      <c r="D29" s="11"/>
      <c r="E29" s="37"/>
      <c r="F29" s="37"/>
      <c r="G29" s="37" t="str">
        <f>IF(A29="", "", SUMIFS(Monthly_Repayments!$G$9:$G$200, Monthly_Repayments!$D$9:$D$200, A29, Monthly_Repayments!$F$9:$F$200, "Lump Sum") + SUMIFS(Monthly_Repayments!$G$9:$G$200, Monthly_Repayments!$D$9:$D$200, A29, Monthly_Repayments!$F$9:$F$200, "Full Settlement"))</f>
        <v/>
      </c>
      <c r="H29" s="37"/>
      <c r="I29" s="52"/>
      <c r="J29" s="11"/>
      <c r="K29" s="11" t="str">
        <f>IF(A29="", "", IF(#REF!&lt;=0, "Closed", "Open"))</f>
        <v/>
      </c>
      <c r="L29" s="18"/>
      <c r="M29" s="55" t="str">
        <f ca="1">IF(A29="", "", SUMIFS(Monthly_Repayments!$G$9:$G$200, Monthly_Repayments!$D$9:$D$200, A29, Monthly_Repayments!$F$9:$F$200, "Lump Sum", Monthly_Repayments!$C$9:$C$200, "&gt;="&amp;DATE(YEAR(TODAY()), MONTH(TODAY()), 1), Monthly_Repayments!$C$9:$C$200, "&lt;="&amp;EOMONTH(TODAY(), 0)) + SUMIFS(Monthly_Repayments!$G$9:$G$200, Monthly_Repayments!$D$9:$D$200, A29, Monthly_Repayments!$F$9:$F$200, "Full Settlement", Monthly_Repayments!$C$9:$C$200, "&gt;="&amp;DATE(YEAR(TODAY()), MONTH(TODAY()), 1), Monthly_Repayments!$C$9:$C$200, "&lt;="&amp;EOMONTH(TODAY(), 0)))</f>
        <v/>
      </c>
      <c r="N29" s="36"/>
      <c r="O29" s="36"/>
    </row>
    <row r="30" spans="1:15" ht="22.5" customHeight="1">
      <c r="A30" s="10"/>
      <c r="B30" s="181"/>
      <c r="C30" s="11"/>
      <c r="D30" s="11"/>
      <c r="E30" s="37"/>
      <c r="F30" s="37"/>
      <c r="G30" s="37" t="str">
        <f>IF(A30="", "", SUMIFS(Monthly_Repayments!$G$9:$G$200, Monthly_Repayments!$D$9:$D$200, A30, Monthly_Repayments!$F$9:$F$200, "Lump Sum") + SUMIFS(Monthly_Repayments!$G$9:$G$200, Monthly_Repayments!$D$9:$D$200, A30, Monthly_Repayments!$F$9:$F$200, "Full Settlement"))</f>
        <v/>
      </c>
      <c r="H30" s="37"/>
      <c r="I30" s="52"/>
      <c r="J30" s="11"/>
      <c r="K30" s="11" t="str">
        <f>IF(A30="", "", IF(#REF!&lt;=0, "Closed", "Open"))</f>
        <v/>
      </c>
      <c r="L30" s="18"/>
      <c r="M30" s="55" t="str">
        <f ca="1">IF(A30="", "", SUMIFS(Monthly_Repayments!$G$9:$G$200, Monthly_Repayments!$D$9:$D$200, A30, Monthly_Repayments!$F$9:$F$200, "Lump Sum", Monthly_Repayments!$C$9:$C$200, "&gt;="&amp;DATE(YEAR(TODAY()), MONTH(TODAY()), 1), Monthly_Repayments!$C$9:$C$200, "&lt;="&amp;EOMONTH(TODAY(), 0)) + SUMIFS(Monthly_Repayments!$G$9:$G$200, Monthly_Repayments!$D$9:$D$200, A30, Monthly_Repayments!$F$9:$F$200, "Full Settlement", Monthly_Repayments!$C$9:$C$200, "&gt;="&amp;DATE(YEAR(TODAY()), MONTH(TODAY()), 1), Monthly_Repayments!$C$9:$C$200, "&lt;="&amp;EOMONTH(TODAY(), 0)))</f>
        <v/>
      </c>
      <c r="N30" s="36"/>
      <c r="O30" s="36"/>
    </row>
    <row r="31" spans="1:15" ht="22.5" customHeight="1">
      <c r="A31" s="10"/>
      <c r="B31" s="181"/>
      <c r="C31" s="11"/>
      <c r="D31" s="11"/>
      <c r="E31" s="37"/>
      <c r="F31" s="37"/>
      <c r="G31" s="37" t="str">
        <f>IF(A31="", "", SUMIFS(Monthly_Repayments!$G$9:$G$200, Monthly_Repayments!$D$9:$D$200, A31, Monthly_Repayments!$F$9:$F$200, "Lump Sum") + SUMIFS(Monthly_Repayments!$G$9:$G$200, Monthly_Repayments!$D$9:$D$200, A31, Monthly_Repayments!$F$9:$F$200, "Full Settlement"))</f>
        <v/>
      </c>
      <c r="H31" s="37"/>
      <c r="I31" s="52"/>
      <c r="J31" s="11"/>
      <c r="K31" s="11" t="str">
        <f>IF(A31="", "", IF(#REF!&lt;=0, "Closed", "Open"))</f>
        <v/>
      </c>
      <c r="L31" s="18"/>
      <c r="M31" s="55" t="str">
        <f ca="1">IF(A31="", "", SUMIFS(Monthly_Repayments!$G$9:$G$200, Monthly_Repayments!$D$9:$D$200, A31, Monthly_Repayments!$F$9:$F$200, "Lump Sum", Monthly_Repayments!$C$9:$C$200, "&gt;="&amp;DATE(YEAR(TODAY()), MONTH(TODAY()), 1), Monthly_Repayments!$C$9:$C$200, "&lt;="&amp;EOMONTH(TODAY(), 0)) + SUMIFS(Monthly_Repayments!$G$9:$G$200, Monthly_Repayments!$D$9:$D$200, A31, Monthly_Repayments!$F$9:$F$200, "Full Settlement", Monthly_Repayments!$C$9:$C$200, "&gt;="&amp;DATE(YEAR(TODAY()), MONTH(TODAY()), 1), Monthly_Repayments!$C$9:$C$200, "&lt;="&amp;EOMONTH(TODAY(), 0)))</f>
        <v/>
      </c>
      <c r="N31" s="36"/>
      <c r="O31" s="36"/>
    </row>
    <row r="32" spans="1:15" ht="22.5" customHeight="1">
      <c r="A32" s="10"/>
      <c r="B32" s="181"/>
      <c r="C32" s="11"/>
      <c r="D32" s="11"/>
      <c r="E32" s="37"/>
      <c r="F32" s="37"/>
      <c r="G32" s="37" t="str">
        <f>IF(A32="", "", SUMIFS(Monthly_Repayments!$G$9:$G$200, Monthly_Repayments!$D$9:$D$200, A32, Monthly_Repayments!$F$9:$F$200, "Lump Sum") + SUMIFS(Monthly_Repayments!$G$9:$G$200, Monthly_Repayments!$D$9:$D$200, A32, Monthly_Repayments!$F$9:$F$200, "Full Settlement"))</f>
        <v/>
      </c>
      <c r="H32" s="37"/>
      <c r="I32" s="52"/>
      <c r="J32" s="11"/>
      <c r="K32" s="11" t="str">
        <f>IF(A32="", "", IF(#REF!&lt;=0, "Closed", "Open"))</f>
        <v/>
      </c>
      <c r="L32" s="18"/>
      <c r="M32" s="55" t="str">
        <f ca="1">IF(A32="", "", SUMIFS(Monthly_Repayments!$G$9:$G$200, Monthly_Repayments!$D$9:$D$200, A32, Monthly_Repayments!$F$9:$F$200, "Lump Sum", Monthly_Repayments!$C$9:$C$200, "&gt;="&amp;DATE(YEAR(TODAY()), MONTH(TODAY()), 1), Monthly_Repayments!$C$9:$C$200, "&lt;="&amp;EOMONTH(TODAY(), 0)) + SUMIFS(Monthly_Repayments!$G$9:$G$200, Monthly_Repayments!$D$9:$D$200, A32, Monthly_Repayments!$F$9:$F$200, "Full Settlement", Monthly_Repayments!$C$9:$C$200, "&gt;="&amp;DATE(YEAR(TODAY()), MONTH(TODAY()), 1), Monthly_Repayments!$C$9:$C$200, "&lt;="&amp;EOMONTH(TODAY(), 0)))</f>
        <v/>
      </c>
      <c r="N32" s="36"/>
      <c r="O32" s="36"/>
    </row>
    <row r="33" spans="1:15" ht="22.5" customHeight="1">
      <c r="A33" s="10"/>
      <c r="B33" s="181"/>
      <c r="C33" s="11"/>
      <c r="D33" s="11"/>
      <c r="E33" s="37"/>
      <c r="F33" s="37"/>
      <c r="G33" s="37" t="str">
        <f>IF(A33="", "", SUMIFS(Monthly_Repayments!$G$9:$G$200, Monthly_Repayments!$D$9:$D$200, A33, Monthly_Repayments!$F$9:$F$200, "Lump Sum") + SUMIFS(Monthly_Repayments!$G$9:$G$200, Monthly_Repayments!$D$9:$D$200, A33, Monthly_Repayments!$F$9:$F$200, "Full Settlement"))</f>
        <v/>
      </c>
      <c r="H33" s="37"/>
      <c r="I33" s="52"/>
      <c r="J33" s="11"/>
      <c r="K33" s="11" t="str">
        <f>IF(A33="", "", IF(#REF!&lt;=0, "Closed", "Open"))</f>
        <v/>
      </c>
      <c r="L33" s="18"/>
      <c r="M33" s="55" t="str">
        <f ca="1">IF(A33="", "", SUMIFS(Monthly_Repayments!$G$9:$G$200, Monthly_Repayments!$D$9:$D$200, A33, Monthly_Repayments!$F$9:$F$200, "Lump Sum", Monthly_Repayments!$C$9:$C$200, "&gt;="&amp;DATE(YEAR(TODAY()), MONTH(TODAY()), 1), Monthly_Repayments!$C$9:$C$200, "&lt;="&amp;EOMONTH(TODAY(), 0)) + SUMIFS(Monthly_Repayments!$G$9:$G$200, Monthly_Repayments!$D$9:$D$200, A33, Monthly_Repayments!$F$9:$F$200, "Full Settlement", Monthly_Repayments!$C$9:$C$200, "&gt;="&amp;DATE(YEAR(TODAY()), MONTH(TODAY()), 1), Monthly_Repayments!$C$9:$C$200, "&lt;="&amp;EOMONTH(TODAY(), 0)))</f>
        <v/>
      </c>
      <c r="N33" s="36"/>
      <c r="O33" s="36"/>
    </row>
    <row r="34" spans="1:15" ht="22.5" customHeight="1">
      <c r="A34" s="10"/>
      <c r="B34" s="181"/>
      <c r="C34" s="11"/>
      <c r="D34" s="11"/>
      <c r="E34" s="37"/>
      <c r="F34" s="37"/>
      <c r="G34" s="37" t="str">
        <f>IF(A34="", "", SUMIFS(Monthly_Repayments!$G$9:$G$200, Monthly_Repayments!$D$9:$D$200, A34, Monthly_Repayments!$F$9:$F$200, "Lump Sum") + SUMIFS(Monthly_Repayments!$G$9:$G$200, Monthly_Repayments!$D$9:$D$200, A34, Monthly_Repayments!$F$9:$F$200, "Full Settlement"))</f>
        <v/>
      </c>
      <c r="H34" s="37"/>
      <c r="I34" s="52"/>
      <c r="J34" s="11"/>
      <c r="K34" s="11" t="str">
        <f>IF(A34="", "", IF(#REF!&lt;=0, "Closed", "Open"))</f>
        <v/>
      </c>
      <c r="L34" s="18"/>
      <c r="M34" s="55" t="str">
        <f ca="1">IF(A34="", "", SUMIFS(Monthly_Repayments!$G$9:$G$200, Monthly_Repayments!$D$9:$D$200, A34, Monthly_Repayments!$F$9:$F$200, "Lump Sum", Monthly_Repayments!$C$9:$C$200, "&gt;="&amp;DATE(YEAR(TODAY()), MONTH(TODAY()), 1), Monthly_Repayments!$C$9:$C$200, "&lt;="&amp;EOMONTH(TODAY(), 0)) + SUMIFS(Monthly_Repayments!$G$9:$G$200, Monthly_Repayments!$D$9:$D$200, A34, Monthly_Repayments!$F$9:$F$200, "Full Settlement", Monthly_Repayments!$C$9:$C$200, "&gt;="&amp;DATE(YEAR(TODAY()), MONTH(TODAY()), 1), Monthly_Repayments!$C$9:$C$200, "&lt;="&amp;EOMONTH(TODAY(), 0)))</f>
        <v/>
      </c>
      <c r="N34" s="36"/>
      <c r="O34" s="36"/>
    </row>
    <row r="35" spans="1:15" ht="22.5" customHeight="1">
      <c r="A35" s="10"/>
      <c r="B35" s="181"/>
      <c r="C35" s="11"/>
      <c r="D35" s="11"/>
      <c r="E35" s="37"/>
      <c r="F35" s="37"/>
      <c r="G35" s="37" t="str">
        <f>IF(A35="", "", SUMIFS(Monthly_Repayments!$G$9:$G$200, Monthly_Repayments!$D$9:$D$200, A35, Monthly_Repayments!$F$9:$F$200, "Lump Sum") + SUMIFS(Monthly_Repayments!$G$9:$G$200, Monthly_Repayments!$D$9:$D$200, A35, Monthly_Repayments!$F$9:$F$200, "Full Settlement"))</f>
        <v/>
      </c>
      <c r="H35" s="37"/>
      <c r="I35" s="52"/>
      <c r="J35" s="11"/>
      <c r="K35" s="11" t="str">
        <f>IF(A35="", "", IF(#REF!&lt;=0, "Closed", "Open"))</f>
        <v/>
      </c>
      <c r="L35" s="18"/>
      <c r="M35" s="55" t="str">
        <f ca="1">IF(A35="", "", SUMIFS(Monthly_Repayments!$G$9:$G$200, Monthly_Repayments!$D$9:$D$200, A35, Monthly_Repayments!$F$9:$F$200, "Lump Sum", Monthly_Repayments!$C$9:$C$200, "&gt;="&amp;DATE(YEAR(TODAY()), MONTH(TODAY()), 1), Monthly_Repayments!$C$9:$C$200, "&lt;="&amp;EOMONTH(TODAY(), 0)) + SUMIFS(Monthly_Repayments!$G$9:$G$200, Monthly_Repayments!$D$9:$D$200, A35, Monthly_Repayments!$F$9:$F$200, "Full Settlement", Monthly_Repayments!$C$9:$C$200, "&gt;="&amp;DATE(YEAR(TODAY()), MONTH(TODAY()), 1), Monthly_Repayments!$C$9:$C$200, "&lt;="&amp;EOMONTH(TODAY(), 0)))</f>
        <v/>
      </c>
      <c r="N35" s="36"/>
      <c r="O35" s="36"/>
    </row>
    <row r="36" spans="1:15" ht="22.5" customHeight="1">
      <c r="A36" s="10"/>
      <c r="B36" s="181"/>
      <c r="C36" s="11"/>
      <c r="D36" s="11"/>
      <c r="E36" s="37"/>
      <c r="F36" s="37"/>
      <c r="G36" s="37" t="str">
        <f>IF(A36="", "", SUMIFS(Monthly_Repayments!$G$9:$G$200, Monthly_Repayments!$D$9:$D$200, A36, Monthly_Repayments!$F$9:$F$200, "Lump Sum") + SUMIFS(Monthly_Repayments!$G$9:$G$200, Monthly_Repayments!$D$9:$D$200, A36, Monthly_Repayments!$F$9:$F$200, "Full Settlement"))</f>
        <v/>
      </c>
      <c r="H36" s="37"/>
      <c r="I36" s="52"/>
      <c r="J36" s="11"/>
      <c r="K36" s="11" t="str">
        <f>IF(A36="", "", IF(#REF!&lt;=0, "Closed", "Open"))</f>
        <v/>
      </c>
      <c r="L36" s="18"/>
      <c r="M36" s="55" t="str">
        <f ca="1">IF(A36="", "", SUMIFS(Monthly_Repayments!$G$9:$G$200, Monthly_Repayments!$D$9:$D$200, A36, Monthly_Repayments!$F$9:$F$200, "Lump Sum", Monthly_Repayments!$C$9:$C$200, "&gt;="&amp;DATE(YEAR(TODAY()), MONTH(TODAY()), 1), Monthly_Repayments!$C$9:$C$200, "&lt;="&amp;EOMONTH(TODAY(), 0)) + SUMIFS(Monthly_Repayments!$G$9:$G$200, Monthly_Repayments!$D$9:$D$200, A36, Monthly_Repayments!$F$9:$F$200, "Full Settlement", Monthly_Repayments!$C$9:$C$200, "&gt;="&amp;DATE(YEAR(TODAY()), MONTH(TODAY()), 1), Monthly_Repayments!$C$9:$C$200, "&lt;="&amp;EOMONTH(TODAY(), 0)))</f>
        <v/>
      </c>
      <c r="N36" s="36"/>
      <c r="O36" s="36"/>
    </row>
    <row r="37" spans="1:15" ht="22.5" customHeight="1">
      <c r="A37" s="10"/>
      <c r="B37" s="181"/>
      <c r="C37" s="11"/>
      <c r="D37" s="11"/>
      <c r="E37" s="37"/>
      <c r="F37" s="37"/>
      <c r="G37" s="37" t="str">
        <f>IF(A37="", "", SUMIFS(Monthly_Repayments!$G$9:$G$200, Monthly_Repayments!$D$9:$D$200, A37, Monthly_Repayments!$F$9:$F$200, "Lump Sum") + SUMIFS(Monthly_Repayments!$G$9:$G$200, Monthly_Repayments!$D$9:$D$200, A37, Monthly_Repayments!$F$9:$F$200, "Full Settlement"))</f>
        <v/>
      </c>
      <c r="H37" s="37"/>
      <c r="I37" s="52"/>
      <c r="J37" s="11"/>
      <c r="K37" s="11" t="str">
        <f>IF(A37="", "", IF(#REF!&lt;=0, "Closed", "Open"))</f>
        <v/>
      </c>
      <c r="L37" s="18"/>
      <c r="M37" s="55" t="str">
        <f ca="1">IF(A37="", "", SUMIFS(Monthly_Repayments!$G$9:$G$200, Monthly_Repayments!$D$9:$D$200, A37, Monthly_Repayments!$F$9:$F$200, "Lump Sum", Monthly_Repayments!$C$9:$C$200, "&gt;="&amp;DATE(YEAR(TODAY()), MONTH(TODAY()), 1), Monthly_Repayments!$C$9:$C$200, "&lt;="&amp;EOMONTH(TODAY(), 0)) + SUMIFS(Monthly_Repayments!$G$9:$G$200, Monthly_Repayments!$D$9:$D$200, A37, Monthly_Repayments!$F$9:$F$200, "Full Settlement", Monthly_Repayments!$C$9:$C$200, "&gt;="&amp;DATE(YEAR(TODAY()), MONTH(TODAY()), 1), Monthly_Repayments!$C$9:$C$200, "&lt;="&amp;EOMONTH(TODAY(), 0)))</f>
        <v/>
      </c>
      <c r="N37" s="36"/>
      <c r="O37" s="36"/>
    </row>
    <row r="38" spans="1:15" ht="22.5" customHeight="1">
      <c r="A38" s="10"/>
      <c r="B38" s="181"/>
      <c r="C38" s="11"/>
      <c r="D38" s="11"/>
      <c r="E38" s="37"/>
      <c r="F38" s="37"/>
      <c r="G38" s="37" t="str">
        <f>IF(A38="", "", SUMIFS(Monthly_Repayments!$G$9:$G$200, Monthly_Repayments!$D$9:$D$200, A38, Monthly_Repayments!$F$9:$F$200, "Lump Sum") + SUMIFS(Monthly_Repayments!$G$9:$G$200, Monthly_Repayments!$D$9:$D$200, A38, Monthly_Repayments!$F$9:$F$200, "Full Settlement"))</f>
        <v/>
      </c>
      <c r="H38" s="37"/>
      <c r="I38" s="52"/>
      <c r="J38" s="11"/>
      <c r="K38" s="11" t="str">
        <f>IF(A38="", "", IF(#REF!&lt;=0, "Closed", "Open"))</f>
        <v/>
      </c>
      <c r="L38" s="18"/>
      <c r="M38" s="55" t="str">
        <f ca="1">IF(A38="", "", SUMIFS(Monthly_Repayments!$G$9:$G$200, Monthly_Repayments!$D$9:$D$200, A38, Monthly_Repayments!$F$9:$F$200, "Lump Sum", Monthly_Repayments!$C$9:$C$200, "&gt;="&amp;DATE(YEAR(TODAY()), MONTH(TODAY()), 1), Monthly_Repayments!$C$9:$C$200, "&lt;="&amp;EOMONTH(TODAY(), 0)) + SUMIFS(Monthly_Repayments!$G$9:$G$200, Monthly_Repayments!$D$9:$D$200, A38, Monthly_Repayments!$F$9:$F$200, "Full Settlement", Monthly_Repayments!$C$9:$C$200, "&gt;="&amp;DATE(YEAR(TODAY()), MONTH(TODAY()), 1), Monthly_Repayments!$C$9:$C$200, "&lt;="&amp;EOMONTH(TODAY(), 0)))</f>
        <v/>
      </c>
      <c r="N38" s="36"/>
      <c r="O38" s="36"/>
    </row>
    <row r="39" spans="1:15" ht="22.5" customHeight="1">
      <c r="A39" s="10"/>
      <c r="B39" s="181"/>
      <c r="C39" s="11"/>
      <c r="D39" s="11"/>
      <c r="E39" s="37"/>
      <c r="F39" s="37"/>
      <c r="G39" s="37" t="str">
        <f>IF(A39="", "", SUMIFS(Monthly_Repayments!$G$9:$G$200, Monthly_Repayments!$D$9:$D$200, A39, Monthly_Repayments!$F$9:$F$200, "Lump Sum") + SUMIFS(Monthly_Repayments!$G$9:$G$200, Monthly_Repayments!$D$9:$D$200, A39, Monthly_Repayments!$F$9:$F$200, "Full Settlement"))</f>
        <v/>
      </c>
      <c r="H39" s="37"/>
      <c r="I39" s="52"/>
      <c r="J39" s="11"/>
      <c r="K39" s="11" t="str">
        <f>IF(A39="", "", IF(#REF!&lt;=0, "Closed", "Open"))</f>
        <v/>
      </c>
      <c r="L39" s="18"/>
      <c r="M39" s="55" t="str">
        <f ca="1">IF(A39="", "", SUMIFS(Monthly_Repayments!$G$9:$G$200, Monthly_Repayments!$D$9:$D$200, A39, Monthly_Repayments!$F$9:$F$200, "Lump Sum", Monthly_Repayments!$C$9:$C$200, "&gt;="&amp;DATE(YEAR(TODAY()), MONTH(TODAY()), 1), Monthly_Repayments!$C$9:$C$200, "&lt;="&amp;EOMONTH(TODAY(), 0)) + SUMIFS(Monthly_Repayments!$G$9:$G$200, Monthly_Repayments!$D$9:$D$200, A39, Monthly_Repayments!$F$9:$F$200, "Full Settlement", Monthly_Repayments!$C$9:$C$200, "&gt;="&amp;DATE(YEAR(TODAY()), MONTH(TODAY()), 1), Monthly_Repayments!$C$9:$C$200, "&lt;="&amp;EOMONTH(TODAY(), 0)))</f>
        <v/>
      </c>
      <c r="N39" s="36"/>
      <c r="O39" s="36"/>
    </row>
    <row r="40" spans="1:15" ht="22.5" customHeight="1">
      <c r="A40" s="10"/>
      <c r="B40" s="181"/>
      <c r="C40" s="11"/>
      <c r="D40" s="11"/>
      <c r="E40" s="37"/>
      <c r="F40" s="37"/>
      <c r="G40" s="37" t="str">
        <f>IF(A40="", "", SUMIFS(Monthly_Repayments!$G$9:$G$200, Monthly_Repayments!$D$9:$D$200, A40, Monthly_Repayments!$F$9:$F$200, "Lump Sum") + SUMIFS(Monthly_Repayments!$G$9:$G$200, Monthly_Repayments!$D$9:$D$200, A40, Monthly_Repayments!$F$9:$F$200, "Full Settlement"))</f>
        <v/>
      </c>
      <c r="H40" s="37"/>
      <c r="I40" s="52"/>
      <c r="J40" s="11"/>
      <c r="K40" s="11" t="str">
        <f>IF(A40="", "", IF(#REF!&lt;=0, "Closed", "Open"))</f>
        <v/>
      </c>
      <c r="L40" s="18"/>
      <c r="M40" s="55" t="str">
        <f ca="1">IF(A40="", "", SUMIFS(Monthly_Repayments!$G$9:$G$200, Monthly_Repayments!$D$9:$D$200, A40, Monthly_Repayments!$F$9:$F$200, "Lump Sum", Monthly_Repayments!$C$9:$C$200, "&gt;="&amp;DATE(YEAR(TODAY()), MONTH(TODAY()), 1), Monthly_Repayments!$C$9:$C$200, "&lt;="&amp;EOMONTH(TODAY(), 0)) + SUMIFS(Monthly_Repayments!$G$9:$G$200, Monthly_Repayments!$D$9:$D$200, A40, Monthly_Repayments!$F$9:$F$200, "Full Settlement", Monthly_Repayments!$C$9:$C$200, "&gt;="&amp;DATE(YEAR(TODAY()), MONTH(TODAY()), 1), Monthly_Repayments!$C$9:$C$200, "&lt;="&amp;EOMONTH(TODAY(), 0)))</f>
        <v/>
      </c>
      <c r="N40" s="36"/>
      <c r="O40" s="36"/>
    </row>
    <row r="41" spans="1:15" ht="22.5" customHeight="1">
      <c r="A41" s="10"/>
      <c r="B41" s="181"/>
      <c r="C41" s="11"/>
      <c r="D41" s="11"/>
      <c r="E41" s="37"/>
      <c r="F41" s="37"/>
      <c r="G41" s="37" t="str">
        <f>IF(A41="", "", SUMIFS(Monthly_Repayments!$G$9:$G$200, Monthly_Repayments!$D$9:$D$200, A41, Monthly_Repayments!$F$9:$F$200, "Lump Sum") + SUMIFS(Monthly_Repayments!$G$9:$G$200, Monthly_Repayments!$D$9:$D$200, A41, Monthly_Repayments!$F$9:$F$200, "Full Settlement"))</f>
        <v/>
      </c>
      <c r="H41" s="37"/>
      <c r="I41" s="52"/>
      <c r="J41" s="11"/>
      <c r="K41" s="11" t="str">
        <f>IF(A41="", "", IF(#REF!&lt;=0, "Closed", "Open"))</f>
        <v/>
      </c>
      <c r="L41" s="18"/>
      <c r="M41" s="55" t="str">
        <f ca="1">IF(A41="", "", SUMIFS(Monthly_Repayments!$G$9:$G$200, Monthly_Repayments!$D$9:$D$200, A41, Monthly_Repayments!$F$9:$F$200, "Lump Sum", Monthly_Repayments!$C$9:$C$200, "&gt;="&amp;DATE(YEAR(TODAY()), MONTH(TODAY()), 1), Monthly_Repayments!$C$9:$C$200, "&lt;="&amp;EOMONTH(TODAY(), 0)) + SUMIFS(Monthly_Repayments!$G$9:$G$200, Monthly_Repayments!$D$9:$D$200, A41, Monthly_Repayments!$F$9:$F$200, "Full Settlement", Monthly_Repayments!$C$9:$C$200, "&gt;="&amp;DATE(YEAR(TODAY()), MONTH(TODAY()), 1), Monthly_Repayments!$C$9:$C$200, "&lt;="&amp;EOMONTH(TODAY(), 0)))</f>
        <v/>
      </c>
      <c r="N41" s="36"/>
      <c r="O41" s="36"/>
    </row>
    <row r="42" spans="1:15" ht="22.5" customHeight="1">
      <c r="A42" s="10"/>
      <c r="B42" s="181"/>
      <c r="C42" s="11"/>
      <c r="D42" s="11"/>
      <c r="E42" s="37"/>
      <c r="F42" s="37"/>
      <c r="G42" s="37" t="str">
        <f>IF(A42="", "", SUMIFS(Monthly_Repayments!$G$9:$G$200, Monthly_Repayments!$D$9:$D$200, A42, Monthly_Repayments!$F$9:$F$200, "Lump Sum") + SUMIFS(Monthly_Repayments!$G$9:$G$200, Monthly_Repayments!$D$9:$D$200, A42, Monthly_Repayments!$F$9:$F$200, "Full Settlement"))</f>
        <v/>
      </c>
      <c r="H42" s="37"/>
      <c r="I42" s="52"/>
      <c r="J42" s="11"/>
      <c r="K42" s="11" t="str">
        <f>IF(A42="", "", IF(#REF!&lt;=0, "Closed", "Open"))</f>
        <v/>
      </c>
      <c r="L42" s="18"/>
      <c r="M42" s="55" t="str">
        <f ca="1">IF(A42="", "", SUMIFS(Monthly_Repayments!$G$9:$G$200, Monthly_Repayments!$D$9:$D$200, A42, Monthly_Repayments!$F$9:$F$200, "Lump Sum", Monthly_Repayments!$C$9:$C$200, "&gt;="&amp;DATE(YEAR(TODAY()), MONTH(TODAY()), 1), Monthly_Repayments!$C$9:$C$200, "&lt;="&amp;EOMONTH(TODAY(), 0)) + SUMIFS(Monthly_Repayments!$G$9:$G$200, Monthly_Repayments!$D$9:$D$200, A42, Monthly_Repayments!$F$9:$F$200, "Full Settlement", Monthly_Repayments!$C$9:$C$200, "&gt;="&amp;DATE(YEAR(TODAY()), MONTH(TODAY()), 1), Monthly_Repayments!$C$9:$C$200, "&lt;="&amp;EOMONTH(TODAY(), 0)))</f>
        <v/>
      </c>
      <c r="N42" s="36"/>
      <c r="O42" s="36"/>
    </row>
    <row r="43" spans="1:15" ht="22.5" customHeight="1">
      <c r="A43" s="10"/>
      <c r="B43" s="181"/>
      <c r="C43" s="11"/>
      <c r="D43" s="11"/>
      <c r="E43" s="37"/>
      <c r="F43" s="37"/>
      <c r="G43" s="37" t="str">
        <f>IF(A43="", "", SUMIFS(Monthly_Repayments!$G$9:$G$200, Monthly_Repayments!$D$9:$D$200, A43, Monthly_Repayments!$F$9:$F$200, "Lump Sum") + SUMIFS(Monthly_Repayments!$G$9:$G$200, Monthly_Repayments!$D$9:$D$200, A43, Monthly_Repayments!$F$9:$F$200, "Full Settlement"))</f>
        <v/>
      </c>
      <c r="H43" s="37"/>
      <c r="I43" s="52"/>
      <c r="J43" s="11"/>
      <c r="K43" s="11" t="str">
        <f>IF(A43="", "", IF(#REF!&lt;=0, "Closed", "Open"))</f>
        <v/>
      </c>
      <c r="L43" s="18"/>
      <c r="M43" s="55" t="str">
        <f ca="1">IF(A43="", "", SUMIFS(Monthly_Repayments!$G$9:$G$200, Monthly_Repayments!$D$9:$D$200, A43, Monthly_Repayments!$F$9:$F$200, "Lump Sum", Monthly_Repayments!$C$9:$C$200, "&gt;="&amp;DATE(YEAR(TODAY()), MONTH(TODAY()), 1), Monthly_Repayments!$C$9:$C$200, "&lt;="&amp;EOMONTH(TODAY(), 0)) + SUMIFS(Monthly_Repayments!$G$9:$G$200, Monthly_Repayments!$D$9:$D$200, A43, Monthly_Repayments!$F$9:$F$200, "Full Settlement", Monthly_Repayments!$C$9:$C$200, "&gt;="&amp;DATE(YEAR(TODAY()), MONTH(TODAY()), 1), Monthly_Repayments!$C$9:$C$200, "&lt;="&amp;EOMONTH(TODAY(), 0)))</f>
        <v/>
      </c>
      <c r="N43" s="36"/>
      <c r="O43" s="36"/>
    </row>
    <row r="44" spans="1:15" ht="22.5" customHeight="1">
      <c r="A44" s="10"/>
      <c r="B44" s="181"/>
      <c r="C44" s="11"/>
      <c r="D44" s="11"/>
      <c r="E44" s="37"/>
      <c r="F44" s="37"/>
      <c r="G44" s="37"/>
      <c r="H44" s="37"/>
      <c r="I44" s="52"/>
      <c r="J44" s="11"/>
      <c r="K44" s="11"/>
      <c r="L44" s="18"/>
      <c r="M44" s="55"/>
      <c r="N44" s="36"/>
      <c r="O44" s="36"/>
    </row>
    <row r="45" spans="1:15" ht="22.5" customHeight="1">
      <c r="A45" s="10"/>
      <c r="B45" s="181"/>
      <c r="C45" s="11"/>
      <c r="D45" s="11"/>
      <c r="E45" s="37"/>
      <c r="F45" s="37"/>
      <c r="G45" s="37"/>
      <c r="H45" s="37"/>
      <c r="I45" s="52"/>
      <c r="J45" s="11"/>
      <c r="K45" s="11"/>
      <c r="L45" s="18"/>
      <c r="M45" s="55"/>
      <c r="N45" s="36"/>
      <c r="O45" s="36"/>
    </row>
    <row r="46" spans="1:15" ht="22.5" customHeight="1">
      <c r="A46" s="10"/>
      <c r="B46" s="181"/>
      <c r="C46" s="11"/>
      <c r="D46" s="11"/>
      <c r="E46" s="37"/>
      <c r="F46" s="37"/>
      <c r="G46" s="37"/>
      <c r="H46" s="37"/>
      <c r="I46" s="52"/>
      <c r="J46" s="11"/>
      <c r="K46" s="11"/>
      <c r="L46" s="18"/>
      <c r="M46" s="55"/>
      <c r="N46" s="36"/>
      <c r="O46" s="36"/>
    </row>
    <row r="47" spans="1:15" ht="22.5" customHeight="1">
      <c r="A47" s="10"/>
      <c r="B47" s="181"/>
      <c r="C47" s="11"/>
      <c r="D47" s="11"/>
      <c r="E47" s="37"/>
      <c r="F47" s="37"/>
      <c r="G47" s="37"/>
      <c r="H47" s="37"/>
      <c r="I47" s="52"/>
      <c r="J47" s="11"/>
      <c r="K47" s="11"/>
      <c r="L47" s="18"/>
      <c r="M47" s="55"/>
      <c r="N47" s="36"/>
      <c r="O47" s="36"/>
    </row>
    <row r="48" spans="1:15" ht="22.5" customHeight="1">
      <c r="A48" s="10"/>
      <c r="B48" s="181"/>
      <c r="C48" s="11"/>
      <c r="D48" s="11"/>
      <c r="E48" s="37"/>
      <c r="F48" s="37"/>
      <c r="G48" s="37"/>
      <c r="H48" s="37"/>
      <c r="I48" s="52"/>
      <c r="J48" s="11"/>
      <c r="K48" s="11"/>
      <c r="L48" s="18"/>
      <c r="M48" s="55"/>
      <c r="N48" s="36"/>
      <c r="O48" s="36"/>
    </row>
    <row r="49" spans="1:15" ht="22.5" customHeight="1">
      <c r="A49" s="104"/>
      <c r="B49" s="182"/>
      <c r="C49" s="105"/>
      <c r="D49" s="106"/>
      <c r="E49" s="107"/>
      <c r="F49" s="107"/>
      <c r="G49" s="107"/>
      <c r="H49" s="107"/>
      <c r="I49" s="108"/>
      <c r="J49" s="105"/>
      <c r="K49" s="105"/>
      <c r="L49" s="109"/>
      <c r="M49" s="110"/>
      <c r="N49" s="111"/>
      <c r="O49" s="111"/>
    </row>
    <row r="50" spans="1:15" ht="22.5" customHeight="1">
      <c r="A50" s="112"/>
      <c r="B50" s="183"/>
      <c r="C50" s="113"/>
      <c r="D50" s="114"/>
      <c r="E50" s="115"/>
      <c r="F50" s="115"/>
      <c r="G50" s="115"/>
      <c r="H50" s="115"/>
      <c r="I50" s="116"/>
      <c r="J50" s="113"/>
      <c r="K50" s="113"/>
      <c r="L50" s="117"/>
      <c r="M50" s="118"/>
      <c r="N50" s="111"/>
      <c r="O50" s="111"/>
    </row>
    <row r="51" spans="1:15" ht="22.5" customHeight="1">
      <c r="E51" s="119"/>
      <c r="F51" s="119"/>
      <c r="G51" s="119"/>
      <c r="H51" s="119"/>
      <c r="I51" s="120"/>
      <c r="M51" s="121"/>
    </row>
    <row r="52" spans="1:15" ht="22.5" customHeight="1">
      <c r="E52" s="119"/>
      <c r="F52" s="119"/>
      <c r="G52" s="119"/>
      <c r="H52" s="119"/>
      <c r="I52" s="120"/>
      <c r="M52" s="121"/>
    </row>
    <row r="53" spans="1:15" ht="22.5" customHeight="1">
      <c r="E53" s="119"/>
      <c r="F53" s="119"/>
      <c r="G53" s="119"/>
      <c r="H53" s="119"/>
      <c r="I53" s="120"/>
      <c r="M53" s="121"/>
    </row>
    <row r="54" spans="1:15" ht="22.5" customHeight="1">
      <c r="E54" s="119"/>
      <c r="F54" s="119"/>
      <c r="G54" s="119"/>
      <c r="H54" s="119"/>
      <c r="I54" s="120"/>
      <c r="M54" s="121"/>
    </row>
  </sheetData>
  <conditionalFormatting sqref="K2:K48">
    <cfRule type="cellIs" dxfId="1" priority="1" stopIfTrue="1" operator="equal">
      <formula>"Closed"</formula>
    </cfRule>
    <cfRule type="cellIs" dxfId="0" priority="2" stopIfTrue="1" operator="equal">
      <formula>"Open"</formula>
    </cfRule>
  </conditionalFormatting>
  <dataValidations count="3">
    <dataValidation type="list" allowBlank="1" sqref="C2:C43" xr:uid="{00000000-0002-0000-0400-000000000000}">
      <formula1>"Credit Card,Fintech Credit,Personal Loan,Chit Fund / BC,Community Loan,Informal Loan,Secured / Jewel,Vendor / Home,Family Loan,Contingency,Household,Other"</formula1>
    </dataValidation>
    <dataValidation type="list" allowBlank="1" sqref="D2:D43" xr:uid="{00000000-0002-0000-0400-000001000000}">
      <formula1>"Shahil,Mukhtar,Israfil,Abba,Ammi,Others"</formula1>
    </dataValidation>
    <dataValidation type="custom" allowBlank="1" showDropDown="1" sqref="M2:M54 E2:I54" xr:uid="{00000000-0002-0000-0400-000002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BAA1-1118-489A-B1BC-ABD30533F832}">
  <dimension ref="A1:E7"/>
  <sheetViews>
    <sheetView zoomScale="225" workbookViewId="0">
      <selection activeCell="B5" sqref="B5"/>
    </sheetView>
  </sheetViews>
  <sheetFormatPr defaultRowHeight="12.75"/>
  <cols>
    <col min="1" max="1" width="15.140625" customWidth="1"/>
    <col min="2" max="2" width="20" customWidth="1"/>
    <col min="3" max="3" width="13.28515625" customWidth="1"/>
    <col min="4" max="4" width="14.28515625" customWidth="1"/>
  </cols>
  <sheetData>
    <row r="1" spans="1:5">
      <c r="A1" s="56" t="s">
        <v>166</v>
      </c>
      <c r="B1" s="56" t="s">
        <v>67</v>
      </c>
      <c r="C1" s="56" t="s">
        <v>167</v>
      </c>
      <c r="D1" s="56" t="s">
        <v>169</v>
      </c>
      <c r="E1" s="188" t="s">
        <v>235</v>
      </c>
    </row>
    <row r="2" spans="1:5">
      <c r="A2" s="187">
        <v>46300</v>
      </c>
      <c r="B2" s="188" t="s">
        <v>10</v>
      </c>
      <c r="C2" s="188" t="s">
        <v>233</v>
      </c>
      <c r="D2">
        <v>10000</v>
      </c>
      <c r="E2" t="s">
        <v>4</v>
      </c>
    </row>
    <row r="3" spans="1:5">
      <c r="A3" s="187">
        <v>46301</v>
      </c>
      <c r="D3">
        <v>20000</v>
      </c>
      <c r="E3" t="s">
        <v>4</v>
      </c>
    </row>
    <row r="4" spans="1:5">
      <c r="A4" s="187">
        <v>46302</v>
      </c>
      <c r="B4" s="188" t="s">
        <v>20</v>
      </c>
      <c r="C4" s="188" t="s">
        <v>233</v>
      </c>
      <c r="D4">
        <v>1000</v>
      </c>
      <c r="E4" s="188" t="s">
        <v>232</v>
      </c>
    </row>
    <row r="5" spans="1:5">
      <c r="A5" s="187">
        <v>46303</v>
      </c>
    </row>
    <row r="6" spans="1:5">
      <c r="A6" s="187">
        <v>46304</v>
      </c>
    </row>
    <row r="7" spans="1:5">
      <c r="A7" s="187">
        <v>46305</v>
      </c>
    </row>
  </sheetData>
  <dataValidations count="1">
    <dataValidation type="list" allowBlank="1" showInputMessage="1" showErrorMessage="1" sqref="E1:E1048576" xr:uid="{805C1CEB-3BFD-4394-868F-AEF9F9987E5A}">
      <formula1>"lumsum, emi"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Copy of Sheet1</vt:lpstr>
      <vt:lpstr>Sheet1</vt:lpstr>
      <vt:lpstr>Loan_Management</vt:lpstr>
      <vt:lpstr>Dashboard</vt:lpstr>
      <vt:lpstr>Monthly_Repayments</vt:lpstr>
      <vt:lpstr>pv</vt:lpstr>
      <vt:lpstr>Copy of Loan_Management</vt:lpstr>
      <vt:lpstr>m_repay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 sha</cp:lastModifiedBy>
  <dcterms:modified xsi:type="dcterms:W3CDTF">2026-10-04T14:25:12Z</dcterms:modified>
</cp:coreProperties>
</file>